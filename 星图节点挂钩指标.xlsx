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中国"/>
    <sheet r:id="rId2" sheetId="2" name="美国"/>
    <sheet r:id="rId3" sheetId="3" name="欧洲"/>
    <sheet r:id="rId4" sheetId="4" name="日本"/>
    <sheet r:id="rId5" sheetId="5" name="中国汇率&amp;amp;amp;期货（数据表）"/>
    <sheet r:id="rId6" sheetId="6" name="中国汇率&amp;amp;amp;期货（ln）"/>
    <sheet r:id="rId7" sheetId="7" name="中国汇率&amp;amp;amp;期货（change）"/>
    <sheet r:id="rId8" sheetId="8" name="中国汇率&amp;amp;amp;期货（vol）"/>
    <sheet r:id="rId9" sheetId="9" name="中国汇率&amp;amp;amp;期货（成果标准）"/>
    <sheet r:id="rId10" sheetId="10" name="Sheet6"/>
  </sheets>
  <calcPr fullCalcOnLoad="1"/>
</workbook>
</file>

<file path=xl/sharedStrings.xml><?xml version="1.0" encoding="utf-8"?>
<sst xmlns="http://schemas.openxmlformats.org/spreadsheetml/2006/main" count="1309" uniqueCount="477">
  <si>
    <t>收盘价</t>
  </si>
  <si>
    <t>close</t>
  </si>
  <si>
    <t>日期</t>
  </si>
  <si>
    <t>Date</t>
  </si>
  <si>
    <t>USDCNY.FX</t>
  </si>
  <si>
    <t>USDHKD.FX</t>
  </si>
  <si>
    <t>000300.SH</t>
  </si>
  <si>
    <t>ZC.CZC</t>
  </si>
  <si>
    <t>CF.CZC</t>
  </si>
  <si>
    <t>J.DCE</t>
  </si>
  <si>
    <t>JM.DCE</t>
  </si>
  <si>
    <t>I.DCE</t>
  </si>
  <si>
    <t>PG.DCE</t>
  </si>
  <si>
    <t>SC.INE</t>
  </si>
  <si>
    <t>SS.SHF</t>
  </si>
  <si>
    <t>CU.SHF</t>
  </si>
  <si>
    <t>AL.SHF</t>
  </si>
  <si>
    <t>ZN.SHF</t>
  </si>
  <si>
    <t>PB.SHF</t>
  </si>
  <si>
    <t>NI.SHF</t>
  </si>
  <si>
    <t>SN.SHF</t>
  </si>
  <si>
    <t>AU.SHF</t>
  </si>
  <si>
    <t>AG.SHF</t>
  </si>
  <si>
    <t>RB.SHF</t>
  </si>
  <si>
    <t>WR.SHF</t>
  </si>
  <si>
    <t>HC.SHF</t>
  </si>
  <si>
    <t>FU.SHF</t>
  </si>
  <si>
    <t>BU.SHF</t>
  </si>
  <si>
    <t>RU.SHF</t>
  </si>
  <si>
    <t>SP.SHF</t>
  </si>
  <si>
    <t>M.DCE</t>
  </si>
  <si>
    <t>Y.DCE</t>
  </si>
  <si>
    <t>A.DCE</t>
  </si>
  <si>
    <t>B.DCE</t>
  </si>
  <si>
    <t>P.DCE</t>
  </si>
  <si>
    <t>C.DCE</t>
  </si>
  <si>
    <t>CS.DCE</t>
  </si>
  <si>
    <t>LH.DCE</t>
  </si>
  <si>
    <t>JD.DCE</t>
  </si>
  <si>
    <t>L.DCE</t>
  </si>
  <si>
    <t>V.DCE</t>
  </si>
  <si>
    <t>PP.DCE</t>
  </si>
  <si>
    <t>EG.DCE</t>
  </si>
  <si>
    <t>RR.DCE</t>
  </si>
  <si>
    <t>EB.DCE</t>
  </si>
  <si>
    <t>SR.CZC</t>
  </si>
  <si>
    <t>FG.CZC</t>
  </si>
  <si>
    <t>TA.CZC</t>
  </si>
  <si>
    <t>PF.CZC</t>
  </si>
  <si>
    <t>MA.CZC</t>
  </si>
  <si>
    <t>OI.CZC</t>
  </si>
  <si>
    <t>RM.CZC</t>
  </si>
  <si>
    <t>PK.CZC</t>
  </si>
  <si>
    <t>SF.CZC</t>
  </si>
  <si>
    <t>SM.CZC</t>
  </si>
  <si>
    <t>AP.CZC</t>
  </si>
  <si>
    <t>CJ.CZC</t>
  </si>
  <si>
    <t>UR.CZC</t>
  </si>
  <si>
    <t>SA.CZC</t>
  </si>
  <si>
    <t>BADI.GI</t>
  </si>
  <si>
    <t>指标名称</t>
  </si>
  <si>
    <t>指标类型</t>
  </si>
  <si>
    <t>国家</t>
  </si>
  <si>
    <t>频率</t>
  </si>
  <si>
    <t>数据代码</t>
  </si>
  <si>
    <t>单位</t>
  </si>
  <si>
    <t>即期汇率（美元兑日元）</t>
  </si>
  <si>
    <t>汇率</t>
  </si>
  <si>
    <t>日本, 美国</t>
  </si>
  <si>
    <t>日度</t>
  </si>
  <si>
    <t>USDJPY.FX</t>
  </si>
  <si>
    <t>波罗的海干散货指数</t>
  </si>
  <si>
    <t>货运价格</t>
  </si>
  <si>
    <t>全球</t>
  </si>
  <si>
    <t>天津航运指数</t>
  </si>
  <si>
    <t>中国, 全球</t>
  </si>
  <si>
    <t>S6402901</t>
  </si>
  <si>
    <t>日本：货币供应量：平均余额：M1</t>
  </si>
  <si>
    <t>货币供应</t>
  </si>
  <si>
    <t>日本</t>
  </si>
  <si>
    <t>月度</t>
  </si>
  <si>
    <t>G0900089</t>
  </si>
  <si>
    <t>万亿日元</t>
  </si>
  <si>
    <t>日本：货币供应量：平均余额：M2</t>
  </si>
  <si>
    <t>G0900087</t>
  </si>
  <si>
    <t>日本：货币供应量：平均余额：M3</t>
  </si>
  <si>
    <t>G0900088</t>
  </si>
  <si>
    <t>日本：基础货币：平均余额：季调</t>
  </si>
  <si>
    <t>G0900062</t>
  </si>
  <si>
    <t>亿日元</t>
  </si>
  <si>
    <t>日本：准备金余额：实值</t>
  </si>
  <si>
    <t>G0900061</t>
  </si>
  <si>
    <t>日本：日元TIBOR：1周</t>
  </si>
  <si>
    <t>货币市场金融工具</t>
  </si>
  <si>
    <t>G1241481</t>
  </si>
  <si>
    <t>%</t>
  </si>
  <si>
    <t>日本：日元TIBOR：1个月</t>
  </si>
  <si>
    <t>G1241482</t>
  </si>
  <si>
    <t>日本：日元TIBOR：2个月</t>
  </si>
  <si>
    <t>G1241483</t>
  </si>
  <si>
    <t>日本：日元TIBOR：3个月</t>
  </si>
  <si>
    <t>G1241484</t>
  </si>
  <si>
    <t>日本：日元TIBOR：6个月</t>
  </si>
  <si>
    <t>G1241487</t>
  </si>
  <si>
    <t>日本：日元TIBOR：12个月</t>
  </si>
  <si>
    <t>G1241493</t>
  </si>
  <si>
    <t>日本：企业债收益率指数：综合</t>
  </si>
  <si>
    <t>G1241528</t>
  </si>
  <si>
    <t>1996年12月31日=100</t>
  </si>
  <si>
    <t>日本：国债利率：1年</t>
  </si>
  <si>
    <t>国债收益率</t>
  </si>
  <si>
    <t>G1235655</t>
  </si>
  <si>
    <t>日本：国债利率：2年</t>
  </si>
  <si>
    <t>G1235656</t>
  </si>
  <si>
    <t>日本：国债利率：3年</t>
  </si>
  <si>
    <t>G1235657</t>
  </si>
  <si>
    <t>日本：国债利率：5年</t>
  </si>
  <si>
    <t>G1235659</t>
  </si>
  <si>
    <t>日本：国债利率：7年</t>
  </si>
  <si>
    <t>G1235661</t>
  </si>
  <si>
    <t>日本：国债利率：10年</t>
  </si>
  <si>
    <t>G1235664</t>
  </si>
  <si>
    <t>日本：CPI：当月同比</t>
  </si>
  <si>
    <t>CPI</t>
  </si>
  <si>
    <t>G1254021</t>
  </si>
  <si>
    <t>日经225指数</t>
  </si>
  <si>
    <t>股票市场指数</t>
  </si>
  <si>
    <t>N225.GI</t>
  </si>
  <si>
    <t>TCE 3号烟片胶</t>
  </si>
  <si>
    <t>大宗商品</t>
  </si>
  <si>
    <t>RSS3.TCE</t>
  </si>
  <si>
    <t>TCE 黄金</t>
  </si>
  <si>
    <t>GOLD.TCE</t>
  </si>
  <si>
    <t>TCE 铂</t>
  </si>
  <si>
    <t>PLAT000.TCE</t>
  </si>
  <si>
    <t>日本：消费者信心指数</t>
  </si>
  <si>
    <t>居民收入</t>
  </si>
  <si>
    <t>G0001054</t>
  </si>
  <si>
    <t>即期汇率（欧元兑美元）</t>
  </si>
  <si>
    <t>欧洲, 美国</t>
  </si>
  <si>
    <t>EURUSE.FX</t>
  </si>
  <si>
    <t>即期汇率（英镑对美元）</t>
  </si>
  <si>
    <t>英国, 美国</t>
  </si>
  <si>
    <t>GBPUSD.FX</t>
  </si>
  <si>
    <t>欧元区：M1</t>
  </si>
  <si>
    <t>欧洲</t>
  </si>
  <si>
    <t>G1000105</t>
  </si>
  <si>
    <t>百万欧元</t>
  </si>
  <si>
    <t>欧元区：M2</t>
  </si>
  <si>
    <t>G1000106</t>
  </si>
  <si>
    <t>欧元区：M3</t>
  </si>
  <si>
    <t>G1000104</t>
  </si>
  <si>
    <t>欧元区：HICP（调和CPI）：当月同比</t>
  </si>
  <si>
    <t>G0001698</t>
  </si>
  <si>
    <t>欧元区：公债收益率：3个月</t>
  </si>
  <si>
    <t>G0003948</t>
  </si>
  <si>
    <t>欧元区：公债收益率：6个月</t>
  </si>
  <si>
    <t>G0003949</t>
  </si>
  <si>
    <t>欧元区：公债收益率：9个月</t>
  </si>
  <si>
    <t>G0003950</t>
  </si>
  <si>
    <t>欧元区：公债收益率：1年</t>
  </si>
  <si>
    <t>G0003951</t>
  </si>
  <si>
    <t>欧元区：公债收益率：3年</t>
  </si>
  <si>
    <t>G0003953</t>
  </si>
  <si>
    <t>欧元区：公债收益率：5年</t>
  </si>
  <si>
    <t>G0003954</t>
  </si>
  <si>
    <t>欧元区：公债收益率：7年</t>
  </si>
  <si>
    <t>G0003955</t>
  </si>
  <si>
    <t>欧元区：公债收益率：10年</t>
  </si>
  <si>
    <t>G0003956</t>
  </si>
  <si>
    <t>EURIBOR：隔夜</t>
  </si>
  <si>
    <t>G0011186</t>
  </si>
  <si>
    <t>EURIBOR：1周</t>
  </si>
  <si>
    <t>G0011187</t>
  </si>
  <si>
    <t>EURIBOR：2周</t>
  </si>
  <si>
    <t>G0011188</t>
  </si>
  <si>
    <t>EURIBOR：1个月</t>
  </si>
  <si>
    <t>G0011190</t>
  </si>
  <si>
    <t>EURIBOR：2个月</t>
  </si>
  <si>
    <t>G0011191</t>
  </si>
  <si>
    <t>EURIBOR：3个月</t>
  </si>
  <si>
    <t>G0011192</t>
  </si>
  <si>
    <t>EURIBOR：6个月</t>
  </si>
  <si>
    <t>G0011195</t>
  </si>
  <si>
    <t>EURIBOR：9个月</t>
  </si>
  <si>
    <t>G0011198</t>
  </si>
  <si>
    <t>EURIBOR：12个月</t>
  </si>
  <si>
    <t>G0011201</t>
  </si>
  <si>
    <t>欧元区：一年期欧元银行同行拆息利率</t>
  </si>
  <si>
    <t>G0001600</t>
  </si>
  <si>
    <t>欧元区：经常账户</t>
  </si>
  <si>
    <t>G0926429</t>
  </si>
  <si>
    <t>欧元区：准备金要求</t>
  </si>
  <si>
    <t>存款准备金率</t>
  </si>
  <si>
    <t>G0926430</t>
  </si>
  <si>
    <t>德国DAX指数</t>
  </si>
  <si>
    <t>GDAXI.GI</t>
  </si>
  <si>
    <t>法国CAC40指数</t>
  </si>
  <si>
    <t>FCHI.GI</t>
  </si>
  <si>
    <t>英国富时100指数</t>
  </si>
  <si>
    <t>FTSE.GI</t>
  </si>
  <si>
    <t>ICE布油</t>
  </si>
  <si>
    <t>B.IPE</t>
  </si>
  <si>
    <t>ICE WTI原油</t>
  </si>
  <si>
    <t>T.IPE</t>
  </si>
  <si>
    <t>ICE取暖油</t>
  </si>
  <si>
    <t>O.IPE</t>
  </si>
  <si>
    <t>ICE柴油</t>
  </si>
  <si>
    <t>G.IPE</t>
  </si>
  <si>
    <t>ICE NYH(RBOB)汽油</t>
  </si>
  <si>
    <t>N.IPE</t>
  </si>
  <si>
    <t>LME 铜</t>
  </si>
  <si>
    <t>CA.LME</t>
  </si>
  <si>
    <t>LME 铝</t>
  </si>
  <si>
    <t>AH.LME</t>
  </si>
  <si>
    <t>LME 锌</t>
  </si>
  <si>
    <t>ZS.LME</t>
  </si>
  <si>
    <t>LME 铅</t>
  </si>
  <si>
    <t>PB.LME</t>
  </si>
  <si>
    <t>LME 镍</t>
  </si>
  <si>
    <t>NI.LME</t>
  </si>
  <si>
    <t>SN.LME</t>
  </si>
  <si>
    <t>LME 钴</t>
  </si>
  <si>
    <t>CO.LME</t>
  </si>
  <si>
    <t>LME 铝合金</t>
  </si>
  <si>
    <t>AA.LME</t>
  </si>
  <si>
    <t>欧盟27国：消费者信心指数：季调</t>
  </si>
  <si>
    <t>G0926396</t>
  </si>
  <si>
    <t>即期汇率（美元兑人民币）</t>
  </si>
  <si>
    <t>中国, 美国</t>
  </si>
  <si>
    <t>即期汇率（美元兑港元）</t>
  </si>
  <si>
    <t>美国, 中国</t>
  </si>
  <si>
    <t>即期汇率（美元兑卢布）</t>
  </si>
  <si>
    <t>俄罗斯, 美国</t>
  </si>
  <si>
    <t>USDRUB.FX</t>
  </si>
  <si>
    <t>即期汇率（澳元兑美元）</t>
  </si>
  <si>
    <t>澳大利亚, 美国</t>
  </si>
  <si>
    <t>AUDUSD.FX</t>
  </si>
  <si>
    <t>即期汇率（美元兑加元）</t>
  </si>
  <si>
    <t>加拿大, 美国</t>
  </si>
  <si>
    <t>USDCAD.FX</t>
  </si>
  <si>
    <t>美国CPI（整体）当月同比</t>
  </si>
  <si>
    <t>美国</t>
  </si>
  <si>
    <t>G0000027</t>
  </si>
  <si>
    <t>美国M1</t>
  </si>
  <si>
    <t>G0003384</t>
  </si>
  <si>
    <t>十亿美元</t>
  </si>
  <si>
    <t>美国M2</t>
  </si>
  <si>
    <t>G0003385</t>
  </si>
  <si>
    <t>美国：国债收益率：1年</t>
  </si>
  <si>
    <t>G0000886</t>
  </si>
  <si>
    <t>美国：国债收益率：3年</t>
  </si>
  <si>
    <t>G0000888</t>
  </si>
  <si>
    <t>美国：国债收益率：5年</t>
  </si>
  <si>
    <t>G0000889</t>
  </si>
  <si>
    <t>美国：国债收益率：7年</t>
  </si>
  <si>
    <t>G0000890</t>
  </si>
  <si>
    <t>美国：国债收益率：10年</t>
  </si>
  <si>
    <t>G0000891</t>
  </si>
  <si>
    <t>美国：存款准备金率</t>
  </si>
  <si>
    <t>G1167030</t>
  </si>
  <si>
    <t>美国：超额存款准备金率</t>
  </si>
  <si>
    <t>G1167029</t>
  </si>
  <si>
    <t>标普500</t>
  </si>
  <si>
    <t>SPX.GI</t>
  </si>
  <si>
    <t>纳斯达克指数</t>
  </si>
  <si>
    <t>IXIC.GI</t>
  </si>
  <si>
    <t>道琼斯工业指数</t>
  </si>
  <si>
    <t>DJI.GI</t>
  </si>
  <si>
    <t>罗素2000指数</t>
  </si>
  <si>
    <t>RTY.GI</t>
  </si>
  <si>
    <t>CME活牛</t>
  </si>
  <si>
    <t>LC.CME</t>
  </si>
  <si>
    <t>CME饲牛</t>
  </si>
  <si>
    <t>FC.CME</t>
  </si>
  <si>
    <t>CME瘦肉猪</t>
  </si>
  <si>
    <t>LH.CME</t>
  </si>
  <si>
    <t>CME三级牛奶</t>
  </si>
  <si>
    <t>DA.CME</t>
  </si>
  <si>
    <t>CBOT大豆</t>
  </si>
  <si>
    <t>S.CBT</t>
  </si>
  <si>
    <t>CBOT玉米</t>
  </si>
  <si>
    <t>C.CBT</t>
  </si>
  <si>
    <t>CBOT小麦</t>
  </si>
  <si>
    <t>W.CBT</t>
  </si>
  <si>
    <t>CBOT燕麦</t>
  </si>
  <si>
    <t>O.CBT</t>
  </si>
  <si>
    <t>CBOT豆粕</t>
  </si>
  <si>
    <t>SM.CBT</t>
  </si>
  <si>
    <t>CBOT豆油</t>
  </si>
  <si>
    <t>BO.CBT</t>
  </si>
  <si>
    <t>CBOT迷你大豆</t>
  </si>
  <si>
    <t>YK.CBT</t>
  </si>
  <si>
    <t>CBOT迷你玉米</t>
  </si>
  <si>
    <t>YC.CBT</t>
  </si>
  <si>
    <t>CBOT迷你小麦</t>
  </si>
  <si>
    <t>YW.CBT</t>
  </si>
  <si>
    <t>NYMEX轻质原油</t>
  </si>
  <si>
    <t>CL.NYM</t>
  </si>
  <si>
    <t>NYMEX天然气</t>
  </si>
  <si>
    <t>NG.NYM</t>
  </si>
  <si>
    <t>NYMEX迷你天然气</t>
  </si>
  <si>
    <t>QG.NYM</t>
  </si>
  <si>
    <t>NYMEX汽油</t>
  </si>
  <si>
    <t>RB.NYM</t>
  </si>
  <si>
    <t>NYMEX铂</t>
  </si>
  <si>
    <t>PL.NYM</t>
  </si>
  <si>
    <t>NYMEX钯</t>
  </si>
  <si>
    <t>PA.NYM</t>
  </si>
  <si>
    <t>COMEX黄金</t>
  </si>
  <si>
    <t>GC.CMX</t>
  </si>
  <si>
    <t>COMEX白银</t>
  </si>
  <si>
    <t>SI.CMX</t>
  </si>
  <si>
    <t>COMEX迷你黄金</t>
  </si>
  <si>
    <t>QO.CMX</t>
  </si>
  <si>
    <t>COMEX迷你白银</t>
  </si>
  <si>
    <t>QI.CMX</t>
  </si>
  <si>
    <t>COMEX铜</t>
  </si>
  <si>
    <t>HG.CMX</t>
  </si>
  <si>
    <t>COMEX钢卷</t>
  </si>
  <si>
    <t>HRC.CMX</t>
  </si>
  <si>
    <t>LIBOR：美元：隔夜</t>
  </si>
  <si>
    <t>G0000894</t>
  </si>
  <si>
    <t>LIBOR：美元：1周</t>
  </si>
  <si>
    <t>G0000895</t>
  </si>
  <si>
    <t>LIBOR：美元：1个月</t>
  </si>
  <si>
    <t>G0000897</t>
  </si>
  <si>
    <t>LIBOR：美元：3个月</t>
  </si>
  <si>
    <t>G0000898</t>
  </si>
  <si>
    <t>LIBOR：美元：6个月</t>
  </si>
  <si>
    <t>G0000899</t>
  </si>
  <si>
    <t>LIBOR：美元：12个月</t>
  </si>
  <si>
    <t>G0000901</t>
  </si>
  <si>
    <t>美国：银行隔夜融资利率（OBFR）</t>
  </si>
  <si>
    <t>G1168983</t>
  </si>
  <si>
    <t>美国：银行最优惠贷款利率</t>
  </si>
  <si>
    <t>G0005447</t>
  </si>
  <si>
    <t>美国：CPI：交通运输：当月同比</t>
  </si>
  <si>
    <t>G0002375</t>
  </si>
  <si>
    <t>美国：净发电量：所有部门</t>
  </si>
  <si>
    <t>发电量</t>
  </si>
  <si>
    <t>G1130815</t>
  </si>
  <si>
    <t>百万千瓦时</t>
  </si>
  <si>
    <t>美国：私人非农企业全部员工：每周工资总额总数：总计：季调</t>
  </si>
  <si>
    <t>G1122076</t>
  </si>
  <si>
    <t>2007年=100</t>
  </si>
  <si>
    <t>美国：基础货币：未季调</t>
  </si>
  <si>
    <t>G1137352</t>
  </si>
  <si>
    <t>百万美元</t>
  </si>
  <si>
    <t>美国：基础货币：总维持余额：未季调</t>
  </si>
  <si>
    <t>G1137478</t>
  </si>
  <si>
    <t>美国：存款机构准备金：总计：未季调</t>
  </si>
  <si>
    <t>G1137353</t>
  </si>
  <si>
    <t>CPI（整体）当月同比</t>
  </si>
  <si>
    <t>中国</t>
  </si>
  <si>
    <t>M0000612</t>
  </si>
  <si>
    <t>M0</t>
  </si>
  <si>
    <t>M0001380</t>
  </si>
  <si>
    <t>亿元</t>
  </si>
  <si>
    <t>M1</t>
  </si>
  <si>
    <t>M0001382</t>
  </si>
  <si>
    <t>M2</t>
  </si>
  <si>
    <t>M0001384</t>
  </si>
  <si>
    <t>国债收益率（1年）</t>
  </si>
  <si>
    <t>M1006387</t>
  </si>
  <si>
    <t>国债收益率（3年）</t>
  </si>
  <si>
    <t>M1006388</t>
  </si>
  <si>
    <t>国债收益率（5年）</t>
  </si>
  <si>
    <t>M1006389</t>
  </si>
  <si>
    <t>国债收益率（7年）</t>
  </si>
  <si>
    <t>M1006390</t>
  </si>
  <si>
    <t>国债收益率（10年）</t>
  </si>
  <si>
    <t>M1006391</t>
  </si>
  <si>
    <t>人民币存款准备金率：中小型存款类金融机构</t>
  </si>
  <si>
    <t>M0043821</t>
  </si>
  <si>
    <t>人民币存款准备金率：大型存款类金融机构</t>
  </si>
  <si>
    <t>M0061518</t>
  </si>
  <si>
    <t>沪深300</t>
  </si>
  <si>
    <t>CZCE 动力煤（主连）</t>
  </si>
  <si>
    <t>CZCE 棉花（主连）</t>
  </si>
  <si>
    <t>DCE 焦炭（主连）</t>
  </si>
  <si>
    <t>DCE 焦煤（主连）</t>
  </si>
  <si>
    <t>DCE 铁矿石（主连）</t>
  </si>
  <si>
    <t>DCE LPG（主连）</t>
  </si>
  <si>
    <t>INE 原油（主连）</t>
  </si>
  <si>
    <t>SHFE 不锈钢（主连）</t>
  </si>
  <si>
    <t>SHFE 铜（主连）</t>
  </si>
  <si>
    <t>SHFE 铝（主连）</t>
  </si>
  <si>
    <t>SHFE 锌（主连）</t>
  </si>
  <si>
    <t>SHFE 铅（主连）</t>
  </si>
  <si>
    <t>SHFE 镍（主连）</t>
  </si>
  <si>
    <t>SHFE 锡（主连）</t>
  </si>
  <si>
    <t>SHFE 金（主连）</t>
  </si>
  <si>
    <t>SHFE 银（主连）</t>
  </si>
  <si>
    <t>SHFE 螺纹钢（主连）</t>
  </si>
  <si>
    <t>SHFE 线材（主连）</t>
  </si>
  <si>
    <t>SHFE 热轧卷板（主连）</t>
  </si>
  <si>
    <t>SHFE 燃油（主连）</t>
  </si>
  <si>
    <t>SHFE 沥青（主连）</t>
  </si>
  <si>
    <t>SHFE 橡胶（主连）</t>
  </si>
  <si>
    <t>SHFE 纸浆（主连）</t>
  </si>
  <si>
    <t>DCE 豆粕（主连）</t>
  </si>
  <si>
    <t>DCE 豆油（主连）</t>
  </si>
  <si>
    <t>DCE 黄大豆一号【食用】（主连）</t>
  </si>
  <si>
    <t>DCE 黄大豆二号【榨油用】（主连）</t>
  </si>
  <si>
    <t>DCE 棕榈油（主连）</t>
  </si>
  <si>
    <t>DCE 玉米（主连）</t>
  </si>
  <si>
    <t>DCE 玉米淀粉（主连）</t>
  </si>
  <si>
    <t>DCE 生猪（主连）</t>
  </si>
  <si>
    <t>DCE 鸡蛋（主连）</t>
  </si>
  <si>
    <t>DCE 塑料（主连）</t>
  </si>
  <si>
    <t>DCE PVC（主连）</t>
  </si>
  <si>
    <t>DCE 聚丙烯（主连）</t>
  </si>
  <si>
    <t>DCE 乙二醇（主连）</t>
  </si>
  <si>
    <t>DCE 粳米（主连）</t>
  </si>
  <si>
    <t>DCE 苯乙烯（主连）</t>
  </si>
  <si>
    <t>CZCE 白糖（主连）</t>
  </si>
  <si>
    <t>CZCE 玻璃（主连）</t>
  </si>
  <si>
    <t>CZCE PTA（主连）</t>
  </si>
  <si>
    <t>CZCE 短纤（主连）</t>
  </si>
  <si>
    <t>CZCE 甲醇（主连）</t>
  </si>
  <si>
    <t>CZCE 菜油（主连）</t>
  </si>
  <si>
    <t>CZCE 菜粕（主连）</t>
  </si>
  <si>
    <t>CZCE 花生（主连）</t>
  </si>
  <si>
    <t>CZCE 硅铁（主连）</t>
  </si>
  <si>
    <t>CZCE 锰硅（主连）</t>
  </si>
  <si>
    <t>CZCE 苹果（主连）</t>
  </si>
  <si>
    <t>CZCE 红枣（主连）</t>
  </si>
  <si>
    <t>CZCE 尿素（主连）</t>
  </si>
  <si>
    <t>CZCE 纯碱（主连）</t>
  </si>
  <si>
    <t>ShiborON利率互换收盘曲线（即期）：1D</t>
  </si>
  <si>
    <t>M1016185</t>
  </si>
  <si>
    <t>ShiborON利率互换收盘曲线（即期）：1M</t>
  </si>
  <si>
    <t>M1016186</t>
  </si>
  <si>
    <t>ShiborON利率互换收盘曲线（即期）：3M</t>
  </si>
  <si>
    <t>M1016187</t>
  </si>
  <si>
    <t>ShiborON利率互换收盘曲线（即期）：6M</t>
  </si>
  <si>
    <t>M1016188</t>
  </si>
  <si>
    <t>ShiborON利率互换收盘曲线（即期）：1Y</t>
  </si>
  <si>
    <t>M1016190</t>
  </si>
  <si>
    <t>银行间国债即期收益率：6个月</t>
  </si>
  <si>
    <t>M1000081</t>
  </si>
  <si>
    <t>银行间国债即期收益率：1年</t>
  </si>
  <si>
    <t>M1000082</t>
  </si>
  <si>
    <t>银行间国债即期收益率：2年</t>
  </si>
  <si>
    <t>M1000083</t>
  </si>
  <si>
    <t>银行间国债即期收益率：3年</t>
  </si>
  <si>
    <t>M1000084</t>
  </si>
  <si>
    <t>银行间国债即期收益率：5年</t>
  </si>
  <si>
    <t>M1000085</t>
  </si>
  <si>
    <t>银行间国债即期收益率：10年</t>
  </si>
  <si>
    <t>M1000086</t>
  </si>
  <si>
    <t>超短期融资券到期收益率（AAA）：0.1年</t>
  </si>
  <si>
    <t>M1008445</t>
  </si>
  <si>
    <t>超短期融资券到期收益率（AAA）：0.2年</t>
  </si>
  <si>
    <t>M1008446</t>
  </si>
  <si>
    <t>超短期融资券到期收益率（AAA）：0.3年</t>
  </si>
  <si>
    <t>M1008448</t>
  </si>
  <si>
    <t>超短期融资券到期收益率（AAA）：0.4年</t>
  </si>
  <si>
    <t>M1008449</t>
  </si>
  <si>
    <t>超短期融资券到期收益率（AAA）：0.5年</t>
  </si>
  <si>
    <t>M1008450</t>
  </si>
  <si>
    <t>短期贷款利率（6个月以下）</t>
  </si>
  <si>
    <t>M0043814</t>
  </si>
  <si>
    <t>中国运输生产指数：客运</t>
  </si>
  <si>
    <t>客运</t>
  </si>
  <si>
    <t>M6191641</t>
  </si>
  <si>
    <t>中国运输生产指数：货运</t>
  </si>
  <si>
    <t>货运</t>
  </si>
  <si>
    <t>M6191543</t>
  </si>
  <si>
    <t>国内发电量</t>
  </si>
  <si>
    <t>S0027012</t>
  </si>
  <si>
    <t>亿千瓦时</t>
  </si>
  <si>
    <t>货币当局：总资产</t>
  </si>
  <si>
    <t>M0001689</t>
  </si>
  <si>
    <t>货币当局：储备货币（基础货币）</t>
  </si>
  <si>
    <t>M0001690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</si>
</sst>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.0000000000000%"/>
    <numFmt numFmtId="165" formatCode="#,##0.00%"/>
    <numFmt numFmtId="166" formatCode="yyyy-mm-dd"/>
    <numFmt numFmtId="167" formatCode="#,##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等线"/>
      <family val="2"/>
    </font>
    <font>
      <b/>
      <sz val="10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5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6" applyNumberFormat="1" borderId="1" applyBorder="1" fontId="1" applyFont="1" fillId="0" applyAlignment="1">
      <alignment horizontal="right"/>
    </xf>
    <xf xfId="0" numFmtId="167" applyNumberFormat="1" borderId="1" applyBorder="1" fontId="2" applyFont="1" fillId="0" applyAlignment="1">
      <alignment horizontal="right"/>
    </xf>
    <xf xfId="0" numFmtId="167" applyNumberFormat="1" borderId="1" applyBorder="1" fontId="1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166" applyNumberFormat="1" borderId="0" fontId="0" fillId="0" applyAlignment="1">
      <alignment horizontal="right"/>
    </xf>
    <xf xfId="0" numFmtId="167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2"/>
  <sheetViews>
    <sheetView workbookViewId="0"/>
  </sheetViews>
  <sheetFormatPr defaultRowHeight="15" x14ac:dyDescent="0.25"/>
  <cols>
    <col min="1" max="1" style="6" width="27.862142857142857" customWidth="1" bestFit="1"/>
    <col min="2" max="2" style="6" width="18.005" customWidth="1" bestFit="1"/>
    <col min="3" max="3" style="6" width="20.005" customWidth="1" bestFit="1"/>
    <col min="4" max="4" style="6" width="20.005" customWidth="1" bestFit="1"/>
    <col min="5" max="5" style="6" width="20.005" customWidth="1" bestFit="1"/>
    <col min="6" max="6" style="6" width="20.005" customWidth="1" bestFit="1"/>
  </cols>
  <sheetData>
    <row x14ac:dyDescent="0.25" r="1" customHeight="1" ht="13">
      <c r="A1" s="25" t="s">
        <v>60</v>
      </c>
      <c r="B1" s="25" t="s">
        <v>61</v>
      </c>
      <c r="C1" s="25" t="s">
        <v>62</v>
      </c>
      <c r="D1" s="25" t="s">
        <v>63</v>
      </c>
      <c r="E1" s="25" t="s">
        <v>64</v>
      </c>
      <c r="F1" s="25" t="s">
        <v>65</v>
      </c>
    </row>
    <row x14ac:dyDescent="0.25" r="2" customHeight="1" ht="13">
      <c r="A2" s="22" t="s">
        <v>353</v>
      </c>
      <c r="B2" s="22" t="s">
        <v>123</v>
      </c>
      <c r="C2" s="22" t="s">
        <v>354</v>
      </c>
      <c r="D2" s="22" t="s">
        <v>80</v>
      </c>
      <c r="E2" s="22" t="s">
        <v>355</v>
      </c>
      <c r="F2" s="22" t="s">
        <v>95</v>
      </c>
    </row>
    <row x14ac:dyDescent="0.25" r="3" customHeight="1" ht="13">
      <c r="A3" s="22" t="s">
        <v>356</v>
      </c>
      <c r="B3" s="22" t="s">
        <v>78</v>
      </c>
      <c r="C3" s="22" t="s">
        <v>354</v>
      </c>
      <c r="D3" s="22" t="s">
        <v>80</v>
      </c>
      <c r="E3" s="22" t="s">
        <v>357</v>
      </c>
      <c r="F3" s="22" t="s">
        <v>358</v>
      </c>
    </row>
    <row x14ac:dyDescent="0.25" r="4" customHeight="1" ht="13">
      <c r="A4" s="22" t="s">
        <v>359</v>
      </c>
      <c r="B4" s="22" t="s">
        <v>78</v>
      </c>
      <c r="C4" s="22" t="s">
        <v>354</v>
      </c>
      <c r="D4" s="22" t="s">
        <v>80</v>
      </c>
      <c r="E4" s="22" t="s">
        <v>360</v>
      </c>
      <c r="F4" s="22" t="s">
        <v>358</v>
      </c>
    </row>
    <row x14ac:dyDescent="0.25" r="5" customHeight="1" ht="13">
      <c r="A5" s="22" t="s">
        <v>361</v>
      </c>
      <c r="B5" s="22" t="s">
        <v>78</v>
      </c>
      <c r="C5" s="22" t="s">
        <v>354</v>
      </c>
      <c r="D5" s="22" t="s">
        <v>80</v>
      </c>
      <c r="E5" s="22" t="s">
        <v>362</v>
      </c>
      <c r="F5" s="22" t="s">
        <v>358</v>
      </c>
    </row>
    <row x14ac:dyDescent="0.25" r="6" customHeight="1" ht="18.75">
      <c r="A6" s="22" t="s">
        <v>363</v>
      </c>
      <c r="B6" s="22" t="s">
        <v>110</v>
      </c>
      <c r="C6" s="22" t="s">
        <v>354</v>
      </c>
      <c r="D6" s="22" t="s">
        <v>69</v>
      </c>
      <c r="E6" s="22" t="s">
        <v>364</v>
      </c>
      <c r="F6" s="22" t="s">
        <v>95</v>
      </c>
    </row>
    <row x14ac:dyDescent="0.25" r="7" customHeight="1" ht="18.75">
      <c r="A7" s="22" t="s">
        <v>365</v>
      </c>
      <c r="B7" s="22" t="s">
        <v>110</v>
      </c>
      <c r="C7" s="22" t="s">
        <v>354</v>
      </c>
      <c r="D7" s="22" t="s">
        <v>69</v>
      </c>
      <c r="E7" s="22" t="s">
        <v>366</v>
      </c>
      <c r="F7" s="22" t="s">
        <v>95</v>
      </c>
    </row>
    <row x14ac:dyDescent="0.25" r="8" customHeight="1" ht="18.75">
      <c r="A8" s="22" t="s">
        <v>367</v>
      </c>
      <c r="B8" s="22" t="s">
        <v>110</v>
      </c>
      <c r="C8" s="22" t="s">
        <v>354</v>
      </c>
      <c r="D8" s="22" t="s">
        <v>69</v>
      </c>
      <c r="E8" s="22" t="s">
        <v>368</v>
      </c>
      <c r="F8" s="22" t="s">
        <v>95</v>
      </c>
    </row>
    <row x14ac:dyDescent="0.25" r="9" customHeight="1" ht="18.75">
      <c r="A9" s="22" t="s">
        <v>369</v>
      </c>
      <c r="B9" s="22" t="s">
        <v>110</v>
      </c>
      <c r="C9" s="22" t="s">
        <v>354</v>
      </c>
      <c r="D9" s="22" t="s">
        <v>69</v>
      </c>
      <c r="E9" s="22" t="s">
        <v>370</v>
      </c>
      <c r="F9" s="22" t="s">
        <v>95</v>
      </c>
    </row>
    <row x14ac:dyDescent="0.25" r="10" customHeight="1" ht="18.75">
      <c r="A10" s="22" t="s">
        <v>371</v>
      </c>
      <c r="B10" s="22" t="s">
        <v>110</v>
      </c>
      <c r="C10" s="22" t="s">
        <v>354</v>
      </c>
      <c r="D10" s="22" t="s">
        <v>69</v>
      </c>
      <c r="E10" s="22" t="s">
        <v>372</v>
      </c>
      <c r="F10" s="22" t="s">
        <v>95</v>
      </c>
    </row>
    <row x14ac:dyDescent="0.25" r="11" customHeight="1" ht="18.75">
      <c r="A11" s="22" t="s">
        <v>373</v>
      </c>
      <c r="B11" s="22" t="s">
        <v>193</v>
      </c>
      <c r="C11" s="22" t="s">
        <v>354</v>
      </c>
      <c r="D11" s="22" t="s">
        <v>80</v>
      </c>
      <c r="E11" s="22" t="s">
        <v>374</v>
      </c>
      <c r="F11" s="22" t="s">
        <v>95</v>
      </c>
    </row>
    <row x14ac:dyDescent="0.25" r="12" customHeight="1" ht="18.75">
      <c r="A12" s="22" t="s">
        <v>375</v>
      </c>
      <c r="B12" s="22" t="s">
        <v>193</v>
      </c>
      <c r="C12" s="22" t="s">
        <v>354</v>
      </c>
      <c r="D12" s="22" t="s">
        <v>80</v>
      </c>
      <c r="E12" s="22" t="s">
        <v>376</v>
      </c>
      <c r="F12" s="22" t="s">
        <v>95</v>
      </c>
    </row>
    <row x14ac:dyDescent="0.25" r="13" customHeight="1" ht="18.75">
      <c r="A13" s="22" t="s">
        <v>228</v>
      </c>
      <c r="B13" s="22" t="s">
        <v>67</v>
      </c>
      <c r="C13" s="22" t="s">
        <v>229</v>
      </c>
      <c r="D13" s="22" t="s">
        <v>69</v>
      </c>
      <c r="E13" s="22" t="s">
        <v>4</v>
      </c>
      <c r="F13" s="1"/>
    </row>
    <row x14ac:dyDescent="0.25" r="14" customHeight="1" ht="18.75">
      <c r="A14" s="22" t="s">
        <v>230</v>
      </c>
      <c r="B14" s="22" t="s">
        <v>67</v>
      </c>
      <c r="C14" s="22" t="s">
        <v>231</v>
      </c>
      <c r="D14" s="22" t="s">
        <v>69</v>
      </c>
      <c r="E14" s="22" t="s">
        <v>5</v>
      </c>
      <c r="F14" s="1"/>
    </row>
    <row x14ac:dyDescent="0.25" r="15" customHeight="1" ht="18.75">
      <c r="A15" s="22" t="s">
        <v>377</v>
      </c>
      <c r="B15" s="22" t="s">
        <v>126</v>
      </c>
      <c r="C15" s="22" t="s">
        <v>354</v>
      </c>
      <c r="D15" s="22" t="s">
        <v>69</v>
      </c>
      <c r="E15" s="22" t="s">
        <v>6</v>
      </c>
      <c r="F15" s="1"/>
    </row>
    <row x14ac:dyDescent="0.25" r="16" customHeight="1" ht="18.75">
      <c r="A16" s="22" t="s">
        <v>378</v>
      </c>
      <c r="B16" s="22" t="s">
        <v>129</v>
      </c>
      <c r="C16" s="22" t="s">
        <v>354</v>
      </c>
      <c r="D16" s="22" t="s">
        <v>69</v>
      </c>
      <c r="E16" s="22" t="s">
        <v>7</v>
      </c>
      <c r="F16" s="1"/>
    </row>
    <row x14ac:dyDescent="0.25" r="17" customHeight="1" ht="18.75">
      <c r="A17" s="22" t="s">
        <v>379</v>
      </c>
      <c r="B17" s="22" t="s">
        <v>129</v>
      </c>
      <c r="C17" s="22" t="s">
        <v>354</v>
      </c>
      <c r="D17" s="22" t="s">
        <v>69</v>
      </c>
      <c r="E17" s="22" t="s">
        <v>8</v>
      </c>
      <c r="F17" s="1"/>
    </row>
    <row x14ac:dyDescent="0.25" r="18" customHeight="1" ht="18.75">
      <c r="A18" s="22" t="s">
        <v>380</v>
      </c>
      <c r="B18" s="22" t="s">
        <v>129</v>
      </c>
      <c r="C18" s="22" t="s">
        <v>354</v>
      </c>
      <c r="D18" s="22" t="s">
        <v>69</v>
      </c>
      <c r="E18" s="22" t="s">
        <v>9</v>
      </c>
      <c r="F18" s="1"/>
    </row>
    <row x14ac:dyDescent="0.25" r="19" customHeight="1" ht="18.75">
      <c r="A19" s="22" t="s">
        <v>381</v>
      </c>
      <c r="B19" s="22" t="s">
        <v>129</v>
      </c>
      <c r="C19" s="22" t="s">
        <v>354</v>
      </c>
      <c r="D19" s="22" t="s">
        <v>69</v>
      </c>
      <c r="E19" s="22" t="s">
        <v>10</v>
      </c>
      <c r="F19" s="1"/>
    </row>
    <row x14ac:dyDescent="0.25" r="20" customHeight="1" ht="18.75">
      <c r="A20" s="22" t="s">
        <v>382</v>
      </c>
      <c r="B20" s="22" t="s">
        <v>129</v>
      </c>
      <c r="C20" s="22" t="s">
        <v>354</v>
      </c>
      <c r="D20" s="22" t="s">
        <v>69</v>
      </c>
      <c r="E20" s="22" t="s">
        <v>11</v>
      </c>
      <c r="F20" s="1"/>
    </row>
    <row x14ac:dyDescent="0.25" r="21" customHeight="1" ht="18.75">
      <c r="A21" s="22" t="s">
        <v>383</v>
      </c>
      <c r="B21" s="22" t="s">
        <v>129</v>
      </c>
      <c r="C21" s="22" t="s">
        <v>354</v>
      </c>
      <c r="D21" s="22" t="s">
        <v>69</v>
      </c>
      <c r="E21" s="22" t="s">
        <v>12</v>
      </c>
      <c r="F21" s="1"/>
    </row>
    <row x14ac:dyDescent="0.25" r="22" customHeight="1" ht="18.75">
      <c r="A22" s="22" t="s">
        <v>384</v>
      </c>
      <c r="B22" s="22" t="s">
        <v>129</v>
      </c>
      <c r="C22" s="22" t="s">
        <v>354</v>
      </c>
      <c r="D22" s="22" t="s">
        <v>69</v>
      </c>
      <c r="E22" s="22" t="s">
        <v>13</v>
      </c>
      <c r="F22" s="1"/>
    </row>
    <row x14ac:dyDescent="0.25" r="23" customHeight="1" ht="18.75">
      <c r="A23" s="22" t="s">
        <v>385</v>
      </c>
      <c r="B23" s="22" t="s">
        <v>129</v>
      </c>
      <c r="C23" s="22" t="s">
        <v>354</v>
      </c>
      <c r="D23" s="22" t="s">
        <v>69</v>
      </c>
      <c r="E23" s="22" t="s">
        <v>14</v>
      </c>
      <c r="F23" s="1"/>
    </row>
    <row x14ac:dyDescent="0.25" r="24" customHeight="1" ht="18.75">
      <c r="A24" s="22" t="s">
        <v>386</v>
      </c>
      <c r="B24" s="22" t="s">
        <v>129</v>
      </c>
      <c r="C24" s="22" t="s">
        <v>354</v>
      </c>
      <c r="D24" s="22" t="s">
        <v>69</v>
      </c>
      <c r="E24" s="22" t="s">
        <v>15</v>
      </c>
      <c r="F24" s="1"/>
    </row>
    <row x14ac:dyDescent="0.25" r="25" customHeight="1" ht="18.75">
      <c r="A25" s="22" t="s">
        <v>387</v>
      </c>
      <c r="B25" s="22" t="s">
        <v>129</v>
      </c>
      <c r="C25" s="22" t="s">
        <v>354</v>
      </c>
      <c r="D25" s="22" t="s">
        <v>69</v>
      </c>
      <c r="E25" s="22" t="s">
        <v>16</v>
      </c>
      <c r="F25" s="1"/>
    </row>
    <row x14ac:dyDescent="0.25" r="26" customHeight="1" ht="18.75">
      <c r="A26" s="22" t="s">
        <v>388</v>
      </c>
      <c r="B26" s="22" t="s">
        <v>129</v>
      </c>
      <c r="C26" s="22" t="s">
        <v>354</v>
      </c>
      <c r="D26" s="22" t="s">
        <v>69</v>
      </c>
      <c r="E26" s="22" t="s">
        <v>17</v>
      </c>
      <c r="F26" s="1"/>
    </row>
    <row x14ac:dyDescent="0.25" r="27" customHeight="1" ht="18.75">
      <c r="A27" s="22" t="s">
        <v>389</v>
      </c>
      <c r="B27" s="22" t="s">
        <v>129</v>
      </c>
      <c r="C27" s="22" t="s">
        <v>354</v>
      </c>
      <c r="D27" s="22" t="s">
        <v>69</v>
      </c>
      <c r="E27" s="22" t="s">
        <v>18</v>
      </c>
      <c r="F27" s="1"/>
    </row>
    <row x14ac:dyDescent="0.25" r="28" customHeight="1" ht="18.75">
      <c r="A28" s="22" t="s">
        <v>390</v>
      </c>
      <c r="B28" s="22" t="s">
        <v>129</v>
      </c>
      <c r="C28" s="22" t="s">
        <v>354</v>
      </c>
      <c r="D28" s="22" t="s">
        <v>69</v>
      </c>
      <c r="E28" s="22" t="s">
        <v>19</v>
      </c>
      <c r="F28" s="1"/>
    </row>
    <row x14ac:dyDescent="0.25" r="29" customHeight="1" ht="18.75">
      <c r="A29" s="22" t="s">
        <v>391</v>
      </c>
      <c r="B29" s="22" t="s">
        <v>129</v>
      </c>
      <c r="C29" s="22" t="s">
        <v>354</v>
      </c>
      <c r="D29" s="22" t="s">
        <v>69</v>
      </c>
      <c r="E29" s="22" t="s">
        <v>20</v>
      </c>
      <c r="F29" s="1"/>
    </row>
    <row x14ac:dyDescent="0.25" r="30" customHeight="1" ht="18.75">
      <c r="A30" s="22" t="s">
        <v>392</v>
      </c>
      <c r="B30" s="22" t="s">
        <v>129</v>
      </c>
      <c r="C30" s="22" t="s">
        <v>354</v>
      </c>
      <c r="D30" s="22" t="s">
        <v>69</v>
      </c>
      <c r="E30" s="22" t="s">
        <v>21</v>
      </c>
      <c r="F30" s="1"/>
    </row>
    <row x14ac:dyDescent="0.25" r="31" customHeight="1" ht="18.75">
      <c r="A31" s="22" t="s">
        <v>393</v>
      </c>
      <c r="B31" s="22" t="s">
        <v>129</v>
      </c>
      <c r="C31" s="22" t="s">
        <v>354</v>
      </c>
      <c r="D31" s="22" t="s">
        <v>69</v>
      </c>
      <c r="E31" s="22" t="s">
        <v>22</v>
      </c>
      <c r="F31" s="1"/>
    </row>
    <row x14ac:dyDescent="0.25" r="32" customHeight="1" ht="18.75">
      <c r="A32" s="22" t="s">
        <v>394</v>
      </c>
      <c r="B32" s="22" t="s">
        <v>129</v>
      </c>
      <c r="C32" s="22" t="s">
        <v>354</v>
      </c>
      <c r="D32" s="22" t="s">
        <v>69</v>
      </c>
      <c r="E32" s="22" t="s">
        <v>23</v>
      </c>
      <c r="F32" s="1"/>
    </row>
    <row x14ac:dyDescent="0.25" r="33" customHeight="1" ht="18.75">
      <c r="A33" s="22" t="s">
        <v>395</v>
      </c>
      <c r="B33" s="22" t="s">
        <v>129</v>
      </c>
      <c r="C33" s="22" t="s">
        <v>354</v>
      </c>
      <c r="D33" s="22" t="s">
        <v>69</v>
      </c>
      <c r="E33" s="22" t="s">
        <v>24</v>
      </c>
      <c r="F33" s="1"/>
    </row>
    <row x14ac:dyDescent="0.25" r="34" customHeight="1" ht="18.75">
      <c r="A34" s="22" t="s">
        <v>396</v>
      </c>
      <c r="B34" s="22" t="s">
        <v>129</v>
      </c>
      <c r="C34" s="22" t="s">
        <v>354</v>
      </c>
      <c r="D34" s="22" t="s">
        <v>69</v>
      </c>
      <c r="E34" s="22" t="s">
        <v>25</v>
      </c>
      <c r="F34" s="1"/>
    </row>
    <row x14ac:dyDescent="0.25" r="35" customHeight="1" ht="18.75">
      <c r="A35" s="22" t="s">
        <v>397</v>
      </c>
      <c r="B35" s="22" t="s">
        <v>129</v>
      </c>
      <c r="C35" s="22" t="s">
        <v>354</v>
      </c>
      <c r="D35" s="22" t="s">
        <v>69</v>
      </c>
      <c r="E35" s="22" t="s">
        <v>26</v>
      </c>
      <c r="F35" s="1"/>
    </row>
    <row x14ac:dyDescent="0.25" r="36" customHeight="1" ht="18.75">
      <c r="A36" s="22" t="s">
        <v>398</v>
      </c>
      <c r="B36" s="22" t="s">
        <v>129</v>
      </c>
      <c r="C36" s="22" t="s">
        <v>354</v>
      </c>
      <c r="D36" s="22" t="s">
        <v>69</v>
      </c>
      <c r="E36" s="22" t="s">
        <v>27</v>
      </c>
      <c r="F36" s="1"/>
    </row>
    <row x14ac:dyDescent="0.25" r="37" customHeight="1" ht="18.75">
      <c r="A37" s="22" t="s">
        <v>399</v>
      </c>
      <c r="B37" s="22" t="s">
        <v>129</v>
      </c>
      <c r="C37" s="22" t="s">
        <v>354</v>
      </c>
      <c r="D37" s="22" t="s">
        <v>69</v>
      </c>
      <c r="E37" s="22" t="s">
        <v>28</v>
      </c>
      <c r="F37" s="1"/>
    </row>
    <row x14ac:dyDescent="0.25" r="38" customHeight="1" ht="18.75">
      <c r="A38" s="22" t="s">
        <v>400</v>
      </c>
      <c r="B38" s="22" t="s">
        <v>129</v>
      </c>
      <c r="C38" s="22" t="s">
        <v>354</v>
      </c>
      <c r="D38" s="22" t="s">
        <v>69</v>
      </c>
      <c r="E38" s="22" t="s">
        <v>29</v>
      </c>
      <c r="F38" s="1"/>
    </row>
    <row x14ac:dyDescent="0.25" r="39" customHeight="1" ht="18.75">
      <c r="A39" s="22" t="s">
        <v>401</v>
      </c>
      <c r="B39" s="22" t="s">
        <v>129</v>
      </c>
      <c r="C39" s="22" t="s">
        <v>354</v>
      </c>
      <c r="D39" s="22" t="s">
        <v>69</v>
      </c>
      <c r="E39" s="22" t="s">
        <v>30</v>
      </c>
      <c r="F39" s="1"/>
    </row>
    <row x14ac:dyDescent="0.25" r="40" customHeight="1" ht="18.75">
      <c r="A40" s="22" t="s">
        <v>402</v>
      </c>
      <c r="B40" s="22" t="s">
        <v>129</v>
      </c>
      <c r="C40" s="22" t="s">
        <v>354</v>
      </c>
      <c r="D40" s="22" t="s">
        <v>69</v>
      </c>
      <c r="E40" s="22" t="s">
        <v>31</v>
      </c>
      <c r="F40" s="1"/>
    </row>
    <row x14ac:dyDescent="0.25" r="41" customHeight="1" ht="18.75">
      <c r="A41" s="22" t="s">
        <v>403</v>
      </c>
      <c r="B41" s="22" t="s">
        <v>129</v>
      </c>
      <c r="C41" s="22" t="s">
        <v>354</v>
      </c>
      <c r="D41" s="22" t="s">
        <v>69</v>
      </c>
      <c r="E41" s="22" t="s">
        <v>32</v>
      </c>
      <c r="F41" s="1"/>
    </row>
    <row x14ac:dyDescent="0.25" r="42" customHeight="1" ht="18.75">
      <c r="A42" s="22" t="s">
        <v>404</v>
      </c>
      <c r="B42" s="22" t="s">
        <v>129</v>
      </c>
      <c r="C42" s="22" t="s">
        <v>354</v>
      </c>
      <c r="D42" s="22" t="s">
        <v>69</v>
      </c>
      <c r="E42" s="22" t="s">
        <v>33</v>
      </c>
      <c r="F42" s="1"/>
    </row>
    <row x14ac:dyDescent="0.25" r="43" customHeight="1" ht="18.75">
      <c r="A43" s="22" t="s">
        <v>405</v>
      </c>
      <c r="B43" s="22" t="s">
        <v>129</v>
      </c>
      <c r="C43" s="22" t="s">
        <v>354</v>
      </c>
      <c r="D43" s="22" t="s">
        <v>69</v>
      </c>
      <c r="E43" s="22" t="s">
        <v>34</v>
      </c>
      <c r="F43" s="1"/>
    </row>
    <row x14ac:dyDescent="0.25" r="44" customHeight="1" ht="18.75">
      <c r="A44" s="22" t="s">
        <v>406</v>
      </c>
      <c r="B44" s="22" t="s">
        <v>129</v>
      </c>
      <c r="C44" s="22" t="s">
        <v>354</v>
      </c>
      <c r="D44" s="22" t="s">
        <v>69</v>
      </c>
      <c r="E44" s="22" t="s">
        <v>35</v>
      </c>
      <c r="F44" s="1"/>
    </row>
    <row x14ac:dyDescent="0.25" r="45" customHeight="1" ht="18.75">
      <c r="A45" s="22" t="s">
        <v>407</v>
      </c>
      <c r="B45" s="22" t="s">
        <v>129</v>
      </c>
      <c r="C45" s="22" t="s">
        <v>354</v>
      </c>
      <c r="D45" s="22" t="s">
        <v>69</v>
      </c>
      <c r="E45" s="22" t="s">
        <v>36</v>
      </c>
      <c r="F45" s="1"/>
    </row>
    <row x14ac:dyDescent="0.25" r="46" customHeight="1" ht="18.75">
      <c r="A46" s="22" t="s">
        <v>408</v>
      </c>
      <c r="B46" s="22" t="s">
        <v>129</v>
      </c>
      <c r="C46" s="22" t="s">
        <v>354</v>
      </c>
      <c r="D46" s="22" t="s">
        <v>69</v>
      </c>
      <c r="E46" s="22" t="s">
        <v>37</v>
      </c>
      <c r="F46" s="1"/>
    </row>
    <row x14ac:dyDescent="0.25" r="47" customHeight="1" ht="18.75">
      <c r="A47" s="22" t="s">
        <v>409</v>
      </c>
      <c r="B47" s="22" t="s">
        <v>129</v>
      </c>
      <c r="C47" s="22" t="s">
        <v>354</v>
      </c>
      <c r="D47" s="22" t="s">
        <v>69</v>
      </c>
      <c r="E47" s="22" t="s">
        <v>38</v>
      </c>
      <c r="F47" s="1"/>
    </row>
    <row x14ac:dyDescent="0.25" r="48" customHeight="1" ht="18.75">
      <c r="A48" s="22" t="s">
        <v>410</v>
      </c>
      <c r="B48" s="22" t="s">
        <v>129</v>
      </c>
      <c r="C48" s="22" t="s">
        <v>354</v>
      </c>
      <c r="D48" s="22" t="s">
        <v>69</v>
      </c>
      <c r="E48" s="22" t="s">
        <v>39</v>
      </c>
      <c r="F48" s="1"/>
    </row>
    <row x14ac:dyDescent="0.25" r="49" customHeight="1" ht="18.75">
      <c r="A49" s="22" t="s">
        <v>411</v>
      </c>
      <c r="B49" s="22" t="s">
        <v>129</v>
      </c>
      <c r="C49" s="22" t="s">
        <v>354</v>
      </c>
      <c r="D49" s="22" t="s">
        <v>69</v>
      </c>
      <c r="E49" s="22" t="s">
        <v>40</v>
      </c>
      <c r="F49" s="1"/>
    </row>
    <row x14ac:dyDescent="0.25" r="50" customHeight="1" ht="18.75">
      <c r="A50" s="22" t="s">
        <v>412</v>
      </c>
      <c r="B50" s="22" t="s">
        <v>129</v>
      </c>
      <c r="C50" s="22" t="s">
        <v>354</v>
      </c>
      <c r="D50" s="22" t="s">
        <v>69</v>
      </c>
      <c r="E50" s="22" t="s">
        <v>41</v>
      </c>
      <c r="F50" s="1"/>
    </row>
    <row x14ac:dyDescent="0.25" r="51" customHeight="1" ht="18.75">
      <c r="A51" s="22" t="s">
        <v>413</v>
      </c>
      <c r="B51" s="22" t="s">
        <v>129</v>
      </c>
      <c r="C51" s="22" t="s">
        <v>354</v>
      </c>
      <c r="D51" s="22" t="s">
        <v>69</v>
      </c>
      <c r="E51" s="22" t="s">
        <v>42</v>
      </c>
      <c r="F51" s="1"/>
    </row>
    <row x14ac:dyDescent="0.25" r="52" customHeight="1" ht="18.75">
      <c r="A52" s="22" t="s">
        <v>414</v>
      </c>
      <c r="B52" s="22" t="s">
        <v>129</v>
      </c>
      <c r="C52" s="22" t="s">
        <v>354</v>
      </c>
      <c r="D52" s="22" t="s">
        <v>69</v>
      </c>
      <c r="E52" s="22" t="s">
        <v>43</v>
      </c>
      <c r="F52" s="1"/>
    </row>
    <row x14ac:dyDescent="0.25" r="53" customHeight="1" ht="18.75">
      <c r="A53" s="22" t="s">
        <v>415</v>
      </c>
      <c r="B53" s="22" t="s">
        <v>129</v>
      </c>
      <c r="C53" s="22" t="s">
        <v>354</v>
      </c>
      <c r="D53" s="22" t="s">
        <v>69</v>
      </c>
      <c r="E53" s="22" t="s">
        <v>44</v>
      </c>
      <c r="F53" s="1"/>
    </row>
    <row x14ac:dyDescent="0.25" r="54" customHeight="1" ht="18.75">
      <c r="A54" s="22" t="s">
        <v>416</v>
      </c>
      <c r="B54" s="22" t="s">
        <v>129</v>
      </c>
      <c r="C54" s="22" t="s">
        <v>354</v>
      </c>
      <c r="D54" s="22" t="s">
        <v>69</v>
      </c>
      <c r="E54" s="22" t="s">
        <v>45</v>
      </c>
      <c r="F54" s="1"/>
    </row>
    <row x14ac:dyDescent="0.25" r="55" customHeight="1" ht="18.75">
      <c r="A55" s="22" t="s">
        <v>417</v>
      </c>
      <c r="B55" s="22" t="s">
        <v>129</v>
      </c>
      <c r="C55" s="22" t="s">
        <v>354</v>
      </c>
      <c r="D55" s="22" t="s">
        <v>69</v>
      </c>
      <c r="E55" s="22" t="s">
        <v>46</v>
      </c>
      <c r="F55" s="1"/>
    </row>
    <row x14ac:dyDescent="0.25" r="56" customHeight="1" ht="18.75">
      <c r="A56" s="22" t="s">
        <v>418</v>
      </c>
      <c r="B56" s="22" t="s">
        <v>129</v>
      </c>
      <c r="C56" s="22" t="s">
        <v>354</v>
      </c>
      <c r="D56" s="22" t="s">
        <v>69</v>
      </c>
      <c r="E56" s="22" t="s">
        <v>47</v>
      </c>
      <c r="F56" s="1"/>
    </row>
    <row x14ac:dyDescent="0.25" r="57" customHeight="1" ht="18.75">
      <c r="A57" s="22" t="s">
        <v>419</v>
      </c>
      <c r="B57" s="22" t="s">
        <v>129</v>
      </c>
      <c r="C57" s="22" t="s">
        <v>354</v>
      </c>
      <c r="D57" s="22" t="s">
        <v>69</v>
      </c>
      <c r="E57" s="22" t="s">
        <v>48</v>
      </c>
      <c r="F57" s="1"/>
    </row>
    <row x14ac:dyDescent="0.25" r="58" customHeight="1" ht="18.75">
      <c r="A58" s="22" t="s">
        <v>420</v>
      </c>
      <c r="B58" s="22" t="s">
        <v>129</v>
      </c>
      <c r="C58" s="22" t="s">
        <v>354</v>
      </c>
      <c r="D58" s="22" t="s">
        <v>69</v>
      </c>
      <c r="E58" s="22" t="s">
        <v>49</v>
      </c>
      <c r="F58" s="1"/>
    </row>
    <row x14ac:dyDescent="0.25" r="59" customHeight="1" ht="18.75">
      <c r="A59" s="22" t="s">
        <v>421</v>
      </c>
      <c r="B59" s="22" t="s">
        <v>129</v>
      </c>
      <c r="C59" s="22" t="s">
        <v>354</v>
      </c>
      <c r="D59" s="22" t="s">
        <v>69</v>
      </c>
      <c r="E59" s="22" t="s">
        <v>50</v>
      </c>
      <c r="F59" s="1"/>
    </row>
    <row x14ac:dyDescent="0.25" r="60" customHeight="1" ht="18.75">
      <c r="A60" s="22" t="s">
        <v>422</v>
      </c>
      <c r="B60" s="22" t="s">
        <v>129</v>
      </c>
      <c r="C60" s="22" t="s">
        <v>354</v>
      </c>
      <c r="D60" s="22" t="s">
        <v>69</v>
      </c>
      <c r="E60" s="22" t="s">
        <v>51</v>
      </c>
      <c r="F60" s="1"/>
    </row>
    <row x14ac:dyDescent="0.25" r="61" customHeight="1" ht="18.75">
      <c r="A61" s="22" t="s">
        <v>423</v>
      </c>
      <c r="B61" s="22" t="s">
        <v>129</v>
      </c>
      <c r="C61" s="22" t="s">
        <v>354</v>
      </c>
      <c r="D61" s="22" t="s">
        <v>69</v>
      </c>
      <c r="E61" s="22" t="s">
        <v>52</v>
      </c>
      <c r="F61" s="1"/>
    </row>
    <row x14ac:dyDescent="0.25" r="62" customHeight="1" ht="18.75">
      <c r="A62" s="22" t="s">
        <v>424</v>
      </c>
      <c r="B62" s="22" t="s">
        <v>129</v>
      </c>
      <c r="C62" s="22" t="s">
        <v>354</v>
      </c>
      <c r="D62" s="22" t="s">
        <v>69</v>
      </c>
      <c r="E62" s="22" t="s">
        <v>53</v>
      </c>
      <c r="F62" s="1"/>
    </row>
    <row x14ac:dyDescent="0.25" r="63" customHeight="1" ht="18.75">
      <c r="A63" s="22" t="s">
        <v>425</v>
      </c>
      <c r="B63" s="22" t="s">
        <v>129</v>
      </c>
      <c r="C63" s="22" t="s">
        <v>354</v>
      </c>
      <c r="D63" s="22" t="s">
        <v>69</v>
      </c>
      <c r="E63" s="22" t="s">
        <v>54</v>
      </c>
      <c r="F63" s="1"/>
    </row>
    <row x14ac:dyDescent="0.25" r="64" customHeight="1" ht="18.75">
      <c r="A64" s="22" t="s">
        <v>426</v>
      </c>
      <c r="B64" s="22" t="s">
        <v>129</v>
      </c>
      <c r="C64" s="22" t="s">
        <v>354</v>
      </c>
      <c r="D64" s="22" t="s">
        <v>69</v>
      </c>
      <c r="E64" s="22" t="s">
        <v>55</v>
      </c>
      <c r="F64" s="1"/>
    </row>
    <row x14ac:dyDescent="0.25" r="65" customHeight="1" ht="18.75">
      <c r="A65" s="22" t="s">
        <v>427</v>
      </c>
      <c r="B65" s="22" t="s">
        <v>129</v>
      </c>
      <c r="C65" s="22" t="s">
        <v>354</v>
      </c>
      <c r="D65" s="22" t="s">
        <v>69</v>
      </c>
      <c r="E65" s="22" t="s">
        <v>56</v>
      </c>
      <c r="F65" s="1"/>
    </row>
    <row x14ac:dyDescent="0.25" r="66" customHeight="1" ht="18.75">
      <c r="A66" s="22" t="s">
        <v>428</v>
      </c>
      <c r="B66" s="22" t="s">
        <v>129</v>
      </c>
      <c r="C66" s="22" t="s">
        <v>354</v>
      </c>
      <c r="D66" s="22" t="s">
        <v>69</v>
      </c>
      <c r="E66" s="22" t="s">
        <v>57</v>
      </c>
      <c r="F66" s="1"/>
    </row>
    <row x14ac:dyDescent="0.25" r="67" customHeight="1" ht="18.75">
      <c r="A67" s="22" t="s">
        <v>429</v>
      </c>
      <c r="B67" s="22" t="s">
        <v>129</v>
      </c>
      <c r="C67" s="22" t="s">
        <v>354</v>
      </c>
      <c r="D67" s="22" t="s">
        <v>69</v>
      </c>
      <c r="E67" s="22" t="s">
        <v>58</v>
      </c>
      <c r="F67" s="1"/>
    </row>
    <row x14ac:dyDescent="0.25" r="68" customHeight="1" ht="18.75">
      <c r="A68" s="22" t="s">
        <v>430</v>
      </c>
      <c r="B68" s="22" t="s">
        <v>93</v>
      </c>
      <c r="C68" s="22" t="s">
        <v>354</v>
      </c>
      <c r="D68" s="22" t="s">
        <v>69</v>
      </c>
      <c r="E68" s="22" t="s">
        <v>431</v>
      </c>
      <c r="F68" s="22" t="s">
        <v>95</v>
      </c>
    </row>
    <row x14ac:dyDescent="0.25" r="69" customHeight="1" ht="18.75">
      <c r="A69" s="22" t="s">
        <v>432</v>
      </c>
      <c r="B69" s="22" t="s">
        <v>93</v>
      </c>
      <c r="C69" s="22" t="s">
        <v>354</v>
      </c>
      <c r="D69" s="22" t="s">
        <v>69</v>
      </c>
      <c r="E69" s="22" t="s">
        <v>433</v>
      </c>
      <c r="F69" s="22" t="s">
        <v>95</v>
      </c>
    </row>
    <row x14ac:dyDescent="0.25" r="70" customHeight="1" ht="18.75">
      <c r="A70" s="22" t="s">
        <v>434</v>
      </c>
      <c r="B70" s="22" t="s">
        <v>93</v>
      </c>
      <c r="C70" s="22" t="s">
        <v>354</v>
      </c>
      <c r="D70" s="22" t="s">
        <v>69</v>
      </c>
      <c r="E70" s="22" t="s">
        <v>435</v>
      </c>
      <c r="F70" s="22" t="s">
        <v>95</v>
      </c>
    </row>
    <row x14ac:dyDescent="0.25" r="71" customHeight="1" ht="18.75">
      <c r="A71" s="22" t="s">
        <v>436</v>
      </c>
      <c r="B71" s="22" t="s">
        <v>93</v>
      </c>
      <c r="C71" s="22" t="s">
        <v>354</v>
      </c>
      <c r="D71" s="22" t="s">
        <v>69</v>
      </c>
      <c r="E71" s="22" t="s">
        <v>437</v>
      </c>
      <c r="F71" s="22" t="s">
        <v>95</v>
      </c>
    </row>
    <row x14ac:dyDescent="0.25" r="72" customHeight="1" ht="18.75">
      <c r="A72" s="22" t="s">
        <v>438</v>
      </c>
      <c r="B72" s="22" t="s">
        <v>93</v>
      </c>
      <c r="C72" s="22" t="s">
        <v>354</v>
      </c>
      <c r="D72" s="22" t="s">
        <v>69</v>
      </c>
      <c r="E72" s="22" t="s">
        <v>439</v>
      </c>
      <c r="F72" s="22" t="s">
        <v>95</v>
      </c>
    </row>
    <row x14ac:dyDescent="0.25" r="73" customHeight="1" ht="18.75">
      <c r="A73" s="22" t="s">
        <v>440</v>
      </c>
      <c r="B73" s="22" t="s">
        <v>93</v>
      </c>
      <c r="C73" s="22" t="s">
        <v>354</v>
      </c>
      <c r="D73" s="22" t="s">
        <v>69</v>
      </c>
      <c r="E73" s="22" t="s">
        <v>441</v>
      </c>
      <c r="F73" s="22" t="s">
        <v>95</v>
      </c>
    </row>
    <row x14ac:dyDescent="0.25" r="74" customHeight="1" ht="18.75">
      <c r="A74" s="22" t="s">
        <v>442</v>
      </c>
      <c r="B74" s="22" t="s">
        <v>93</v>
      </c>
      <c r="C74" s="22" t="s">
        <v>354</v>
      </c>
      <c r="D74" s="22" t="s">
        <v>69</v>
      </c>
      <c r="E74" s="22" t="s">
        <v>443</v>
      </c>
      <c r="F74" s="22" t="s">
        <v>95</v>
      </c>
    </row>
    <row x14ac:dyDescent="0.25" r="75" customHeight="1" ht="18.75">
      <c r="A75" s="22" t="s">
        <v>444</v>
      </c>
      <c r="B75" s="22" t="s">
        <v>93</v>
      </c>
      <c r="C75" s="22" t="s">
        <v>354</v>
      </c>
      <c r="D75" s="22" t="s">
        <v>69</v>
      </c>
      <c r="E75" s="22" t="s">
        <v>445</v>
      </c>
      <c r="F75" s="22" t="s">
        <v>95</v>
      </c>
    </row>
    <row x14ac:dyDescent="0.25" r="76" customHeight="1" ht="18.75">
      <c r="A76" s="22" t="s">
        <v>446</v>
      </c>
      <c r="B76" s="22" t="s">
        <v>93</v>
      </c>
      <c r="C76" s="22" t="s">
        <v>354</v>
      </c>
      <c r="D76" s="22" t="s">
        <v>69</v>
      </c>
      <c r="E76" s="22" t="s">
        <v>447</v>
      </c>
      <c r="F76" s="22" t="s">
        <v>95</v>
      </c>
    </row>
    <row x14ac:dyDescent="0.25" r="77" customHeight="1" ht="18.75">
      <c r="A77" s="22" t="s">
        <v>448</v>
      </c>
      <c r="B77" s="22" t="s">
        <v>93</v>
      </c>
      <c r="C77" s="22" t="s">
        <v>354</v>
      </c>
      <c r="D77" s="22" t="s">
        <v>69</v>
      </c>
      <c r="E77" s="22" t="s">
        <v>449</v>
      </c>
      <c r="F77" s="22" t="s">
        <v>95</v>
      </c>
    </row>
    <row x14ac:dyDescent="0.25" r="78" customHeight="1" ht="18.75">
      <c r="A78" s="22" t="s">
        <v>450</v>
      </c>
      <c r="B78" s="22" t="s">
        <v>93</v>
      </c>
      <c r="C78" s="22" t="s">
        <v>354</v>
      </c>
      <c r="D78" s="22" t="s">
        <v>69</v>
      </c>
      <c r="E78" s="22" t="s">
        <v>451</v>
      </c>
      <c r="F78" s="22" t="s">
        <v>95</v>
      </c>
    </row>
    <row x14ac:dyDescent="0.25" r="79" customHeight="1" ht="13">
      <c r="A79" s="22" t="s">
        <v>452</v>
      </c>
      <c r="B79" s="22" t="s">
        <v>93</v>
      </c>
      <c r="C79" s="22" t="s">
        <v>354</v>
      </c>
      <c r="D79" s="22" t="s">
        <v>69</v>
      </c>
      <c r="E79" s="22" t="s">
        <v>453</v>
      </c>
      <c r="F79" s="22" t="s">
        <v>95</v>
      </c>
    </row>
    <row x14ac:dyDescent="0.25" r="80" customHeight="1" ht="13">
      <c r="A80" s="22" t="s">
        <v>454</v>
      </c>
      <c r="B80" s="22" t="s">
        <v>93</v>
      </c>
      <c r="C80" s="22" t="s">
        <v>354</v>
      </c>
      <c r="D80" s="22" t="s">
        <v>69</v>
      </c>
      <c r="E80" s="22" t="s">
        <v>455</v>
      </c>
      <c r="F80" s="22" t="s">
        <v>95</v>
      </c>
    </row>
    <row x14ac:dyDescent="0.25" r="81" customHeight="1" ht="13">
      <c r="A81" s="22" t="s">
        <v>456</v>
      </c>
      <c r="B81" s="22" t="s">
        <v>93</v>
      </c>
      <c r="C81" s="22" t="s">
        <v>354</v>
      </c>
      <c r="D81" s="22" t="s">
        <v>69</v>
      </c>
      <c r="E81" s="22" t="s">
        <v>457</v>
      </c>
      <c r="F81" s="22" t="s">
        <v>95</v>
      </c>
    </row>
    <row x14ac:dyDescent="0.25" r="82" customHeight="1" ht="13">
      <c r="A82" s="22" t="s">
        <v>458</v>
      </c>
      <c r="B82" s="22" t="s">
        <v>93</v>
      </c>
      <c r="C82" s="22" t="s">
        <v>354</v>
      </c>
      <c r="D82" s="22" t="s">
        <v>69</v>
      </c>
      <c r="E82" s="22" t="s">
        <v>459</v>
      </c>
      <c r="F82" s="22" t="s">
        <v>95</v>
      </c>
    </row>
    <row x14ac:dyDescent="0.25" r="83" customHeight="1" ht="13">
      <c r="A83" s="22" t="s">
        <v>460</v>
      </c>
      <c r="B83" s="22" t="s">
        <v>93</v>
      </c>
      <c r="C83" s="22" t="s">
        <v>354</v>
      </c>
      <c r="D83" s="22" t="s">
        <v>69</v>
      </c>
      <c r="E83" s="22" t="s">
        <v>461</v>
      </c>
      <c r="F83" s="22" t="s">
        <v>95</v>
      </c>
    </row>
    <row x14ac:dyDescent="0.25" r="84" customHeight="1" ht="13">
      <c r="A84" s="22" t="s">
        <v>462</v>
      </c>
      <c r="B84" s="22" t="s">
        <v>93</v>
      </c>
      <c r="C84" s="22" t="s">
        <v>354</v>
      </c>
      <c r="D84" s="22" t="s">
        <v>80</v>
      </c>
      <c r="E84" s="22" t="s">
        <v>463</v>
      </c>
      <c r="F84" s="22" t="s">
        <v>95</v>
      </c>
    </row>
    <row x14ac:dyDescent="0.25" r="85" customHeight="1" ht="13">
      <c r="A85" s="22" t="s">
        <v>71</v>
      </c>
      <c r="B85" s="22" t="s">
        <v>72</v>
      </c>
      <c r="C85" s="22" t="s">
        <v>73</v>
      </c>
      <c r="D85" s="22" t="s">
        <v>69</v>
      </c>
      <c r="E85" s="22" t="s">
        <v>59</v>
      </c>
      <c r="F85" s="1"/>
    </row>
    <row x14ac:dyDescent="0.25" r="86" customHeight="1" ht="13">
      <c r="A86" s="22" t="s">
        <v>74</v>
      </c>
      <c r="B86" s="22" t="s">
        <v>72</v>
      </c>
      <c r="C86" s="22" t="s">
        <v>75</v>
      </c>
      <c r="D86" s="22" t="s">
        <v>69</v>
      </c>
      <c r="E86" s="22" t="s">
        <v>76</v>
      </c>
      <c r="F86" s="1"/>
    </row>
    <row x14ac:dyDescent="0.25" r="87" customHeight="1" ht="13">
      <c r="A87" s="22" t="s">
        <v>464</v>
      </c>
      <c r="B87" s="22" t="s">
        <v>465</v>
      </c>
      <c r="C87" s="22" t="s">
        <v>354</v>
      </c>
      <c r="D87" s="22" t="s">
        <v>80</v>
      </c>
      <c r="E87" s="22" t="s">
        <v>466</v>
      </c>
      <c r="F87" s="22" t="s">
        <v>95</v>
      </c>
    </row>
    <row x14ac:dyDescent="0.25" r="88" customHeight="1" ht="13">
      <c r="A88" s="22" t="s">
        <v>467</v>
      </c>
      <c r="B88" s="22" t="s">
        <v>468</v>
      </c>
      <c r="C88" s="22" t="s">
        <v>354</v>
      </c>
      <c r="D88" s="22" t="s">
        <v>80</v>
      </c>
      <c r="E88" s="22" t="s">
        <v>469</v>
      </c>
      <c r="F88" s="22" t="s">
        <v>95</v>
      </c>
    </row>
    <row x14ac:dyDescent="0.25" r="89" customHeight="1" ht="13">
      <c r="A89" s="22" t="s">
        <v>470</v>
      </c>
      <c r="B89" s="22" t="s">
        <v>340</v>
      </c>
      <c r="C89" s="22" t="s">
        <v>354</v>
      </c>
      <c r="D89" s="22" t="s">
        <v>80</v>
      </c>
      <c r="E89" s="22" t="s">
        <v>471</v>
      </c>
      <c r="F89" s="22" t="s">
        <v>472</v>
      </c>
    </row>
    <row x14ac:dyDescent="0.25" r="90" customHeight="1" ht="13">
      <c r="A90" s="22" t="s">
        <v>473</v>
      </c>
      <c r="B90" s="22" t="s">
        <v>78</v>
      </c>
      <c r="C90" s="22" t="s">
        <v>354</v>
      </c>
      <c r="D90" s="22" t="s">
        <v>80</v>
      </c>
      <c r="E90" s="22" t="s">
        <v>474</v>
      </c>
      <c r="F90" s="22" t="s">
        <v>358</v>
      </c>
    </row>
    <row x14ac:dyDescent="0.25" r="91" customHeight="1" ht="13">
      <c r="A91" s="22" t="s">
        <v>475</v>
      </c>
      <c r="B91" s="22" t="s">
        <v>78</v>
      </c>
      <c r="C91" s="22" t="s">
        <v>354</v>
      </c>
      <c r="D91" s="22" t="s">
        <v>80</v>
      </c>
      <c r="E91" s="22" t="s">
        <v>476</v>
      </c>
      <c r="F91" s="22" t="s">
        <v>358</v>
      </c>
    </row>
    <row x14ac:dyDescent="0.25" r="92" customHeight="1" ht="13">
      <c r="A92" s="1"/>
      <c r="B92" s="1"/>
      <c r="C92" s="1"/>
      <c r="D92" s="1"/>
      <c r="E92" s="1"/>
      <c r="F92" s="1"/>
    </row>
    <row x14ac:dyDescent="0.25" r="93" customHeight="1" ht="13">
      <c r="A93" s="1"/>
      <c r="B93" s="1"/>
      <c r="C93" s="1"/>
      <c r="D93" s="1"/>
      <c r="E93" s="1"/>
      <c r="F93" s="1"/>
    </row>
    <row x14ac:dyDescent="0.25" r="94" customHeight="1" ht="13">
      <c r="A94" s="1"/>
      <c r="B94" s="1"/>
      <c r="C94" s="1"/>
      <c r="D94" s="1"/>
      <c r="E94" s="1"/>
      <c r="F94" s="1"/>
    </row>
    <row x14ac:dyDescent="0.25" r="95" customHeight="1" ht="13">
      <c r="A95" s="1"/>
      <c r="B95" s="1"/>
      <c r="C95" s="1"/>
      <c r="D95" s="1"/>
      <c r="E95" s="1"/>
      <c r="F95" s="1"/>
    </row>
    <row x14ac:dyDescent="0.25" r="96" customHeight="1" ht="13">
      <c r="A96" s="1"/>
      <c r="B96" s="1"/>
      <c r="C96" s="1"/>
      <c r="D96" s="1"/>
      <c r="E96" s="1"/>
      <c r="F96" s="1"/>
    </row>
    <row x14ac:dyDescent="0.25" r="97" customHeight="1" ht="13">
      <c r="A97" s="1"/>
      <c r="B97" s="1"/>
      <c r="C97" s="1"/>
      <c r="D97" s="1"/>
      <c r="E97" s="1"/>
      <c r="F97" s="1"/>
    </row>
    <row x14ac:dyDescent="0.25" r="98" customHeight="1" ht="13">
      <c r="A98" s="1"/>
      <c r="B98" s="1"/>
      <c r="C98" s="1"/>
      <c r="D98" s="1"/>
      <c r="E98" s="1"/>
      <c r="F98" s="1"/>
    </row>
    <row x14ac:dyDescent="0.25" r="99" customHeight="1" ht="13">
      <c r="A99" s="1"/>
      <c r="B99" s="1"/>
      <c r="C99" s="1"/>
      <c r="D99" s="1"/>
      <c r="E99" s="1"/>
      <c r="F99" s="1"/>
    </row>
    <row x14ac:dyDescent="0.25" r="100" customHeight="1" ht="13">
      <c r="A100" s="1"/>
      <c r="B100" s="1"/>
      <c r="C100" s="1"/>
      <c r="D100" s="1"/>
      <c r="E100" s="1"/>
      <c r="F100" s="1"/>
    </row>
    <row x14ac:dyDescent="0.25" r="101" customHeight="1" ht="13">
      <c r="A101" s="1"/>
      <c r="B101" s="1"/>
      <c r="C101" s="1"/>
      <c r="D101" s="1"/>
      <c r="E101" s="1"/>
      <c r="F101" s="1"/>
    </row>
    <row x14ac:dyDescent="0.25" r="102" customHeight="1" ht="13">
      <c r="A102" s="1"/>
      <c r="B102" s="1"/>
      <c r="C102" s="1"/>
      <c r="D102" s="1"/>
      <c r="E102" s="1"/>
      <c r="F102" s="1"/>
    </row>
    <row x14ac:dyDescent="0.25" r="103" customHeight="1" ht="13">
      <c r="A103" s="1"/>
      <c r="B103" s="1"/>
      <c r="C103" s="1"/>
      <c r="D103" s="1"/>
      <c r="E103" s="1"/>
      <c r="F103" s="1"/>
    </row>
    <row x14ac:dyDescent="0.25" r="104" customHeight="1" ht="13">
      <c r="A104" s="1"/>
      <c r="B104" s="1"/>
      <c r="C104" s="1"/>
      <c r="D104" s="1"/>
      <c r="E104" s="1"/>
      <c r="F104" s="1"/>
    </row>
    <row x14ac:dyDescent="0.25" r="105" customHeight="1" ht="13">
      <c r="A105" s="1"/>
      <c r="B105" s="1"/>
      <c r="C105" s="1"/>
      <c r="D105" s="1"/>
      <c r="E105" s="1"/>
      <c r="F105" s="1"/>
    </row>
    <row x14ac:dyDescent="0.25" r="106" customHeight="1" ht="13">
      <c r="A106" s="1"/>
      <c r="B106" s="1"/>
      <c r="C106" s="1"/>
      <c r="D106" s="1"/>
      <c r="E106" s="1"/>
      <c r="F106" s="1"/>
    </row>
    <row x14ac:dyDescent="0.25" r="107" customHeight="1" ht="13">
      <c r="A107" s="1"/>
      <c r="B107" s="1"/>
      <c r="C107" s="1"/>
      <c r="D107" s="1"/>
      <c r="E107" s="1"/>
      <c r="F107" s="1"/>
    </row>
    <row x14ac:dyDescent="0.25" r="108" customHeight="1" ht="13">
      <c r="A108" s="1"/>
      <c r="B108" s="1"/>
      <c r="C108" s="1"/>
      <c r="D108" s="1"/>
      <c r="E108" s="1"/>
      <c r="F108" s="1"/>
    </row>
    <row x14ac:dyDescent="0.25" r="109" customHeight="1" ht="13">
      <c r="A109" s="1"/>
      <c r="B109" s="1"/>
      <c r="C109" s="1"/>
      <c r="D109" s="1"/>
      <c r="E109" s="1"/>
      <c r="F109" s="1"/>
    </row>
    <row x14ac:dyDescent="0.25" r="110" customHeight="1" ht="13">
      <c r="A110" s="1"/>
      <c r="B110" s="1"/>
      <c r="C110" s="1"/>
      <c r="D110" s="1"/>
      <c r="E110" s="1"/>
      <c r="F110" s="1"/>
    </row>
    <row x14ac:dyDescent="0.25" r="111" customHeight="1" ht="13">
      <c r="A111" s="1"/>
      <c r="B111" s="1"/>
      <c r="C111" s="1"/>
      <c r="D111" s="1"/>
      <c r="E111" s="1"/>
      <c r="F111" s="1"/>
    </row>
    <row x14ac:dyDescent="0.25" r="112" customHeight="1" ht="13">
      <c r="A112" s="1"/>
      <c r="B112" s="1"/>
      <c r="C112" s="1"/>
      <c r="D112" s="1"/>
      <c r="E112" s="1"/>
      <c r="F112" s="1"/>
    </row>
    <row x14ac:dyDescent="0.25" r="113" customHeight="1" ht="13">
      <c r="A113" s="1"/>
      <c r="B113" s="1"/>
      <c r="C113" s="1"/>
      <c r="D113" s="1"/>
      <c r="E113" s="1"/>
      <c r="F113" s="1"/>
    </row>
    <row x14ac:dyDescent="0.25" r="114" customHeight="1" ht="13">
      <c r="A114" s="1"/>
      <c r="B114" s="1"/>
      <c r="C114" s="1"/>
      <c r="D114" s="1"/>
      <c r="E114" s="1"/>
      <c r="F114" s="1"/>
    </row>
    <row x14ac:dyDescent="0.25" r="115" customHeight="1" ht="13">
      <c r="A115" s="1"/>
      <c r="B115" s="1"/>
      <c r="C115" s="1"/>
      <c r="D115" s="1"/>
      <c r="E115" s="1"/>
      <c r="F115" s="1"/>
    </row>
    <row x14ac:dyDescent="0.25" r="116" customHeight="1" ht="13">
      <c r="A116" s="1"/>
      <c r="B116" s="1"/>
      <c r="C116" s="1"/>
      <c r="D116" s="1"/>
      <c r="E116" s="1"/>
      <c r="F116" s="1"/>
    </row>
    <row x14ac:dyDescent="0.25" r="117" customHeight="1" ht="13">
      <c r="A117" s="1"/>
      <c r="B117" s="1"/>
      <c r="C117" s="1"/>
      <c r="D117" s="1"/>
      <c r="E117" s="1"/>
      <c r="F117" s="1"/>
    </row>
    <row x14ac:dyDescent="0.25" r="118" customHeight="1" ht="13">
      <c r="A118" s="1"/>
      <c r="B118" s="1"/>
      <c r="C118" s="1"/>
      <c r="D118" s="1"/>
      <c r="E118" s="1"/>
      <c r="F118" s="1"/>
    </row>
    <row x14ac:dyDescent="0.25" r="119" customHeight="1" ht="13">
      <c r="A119" s="1"/>
      <c r="B119" s="1"/>
      <c r="C119" s="1"/>
      <c r="D119" s="1"/>
      <c r="E119" s="1"/>
      <c r="F119" s="1"/>
    </row>
    <row x14ac:dyDescent="0.25" r="120" customHeight="1" ht="13">
      <c r="A120" s="1"/>
      <c r="B120" s="1"/>
      <c r="C120" s="1"/>
      <c r="D120" s="1"/>
      <c r="E120" s="1"/>
      <c r="F120" s="1"/>
    </row>
    <row x14ac:dyDescent="0.25" r="121" customHeight="1" ht="13">
      <c r="A121" s="1"/>
      <c r="B121" s="1"/>
      <c r="C121" s="1"/>
      <c r="D121" s="1"/>
      <c r="E121" s="1"/>
      <c r="F121" s="1"/>
    </row>
    <row x14ac:dyDescent="0.25" r="122" customHeight="1" ht="13">
      <c r="A122" s="1"/>
      <c r="B122" s="1"/>
      <c r="C122" s="1"/>
      <c r="D122" s="1"/>
      <c r="E122" s="1"/>
      <c r="F122" s="1"/>
    </row>
    <row x14ac:dyDescent="0.25" r="123" customHeight="1" ht="13">
      <c r="A123" s="1"/>
      <c r="B123" s="1"/>
      <c r="C123" s="1"/>
      <c r="D123" s="1"/>
      <c r="E123" s="1"/>
      <c r="F123" s="1"/>
    </row>
    <row x14ac:dyDescent="0.25" r="124" customHeight="1" ht="13">
      <c r="A124" s="1"/>
      <c r="B124" s="1"/>
      <c r="C124" s="1"/>
      <c r="D124" s="1"/>
      <c r="E124" s="1"/>
      <c r="F124" s="1"/>
    </row>
    <row x14ac:dyDescent="0.25" r="125" customHeight="1" ht="13">
      <c r="A125" s="1"/>
      <c r="B125" s="1"/>
      <c r="C125" s="1"/>
      <c r="D125" s="1"/>
      <c r="E125" s="1"/>
      <c r="F125" s="1"/>
    </row>
    <row x14ac:dyDescent="0.25" r="126" customHeight="1" ht="13">
      <c r="A126" s="1"/>
      <c r="B126" s="1"/>
      <c r="C126" s="1"/>
      <c r="D126" s="1"/>
      <c r="E126" s="1"/>
      <c r="F126" s="1"/>
    </row>
    <row x14ac:dyDescent="0.25" r="127" customHeight="1" ht="13">
      <c r="A127" s="1"/>
      <c r="B127" s="1"/>
      <c r="C127" s="1"/>
      <c r="D127" s="1"/>
      <c r="E127" s="1"/>
      <c r="F127" s="1"/>
    </row>
    <row x14ac:dyDescent="0.25" r="128" customHeight="1" ht="13">
      <c r="A128" s="1"/>
      <c r="B128" s="1"/>
      <c r="C128" s="1"/>
      <c r="D128" s="1"/>
      <c r="E128" s="1"/>
      <c r="F128" s="1"/>
    </row>
    <row x14ac:dyDescent="0.25" r="129" customHeight="1" ht="13">
      <c r="A129" s="1"/>
      <c r="B129" s="1"/>
      <c r="C129" s="1"/>
      <c r="D129" s="1"/>
      <c r="E129" s="1"/>
      <c r="F129" s="1"/>
    </row>
    <row x14ac:dyDescent="0.25" r="130" customHeight="1" ht="13">
      <c r="A130" s="1"/>
      <c r="B130" s="1"/>
      <c r="C130" s="1"/>
      <c r="D130" s="1"/>
      <c r="E130" s="1"/>
      <c r="F130" s="1"/>
    </row>
    <row x14ac:dyDescent="0.25" r="131" customHeight="1" ht="13">
      <c r="A131" s="1"/>
      <c r="B131" s="1"/>
      <c r="C131" s="1"/>
      <c r="D131" s="1"/>
      <c r="E131" s="1"/>
      <c r="F131" s="1"/>
    </row>
    <row x14ac:dyDescent="0.25" r="132" customHeight="1" ht="13">
      <c r="A132" s="1"/>
      <c r="B132" s="1"/>
      <c r="C132" s="1"/>
      <c r="D132" s="1"/>
      <c r="E132" s="1"/>
      <c r="F1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4"/>
  <sheetViews>
    <sheetView workbookViewId="0" tabSelected="1"/>
  </sheetViews>
  <sheetFormatPr defaultRowHeight="15" x14ac:dyDescent="0.25"/>
  <cols>
    <col min="1" max="1" style="23" width="31.14785714285714" customWidth="1" bestFit="1"/>
    <col min="2" max="2" style="23" width="17.576428571428572" customWidth="1" bestFit="1"/>
    <col min="3" max="3" style="23" width="16.005" customWidth="1" bestFit="1"/>
    <col min="4" max="4" style="23" width="13.576428571428572" customWidth="1" bestFit="1"/>
    <col min="5" max="5" style="23" width="13.147857142857141" customWidth="1" bestFit="1"/>
    <col min="6" max="6" style="23" width="13.576428571428572" customWidth="1" bestFit="1"/>
  </cols>
  <sheetData>
    <row x14ac:dyDescent="0.25" r="1" customHeight="1" ht="18.75">
      <c r="A1" s="21" t="s">
        <v>60</v>
      </c>
      <c r="B1" s="21" t="s">
        <v>61</v>
      </c>
      <c r="C1" s="21" t="s">
        <v>62</v>
      </c>
      <c r="D1" s="21" t="s">
        <v>63</v>
      </c>
      <c r="E1" s="21" t="s">
        <v>64</v>
      </c>
      <c r="F1" s="21" t="s">
        <v>65</v>
      </c>
    </row>
    <row x14ac:dyDescent="0.25" r="2" customHeight="1" ht="21">
      <c r="A2" s="22" t="s">
        <v>228</v>
      </c>
      <c r="B2" s="22" t="s">
        <v>67</v>
      </c>
      <c r="C2" s="22" t="s">
        <v>229</v>
      </c>
      <c r="D2" s="22" t="s">
        <v>69</v>
      </c>
      <c r="E2" s="22" t="s">
        <v>4</v>
      </c>
      <c r="F2" s="24"/>
    </row>
    <row x14ac:dyDescent="0.25" r="3" customHeight="1" ht="21">
      <c r="A3" s="22" t="s">
        <v>138</v>
      </c>
      <c r="B3" s="22" t="s">
        <v>67</v>
      </c>
      <c r="C3" s="22" t="s">
        <v>139</v>
      </c>
      <c r="D3" s="22" t="s">
        <v>69</v>
      </c>
      <c r="E3" s="22" t="s">
        <v>140</v>
      </c>
      <c r="F3" s="24"/>
    </row>
    <row x14ac:dyDescent="0.25" r="4" customHeight="1" ht="21">
      <c r="A4" s="22" t="s">
        <v>230</v>
      </c>
      <c r="B4" s="22" t="s">
        <v>67</v>
      </c>
      <c r="C4" s="22" t="s">
        <v>231</v>
      </c>
      <c r="D4" s="22" t="s">
        <v>69</v>
      </c>
      <c r="E4" s="22" t="s">
        <v>5</v>
      </c>
      <c r="F4" s="24"/>
    </row>
    <row x14ac:dyDescent="0.25" r="5" customHeight="1" ht="21">
      <c r="A5" s="22" t="s">
        <v>66</v>
      </c>
      <c r="B5" s="22" t="s">
        <v>67</v>
      </c>
      <c r="C5" s="22" t="s">
        <v>68</v>
      </c>
      <c r="D5" s="22" t="s">
        <v>69</v>
      </c>
      <c r="E5" s="22" t="s">
        <v>70</v>
      </c>
      <c r="F5" s="24"/>
    </row>
    <row x14ac:dyDescent="0.25" r="6" customHeight="1" ht="21">
      <c r="A6" s="22" t="s">
        <v>141</v>
      </c>
      <c r="B6" s="22" t="s">
        <v>67</v>
      </c>
      <c r="C6" s="22" t="s">
        <v>142</v>
      </c>
      <c r="D6" s="22" t="s">
        <v>69</v>
      </c>
      <c r="E6" s="22" t="s">
        <v>143</v>
      </c>
      <c r="F6" s="24"/>
    </row>
    <row x14ac:dyDescent="0.25" r="7" customHeight="1" ht="21">
      <c r="A7" s="22" t="s">
        <v>232</v>
      </c>
      <c r="B7" s="22" t="s">
        <v>67</v>
      </c>
      <c r="C7" s="22" t="s">
        <v>233</v>
      </c>
      <c r="D7" s="22" t="s">
        <v>69</v>
      </c>
      <c r="E7" s="22" t="s">
        <v>234</v>
      </c>
      <c r="F7" s="24"/>
    </row>
    <row x14ac:dyDescent="0.25" r="8" customHeight="1" ht="21">
      <c r="A8" s="22" t="s">
        <v>235</v>
      </c>
      <c r="B8" s="22" t="s">
        <v>67</v>
      </c>
      <c r="C8" s="22" t="s">
        <v>236</v>
      </c>
      <c r="D8" s="22" t="s">
        <v>69</v>
      </c>
      <c r="E8" s="22" t="s">
        <v>237</v>
      </c>
      <c r="F8" s="24"/>
    </row>
    <row x14ac:dyDescent="0.25" r="9" customHeight="1" ht="21">
      <c r="A9" s="22" t="s">
        <v>238</v>
      </c>
      <c r="B9" s="22" t="s">
        <v>67</v>
      </c>
      <c r="C9" s="22" t="s">
        <v>239</v>
      </c>
      <c r="D9" s="22" t="s">
        <v>69</v>
      </c>
      <c r="E9" s="22" t="s">
        <v>240</v>
      </c>
      <c r="F9" s="24"/>
    </row>
    <row x14ac:dyDescent="0.25" r="10" customHeight="1" ht="21">
      <c r="A10" s="22" t="s">
        <v>71</v>
      </c>
      <c r="B10" s="22" t="s">
        <v>72</v>
      </c>
      <c r="C10" s="22" t="s">
        <v>73</v>
      </c>
      <c r="D10" s="22" t="s">
        <v>69</v>
      </c>
      <c r="E10" s="22" t="s">
        <v>59</v>
      </c>
      <c r="F10" s="24"/>
    </row>
    <row x14ac:dyDescent="0.25" r="11" customHeight="1" ht="21">
      <c r="A11" s="22" t="s">
        <v>74</v>
      </c>
      <c r="B11" s="22" t="s">
        <v>72</v>
      </c>
      <c r="C11" s="22" t="s">
        <v>75</v>
      </c>
      <c r="D11" s="22" t="s">
        <v>69</v>
      </c>
      <c r="E11" s="22" t="s">
        <v>76</v>
      </c>
      <c r="F11" s="24"/>
    </row>
    <row x14ac:dyDescent="0.25" r="12" customHeight="1" ht="21">
      <c r="A12" s="22" t="s">
        <v>241</v>
      </c>
      <c r="B12" s="22" t="s">
        <v>123</v>
      </c>
      <c r="C12" s="22" t="s">
        <v>242</v>
      </c>
      <c r="D12" s="22" t="s">
        <v>80</v>
      </c>
      <c r="E12" s="22" t="s">
        <v>243</v>
      </c>
      <c r="F12" s="22" t="s">
        <v>95</v>
      </c>
    </row>
    <row x14ac:dyDescent="0.25" r="13" customHeight="1" ht="21">
      <c r="A13" s="22" t="s">
        <v>244</v>
      </c>
      <c r="B13" s="22" t="s">
        <v>78</v>
      </c>
      <c r="C13" s="22" t="s">
        <v>242</v>
      </c>
      <c r="D13" s="22" t="s">
        <v>80</v>
      </c>
      <c r="E13" s="22" t="s">
        <v>245</v>
      </c>
      <c r="F13" s="22" t="s">
        <v>246</v>
      </c>
    </row>
    <row x14ac:dyDescent="0.25" r="14" customHeight="1" ht="21">
      <c r="A14" s="22" t="s">
        <v>247</v>
      </c>
      <c r="B14" s="22" t="s">
        <v>78</v>
      </c>
      <c r="C14" s="22" t="s">
        <v>242</v>
      </c>
      <c r="D14" s="22" t="s">
        <v>80</v>
      </c>
      <c r="E14" s="22" t="s">
        <v>248</v>
      </c>
      <c r="F14" s="22" t="s">
        <v>246</v>
      </c>
    </row>
    <row x14ac:dyDescent="0.25" r="15" customHeight="1" ht="21">
      <c r="A15" s="22" t="s">
        <v>249</v>
      </c>
      <c r="B15" s="22" t="s">
        <v>110</v>
      </c>
      <c r="C15" s="22" t="s">
        <v>242</v>
      </c>
      <c r="D15" s="22" t="s">
        <v>69</v>
      </c>
      <c r="E15" s="22" t="s">
        <v>250</v>
      </c>
      <c r="F15" s="22" t="s">
        <v>95</v>
      </c>
    </row>
    <row x14ac:dyDescent="0.25" r="16" customHeight="1" ht="21">
      <c r="A16" s="22" t="s">
        <v>251</v>
      </c>
      <c r="B16" s="22" t="s">
        <v>110</v>
      </c>
      <c r="C16" s="22" t="s">
        <v>242</v>
      </c>
      <c r="D16" s="22" t="s">
        <v>69</v>
      </c>
      <c r="E16" s="22" t="s">
        <v>252</v>
      </c>
      <c r="F16" s="22" t="s">
        <v>95</v>
      </c>
    </row>
    <row x14ac:dyDescent="0.25" r="17" customHeight="1" ht="21">
      <c r="A17" s="22" t="s">
        <v>253</v>
      </c>
      <c r="B17" s="22" t="s">
        <v>110</v>
      </c>
      <c r="C17" s="22" t="s">
        <v>242</v>
      </c>
      <c r="D17" s="22" t="s">
        <v>69</v>
      </c>
      <c r="E17" s="22" t="s">
        <v>254</v>
      </c>
      <c r="F17" s="22" t="s">
        <v>95</v>
      </c>
    </row>
    <row x14ac:dyDescent="0.25" r="18" customHeight="1" ht="21">
      <c r="A18" s="22" t="s">
        <v>255</v>
      </c>
      <c r="B18" s="22" t="s">
        <v>110</v>
      </c>
      <c r="C18" s="22" t="s">
        <v>242</v>
      </c>
      <c r="D18" s="22" t="s">
        <v>69</v>
      </c>
      <c r="E18" s="22" t="s">
        <v>256</v>
      </c>
      <c r="F18" s="22" t="s">
        <v>95</v>
      </c>
    </row>
    <row x14ac:dyDescent="0.25" r="19" customHeight="1" ht="21">
      <c r="A19" s="22" t="s">
        <v>257</v>
      </c>
      <c r="B19" s="22" t="s">
        <v>110</v>
      </c>
      <c r="C19" s="22" t="s">
        <v>242</v>
      </c>
      <c r="D19" s="22" t="s">
        <v>69</v>
      </c>
      <c r="E19" s="22" t="s">
        <v>258</v>
      </c>
      <c r="F19" s="22" t="s">
        <v>95</v>
      </c>
    </row>
    <row x14ac:dyDescent="0.25" r="20" customHeight="1" ht="21">
      <c r="A20" s="22" t="s">
        <v>259</v>
      </c>
      <c r="B20" s="22" t="s">
        <v>193</v>
      </c>
      <c r="C20" s="22" t="s">
        <v>242</v>
      </c>
      <c r="D20" s="22" t="s">
        <v>69</v>
      </c>
      <c r="E20" s="22" t="s">
        <v>260</v>
      </c>
      <c r="F20" s="22" t="s">
        <v>95</v>
      </c>
    </row>
    <row x14ac:dyDescent="0.25" r="21" customHeight="1" ht="21">
      <c r="A21" s="22" t="s">
        <v>261</v>
      </c>
      <c r="B21" s="22" t="s">
        <v>193</v>
      </c>
      <c r="C21" s="22" t="s">
        <v>242</v>
      </c>
      <c r="D21" s="22" t="s">
        <v>69</v>
      </c>
      <c r="E21" s="22" t="s">
        <v>262</v>
      </c>
      <c r="F21" s="22" t="s">
        <v>95</v>
      </c>
    </row>
    <row x14ac:dyDescent="0.25" r="22" customHeight="1" ht="21">
      <c r="A22" s="22" t="s">
        <v>263</v>
      </c>
      <c r="B22" s="22" t="s">
        <v>126</v>
      </c>
      <c r="C22" s="22" t="s">
        <v>242</v>
      </c>
      <c r="D22" s="22" t="s">
        <v>69</v>
      </c>
      <c r="E22" s="22" t="s">
        <v>264</v>
      </c>
      <c r="F22" s="24"/>
    </row>
    <row x14ac:dyDescent="0.25" r="23" customHeight="1" ht="21">
      <c r="A23" s="22" t="s">
        <v>265</v>
      </c>
      <c r="B23" s="22" t="s">
        <v>126</v>
      </c>
      <c r="C23" s="22" t="s">
        <v>242</v>
      </c>
      <c r="D23" s="22" t="s">
        <v>69</v>
      </c>
      <c r="E23" s="22" t="s">
        <v>266</v>
      </c>
      <c r="F23" s="24"/>
    </row>
    <row x14ac:dyDescent="0.25" r="24" customHeight="1" ht="21">
      <c r="A24" s="22" t="s">
        <v>267</v>
      </c>
      <c r="B24" s="22" t="s">
        <v>126</v>
      </c>
      <c r="C24" s="22" t="s">
        <v>242</v>
      </c>
      <c r="D24" s="22" t="s">
        <v>69</v>
      </c>
      <c r="E24" s="22" t="s">
        <v>268</v>
      </c>
      <c r="F24" s="24"/>
    </row>
    <row x14ac:dyDescent="0.25" r="25" customHeight="1" ht="21">
      <c r="A25" s="22" t="s">
        <v>269</v>
      </c>
      <c r="B25" s="22" t="s">
        <v>126</v>
      </c>
      <c r="C25" s="22" t="s">
        <v>242</v>
      </c>
      <c r="D25" s="22" t="s">
        <v>69</v>
      </c>
      <c r="E25" s="22" t="s">
        <v>270</v>
      </c>
      <c r="F25" s="24"/>
    </row>
    <row x14ac:dyDescent="0.25" r="26" customHeight="1" ht="18.75">
      <c r="A26" s="22" t="s">
        <v>271</v>
      </c>
      <c r="B26" s="22" t="s">
        <v>129</v>
      </c>
      <c r="C26" s="22" t="s">
        <v>242</v>
      </c>
      <c r="D26" s="22" t="s">
        <v>69</v>
      </c>
      <c r="E26" s="22" t="s">
        <v>272</v>
      </c>
      <c r="F26" s="24"/>
    </row>
    <row x14ac:dyDescent="0.25" r="27" customHeight="1" ht="18.75">
      <c r="A27" s="22" t="s">
        <v>273</v>
      </c>
      <c r="B27" s="22" t="s">
        <v>129</v>
      </c>
      <c r="C27" s="22" t="s">
        <v>242</v>
      </c>
      <c r="D27" s="22" t="s">
        <v>69</v>
      </c>
      <c r="E27" s="22" t="s">
        <v>274</v>
      </c>
      <c r="F27" s="24"/>
    </row>
    <row x14ac:dyDescent="0.25" r="28" customHeight="1" ht="18.75">
      <c r="A28" s="22" t="s">
        <v>275</v>
      </c>
      <c r="B28" s="22" t="s">
        <v>129</v>
      </c>
      <c r="C28" s="22" t="s">
        <v>242</v>
      </c>
      <c r="D28" s="22" t="s">
        <v>69</v>
      </c>
      <c r="E28" s="22" t="s">
        <v>276</v>
      </c>
      <c r="F28" s="24"/>
    </row>
    <row x14ac:dyDescent="0.25" r="29" customHeight="1" ht="18.75">
      <c r="A29" s="22" t="s">
        <v>277</v>
      </c>
      <c r="B29" s="22" t="s">
        <v>129</v>
      </c>
      <c r="C29" s="22" t="s">
        <v>242</v>
      </c>
      <c r="D29" s="22" t="s">
        <v>69</v>
      </c>
      <c r="E29" s="22" t="s">
        <v>278</v>
      </c>
      <c r="F29" s="24"/>
    </row>
    <row x14ac:dyDescent="0.25" r="30" customHeight="1" ht="18.75">
      <c r="A30" s="22" t="s">
        <v>279</v>
      </c>
      <c r="B30" s="22" t="s">
        <v>129</v>
      </c>
      <c r="C30" s="22" t="s">
        <v>242</v>
      </c>
      <c r="D30" s="22" t="s">
        <v>69</v>
      </c>
      <c r="E30" s="22" t="s">
        <v>280</v>
      </c>
      <c r="F30" s="24"/>
    </row>
    <row x14ac:dyDescent="0.25" r="31" customHeight="1" ht="18.75">
      <c r="A31" s="22" t="s">
        <v>281</v>
      </c>
      <c r="B31" s="22" t="s">
        <v>129</v>
      </c>
      <c r="C31" s="22" t="s">
        <v>242</v>
      </c>
      <c r="D31" s="22" t="s">
        <v>69</v>
      </c>
      <c r="E31" s="22" t="s">
        <v>282</v>
      </c>
      <c r="F31" s="24"/>
    </row>
    <row x14ac:dyDescent="0.25" r="32" customHeight="1" ht="18.75">
      <c r="A32" s="22" t="s">
        <v>283</v>
      </c>
      <c r="B32" s="22" t="s">
        <v>129</v>
      </c>
      <c r="C32" s="22" t="s">
        <v>242</v>
      </c>
      <c r="D32" s="22" t="s">
        <v>69</v>
      </c>
      <c r="E32" s="22" t="s">
        <v>284</v>
      </c>
      <c r="F32" s="24"/>
    </row>
    <row x14ac:dyDescent="0.25" r="33" customHeight="1" ht="18.75">
      <c r="A33" s="22" t="s">
        <v>285</v>
      </c>
      <c r="B33" s="22" t="s">
        <v>129</v>
      </c>
      <c r="C33" s="22" t="s">
        <v>242</v>
      </c>
      <c r="D33" s="22" t="s">
        <v>69</v>
      </c>
      <c r="E33" s="22" t="s">
        <v>286</v>
      </c>
      <c r="F33" s="24"/>
    </row>
    <row x14ac:dyDescent="0.25" r="34" customHeight="1" ht="18.75">
      <c r="A34" s="22" t="s">
        <v>287</v>
      </c>
      <c r="B34" s="22" t="s">
        <v>129</v>
      </c>
      <c r="C34" s="22" t="s">
        <v>242</v>
      </c>
      <c r="D34" s="22" t="s">
        <v>69</v>
      </c>
      <c r="E34" s="22" t="s">
        <v>288</v>
      </c>
      <c r="F34" s="24"/>
    </row>
    <row x14ac:dyDescent="0.25" r="35" customHeight="1" ht="18.75">
      <c r="A35" s="22" t="s">
        <v>289</v>
      </c>
      <c r="B35" s="22" t="s">
        <v>129</v>
      </c>
      <c r="C35" s="22" t="s">
        <v>242</v>
      </c>
      <c r="D35" s="22" t="s">
        <v>69</v>
      </c>
      <c r="E35" s="22" t="s">
        <v>290</v>
      </c>
      <c r="F35" s="24"/>
    </row>
    <row x14ac:dyDescent="0.25" r="36" customHeight="1" ht="18.75">
      <c r="A36" s="22" t="s">
        <v>291</v>
      </c>
      <c r="B36" s="22" t="s">
        <v>129</v>
      </c>
      <c r="C36" s="22" t="s">
        <v>242</v>
      </c>
      <c r="D36" s="22" t="s">
        <v>69</v>
      </c>
      <c r="E36" s="22" t="s">
        <v>292</v>
      </c>
      <c r="F36" s="24"/>
    </row>
    <row x14ac:dyDescent="0.25" r="37" customHeight="1" ht="18.75">
      <c r="A37" s="22" t="s">
        <v>293</v>
      </c>
      <c r="B37" s="22" t="s">
        <v>129</v>
      </c>
      <c r="C37" s="22" t="s">
        <v>242</v>
      </c>
      <c r="D37" s="22" t="s">
        <v>69</v>
      </c>
      <c r="E37" s="22" t="s">
        <v>294</v>
      </c>
      <c r="F37" s="24"/>
    </row>
    <row x14ac:dyDescent="0.25" r="38" customHeight="1" ht="18.75">
      <c r="A38" s="22" t="s">
        <v>295</v>
      </c>
      <c r="B38" s="22" t="s">
        <v>129</v>
      </c>
      <c r="C38" s="22" t="s">
        <v>242</v>
      </c>
      <c r="D38" s="22" t="s">
        <v>69</v>
      </c>
      <c r="E38" s="22" t="s">
        <v>296</v>
      </c>
      <c r="F38" s="24"/>
    </row>
    <row x14ac:dyDescent="0.25" r="39" customHeight="1" ht="18.75">
      <c r="A39" s="22" t="s">
        <v>297</v>
      </c>
      <c r="B39" s="22" t="s">
        <v>129</v>
      </c>
      <c r="C39" s="22" t="s">
        <v>242</v>
      </c>
      <c r="D39" s="22" t="s">
        <v>69</v>
      </c>
      <c r="E39" s="22" t="s">
        <v>298</v>
      </c>
      <c r="F39" s="24"/>
    </row>
    <row x14ac:dyDescent="0.25" r="40" customHeight="1" ht="18.75">
      <c r="A40" s="22" t="s">
        <v>299</v>
      </c>
      <c r="B40" s="22" t="s">
        <v>129</v>
      </c>
      <c r="C40" s="22" t="s">
        <v>242</v>
      </c>
      <c r="D40" s="22" t="s">
        <v>69</v>
      </c>
      <c r="E40" s="22" t="s">
        <v>300</v>
      </c>
      <c r="F40" s="24"/>
    </row>
    <row x14ac:dyDescent="0.25" r="41" customHeight="1" ht="18.75">
      <c r="A41" s="22" t="s">
        <v>301</v>
      </c>
      <c r="B41" s="22" t="s">
        <v>129</v>
      </c>
      <c r="C41" s="22" t="s">
        <v>242</v>
      </c>
      <c r="D41" s="22" t="s">
        <v>69</v>
      </c>
      <c r="E41" s="22" t="s">
        <v>302</v>
      </c>
      <c r="F41" s="24"/>
    </row>
    <row x14ac:dyDescent="0.25" r="42" customHeight="1" ht="18.75">
      <c r="A42" s="22" t="s">
        <v>303</v>
      </c>
      <c r="B42" s="22" t="s">
        <v>129</v>
      </c>
      <c r="C42" s="22" t="s">
        <v>242</v>
      </c>
      <c r="D42" s="22" t="s">
        <v>69</v>
      </c>
      <c r="E42" s="22" t="s">
        <v>304</v>
      </c>
      <c r="F42" s="24"/>
    </row>
    <row x14ac:dyDescent="0.25" r="43" customHeight="1" ht="18.75">
      <c r="A43" s="22" t="s">
        <v>305</v>
      </c>
      <c r="B43" s="22" t="s">
        <v>129</v>
      </c>
      <c r="C43" s="22" t="s">
        <v>242</v>
      </c>
      <c r="D43" s="22" t="s">
        <v>69</v>
      </c>
      <c r="E43" s="22" t="s">
        <v>306</v>
      </c>
      <c r="F43" s="24"/>
    </row>
    <row x14ac:dyDescent="0.25" r="44" customHeight="1" ht="18.75">
      <c r="A44" s="22" t="s">
        <v>307</v>
      </c>
      <c r="B44" s="22" t="s">
        <v>129</v>
      </c>
      <c r="C44" s="22" t="s">
        <v>242</v>
      </c>
      <c r="D44" s="22" t="s">
        <v>69</v>
      </c>
      <c r="E44" s="22" t="s">
        <v>308</v>
      </c>
      <c r="F44" s="24"/>
    </row>
    <row x14ac:dyDescent="0.25" r="45" customHeight="1" ht="18.75">
      <c r="A45" s="22" t="s">
        <v>309</v>
      </c>
      <c r="B45" s="22" t="s">
        <v>129</v>
      </c>
      <c r="C45" s="22" t="s">
        <v>242</v>
      </c>
      <c r="D45" s="22" t="s">
        <v>69</v>
      </c>
      <c r="E45" s="22" t="s">
        <v>310</v>
      </c>
      <c r="F45" s="24"/>
    </row>
    <row x14ac:dyDescent="0.25" r="46" customHeight="1" ht="18.75">
      <c r="A46" s="22" t="s">
        <v>311</v>
      </c>
      <c r="B46" s="22" t="s">
        <v>129</v>
      </c>
      <c r="C46" s="22" t="s">
        <v>242</v>
      </c>
      <c r="D46" s="22" t="s">
        <v>69</v>
      </c>
      <c r="E46" s="22" t="s">
        <v>312</v>
      </c>
      <c r="F46" s="24"/>
    </row>
    <row x14ac:dyDescent="0.25" r="47" customHeight="1" ht="18.75">
      <c r="A47" s="22" t="s">
        <v>313</v>
      </c>
      <c r="B47" s="22" t="s">
        <v>129</v>
      </c>
      <c r="C47" s="22" t="s">
        <v>242</v>
      </c>
      <c r="D47" s="22" t="s">
        <v>69</v>
      </c>
      <c r="E47" s="22" t="s">
        <v>314</v>
      </c>
      <c r="F47" s="24"/>
    </row>
    <row x14ac:dyDescent="0.25" r="48" customHeight="1" ht="18.75">
      <c r="A48" s="22" t="s">
        <v>315</v>
      </c>
      <c r="B48" s="22" t="s">
        <v>129</v>
      </c>
      <c r="C48" s="22" t="s">
        <v>242</v>
      </c>
      <c r="D48" s="22" t="s">
        <v>69</v>
      </c>
      <c r="E48" s="22" t="s">
        <v>316</v>
      </c>
      <c r="F48" s="24"/>
    </row>
    <row x14ac:dyDescent="0.25" r="49" customHeight="1" ht="18.75">
      <c r="A49" s="22" t="s">
        <v>317</v>
      </c>
      <c r="B49" s="22" t="s">
        <v>129</v>
      </c>
      <c r="C49" s="22" t="s">
        <v>242</v>
      </c>
      <c r="D49" s="22" t="s">
        <v>69</v>
      </c>
      <c r="E49" s="22" t="s">
        <v>318</v>
      </c>
      <c r="F49" s="24"/>
    </row>
    <row x14ac:dyDescent="0.25" r="50" customHeight="1" ht="18.75">
      <c r="A50" s="22" t="s">
        <v>319</v>
      </c>
      <c r="B50" s="22" t="s">
        <v>129</v>
      </c>
      <c r="C50" s="22" t="s">
        <v>242</v>
      </c>
      <c r="D50" s="22" t="s">
        <v>69</v>
      </c>
      <c r="E50" s="22" t="s">
        <v>320</v>
      </c>
      <c r="F50" s="24"/>
    </row>
    <row x14ac:dyDescent="0.25" r="51" customHeight="1" ht="18.75">
      <c r="A51" s="22" t="s">
        <v>321</v>
      </c>
      <c r="B51" s="22" t="s">
        <v>93</v>
      </c>
      <c r="C51" s="22" t="s">
        <v>242</v>
      </c>
      <c r="D51" s="22" t="s">
        <v>69</v>
      </c>
      <c r="E51" s="22" t="s">
        <v>322</v>
      </c>
      <c r="F51" s="22" t="s">
        <v>95</v>
      </c>
    </row>
    <row x14ac:dyDescent="0.25" r="52" customHeight="1" ht="18.75">
      <c r="A52" s="22" t="s">
        <v>323</v>
      </c>
      <c r="B52" s="22" t="s">
        <v>93</v>
      </c>
      <c r="C52" s="22" t="s">
        <v>242</v>
      </c>
      <c r="D52" s="22" t="s">
        <v>69</v>
      </c>
      <c r="E52" s="22" t="s">
        <v>324</v>
      </c>
      <c r="F52" s="22" t="s">
        <v>95</v>
      </c>
    </row>
    <row x14ac:dyDescent="0.25" r="53" customHeight="1" ht="18.75">
      <c r="A53" s="22" t="s">
        <v>325</v>
      </c>
      <c r="B53" s="22" t="s">
        <v>93</v>
      </c>
      <c r="C53" s="22" t="s">
        <v>242</v>
      </c>
      <c r="D53" s="22" t="s">
        <v>69</v>
      </c>
      <c r="E53" s="22" t="s">
        <v>326</v>
      </c>
      <c r="F53" s="22" t="s">
        <v>95</v>
      </c>
    </row>
    <row x14ac:dyDescent="0.25" r="54" customHeight="1" ht="18.75">
      <c r="A54" s="22" t="s">
        <v>327</v>
      </c>
      <c r="B54" s="22" t="s">
        <v>93</v>
      </c>
      <c r="C54" s="22" t="s">
        <v>242</v>
      </c>
      <c r="D54" s="22" t="s">
        <v>69</v>
      </c>
      <c r="E54" s="22" t="s">
        <v>328</v>
      </c>
      <c r="F54" s="22" t="s">
        <v>95</v>
      </c>
    </row>
    <row x14ac:dyDescent="0.25" r="55" customHeight="1" ht="18.75">
      <c r="A55" s="22" t="s">
        <v>329</v>
      </c>
      <c r="B55" s="22" t="s">
        <v>93</v>
      </c>
      <c r="C55" s="22" t="s">
        <v>242</v>
      </c>
      <c r="D55" s="22" t="s">
        <v>69</v>
      </c>
      <c r="E55" s="22" t="s">
        <v>330</v>
      </c>
      <c r="F55" s="22" t="s">
        <v>95</v>
      </c>
    </row>
    <row x14ac:dyDescent="0.25" r="56" customHeight="1" ht="18.75">
      <c r="A56" s="22" t="s">
        <v>331</v>
      </c>
      <c r="B56" s="22" t="s">
        <v>93</v>
      </c>
      <c r="C56" s="22" t="s">
        <v>242</v>
      </c>
      <c r="D56" s="22" t="s">
        <v>69</v>
      </c>
      <c r="E56" s="22" t="s">
        <v>332</v>
      </c>
      <c r="F56" s="22" t="s">
        <v>95</v>
      </c>
    </row>
    <row x14ac:dyDescent="0.25" r="57" customHeight="1" ht="18.75">
      <c r="A57" s="22" t="s">
        <v>333</v>
      </c>
      <c r="B57" s="22" t="s">
        <v>93</v>
      </c>
      <c r="C57" s="22" t="s">
        <v>242</v>
      </c>
      <c r="D57" s="22" t="s">
        <v>69</v>
      </c>
      <c r="E57" s="22" t="s">
        <v>334</v>
      </c>
      <c r="F57" s="22" t="s">
        <v>95</v>
      </c>
    </row>
    <row x14ac:dyDescent="0.25" r="58" customHeight="1" ht="18.75">
      <c r="A58" s="22" t="s">
        <v>335</v>
      </c>
      <c r="B58" s="22" t="s">
        <v>93</v>
      </c>
      <c r="C58" s="22" t="s">
        <v>242</v>
      </c>
      <c r="D58" s="22" t="s">
        <v>69</v>
      </c>
      <c r="E58" s="22" t="s">
        <v>336</v>
      </c>
      <c r="F58" s="22" t="s">
        <v>95</v>
      </c>
    </row>
    <row x14ac:dyDescent="0.25" r="59" customHeight="1" ht="18.75">
      <c r="A59" s="22" t="s">
        <v>337</v>
      </c>
      <c r="B59" s="22" t="s">
        <v>93</v>
      </c>
      <c r="C59" s="22" t="s">
        <v>242</v>
      </c>
      <c r="D59" s="22" t="s">
        <v>69</v>
      </c>
      <c r="E59" s="22" t="s">
        <v>338</v>
      </c>
      <c r="F59" s="22" t="s">
        <v>95</v>
      </c>
    </row>
    <row x14ac:dyDescent="0.25" r="60" customHeight="1" ht="18.75">
      <c r="A60" s="22" t="s">
        <v>339</v>
      </c>
      <c r="B60" s="22" t="s">
        <v>340</v>
      </c>
      <c r="C60" s="22" t="s">
        <v>242</v>
      </c>
      <c r="D60" s="22" t="s">
        <v>80</v>
      </c>
      <c r="E60" s="22" t="s">
        <v>341</v>
      </c>
      <c r="F60" s="22" t="s">
        <v>342</v>
      </c>
    </row>
    <row x14ac:dyDescent="0.25" r="61" customHeight="1" ht="18.75">
      <c r="A61" s="22" t="s">
        <v>343</v>
      </c>
      <c r="B61" s="22" t="s">
        <v>136</v>
      </c>
      <c r="C61" s="22" t="s">
        <v>242</v>
      </c>
      <c r="D61" s="22" t="s">
        <v>80</v>
      </c>
      <c r="E61" s="22" t="s">
        <v>344</v>
      </c>
      <c r="F61" s="22" t="s">
        <v>345</v>
      </c>
    </row>
    <row x14ac:dyDescent="0.25" r="62" customHeight="1" ht="18.75">
      <c r="A62" s="22" t="s">
        <v>346</v>
      </c>
      <c r="B62" s="22" t="s">
        <v>78</v>
      </c>
      <c r="C62" s="22" t="s">
        <v>242</v>
      </c>
      <c r="D62" s="22" t="s">
        <v>80</v>
      </c>
      <c r="E62" s="22" t="s">
        <v>347</v>
      </c>
      <c r="F62" s="22" t="s">
        <v>348</v>
      </c>
    </row>
    <row x14ac:dyDescent="0.25" r="63" customHeight="1" ht="18.75">
      <c r="A63" s="22" t="s">
        <v>349</v>
      </c>
      <c r="B63" s="22" t="s">
        <v>78</v>
      </c>
      <c r="C63" s="22" t="s">
        <v>242</v>
      </c>
      <c r="D63" s="22" t="s">
        <v>80</v>
      </c>
      <c r="E63" s="22" t="s">
        <v>350</v>
      </c>
      <c r="F63" s="22" t="s">
        <v>348</v>
      </c>
    </row>
    <row x14ac:dyDescent="0.25" r="64" customHeight="1" ht="18.75">
      <c r="A64" s="22" t="s">
        <v>351</v>
      </c>
      <c r="B64" s="22" t="s">
        <v>78</v>
      </c>
      <c r="C64" s="22" t="s">
        <v>242</v>
      </c>
      <c r="D64" s="22" t="s">
        <v>80</v>
      </c>
      <c r="E64" s="22" t="s">
        <v>352</v>
      </c>
      <c r="F64" s="22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6"/>
  <sheetViews>
    <sheetView workbookViewId="0"/>
  </sheetViews>
  <sheetFormatPr defaultRowHeight="15" x14ac:dyDescent="0.25"/>
  <cols>
    <col min="1" max="1" style="23" width="34.43357142857143" customWidth="1" bestFit="1"/>
    <col min="2" max="2" style="23" width="18.005" customWidth="1" bestFit="1"/>
    <col min="3" max="3" style="23" width="13.576428571428572" customWidth="1" bestFit="1"/>
    <col min="4" max="4" style="23" width="13.576428571428572" customWidth="1" bestFit="1"/>
    <col min="5" max="5" style="23" width="11.005" customWidth="1" bestFit="1"/>
    <col min="6" max="6" style="6" width="13.576428571428572" customWidth="1" bestFit="1"/>
  </cols>
  <sheetData>
    <row x14ac:dyDescent="0.25" r="1" customHeight="1" ht="18.75">
      <c r="A1" s="21" t="s">
        <v>60</v>
      </c>
      <c r="B1" s="21" t="s">
        <v>61</v>
      </c>
      <c r="C1" s="21" t="s">
        <v>62</v>
      </c>
      <c r="D1" s="21" t="s">
        <v>63</v>
      </c>
      <c r="E1" s="21" t="s">
        <v>64</v>
      </c>
      <c r="F1" s="21" t="s">
        <v>65</v>
      </c>
    </row>
    <row x14ac:dyDescent="0.25" r="2" customHeight="1" ht="18.75">
      <c r="A2" s="22" t="s">
        <v>138</v>
      </c>
      <c r="B2" s="22" t="s">
        <v>67</v>
      </c>
      <c r="C2" s="22" t="s">
        <v>139</v>
      </c>
      <c r="D2" s="22" t="s">
        <v>69</v>
      </c>
      <c r="E2" s="22" t="s">
        <v>140</v>
      </c>
      <c r="F2" s="1"/>
    </row>
    <row x14ac:dyDescent="0.25" r="3" customHeight="1" ht="18.75">
      <c r="A3" s="22" t="s">
        <v>141</v>
      </c>
      <c r="B3" s="22" t="s">
        <v>67</v>
      </c>
      <c r="C3" s="22" t="s">
        <v>142</v>
      </c>
      <c r="D3" s="22" t="s">
        <v>69</v>
      </c>
      <c r="E3" s="22" t="s">
        <v>143</v>
      </c>
      <c r="F3" s="1"/>
    </row>
    <row x14ac:dyDescent="0.25" r="4" customHeight="1" ht="18.75">
      <c r="A4" s="22" t="s">
        <v>71</v>
      </c>
      <c r="B4" s="22" t="s">
        <v>72</v>
      </c>
      <c r="C4" s="22" t="s">
        <v>73</v>
      </c>
      <c r="D4" s="22" t="s">
        <v>69</v>
      </c>
      <c r="E4" s="22" t="s">
        <v>59</v>
      </c>
      <c r="F4" s="1"/>
    </row>
    <row x14ac:dyDescent="0.25" r="5" customHeight="1" ht="18.75">
      <c r="A5" s="22" t="s">
        <v>74</v>
      </c>
      <c r="B5" s="22" t="s">
        <v>72</v>
      </c>
      <c r="C5" s="22" t="s">
        <v>75</v>
      </c>
      <c r="D5" s="22" t="s">
        <v>69</v>
      </c>
      <c r="E5" s="22" t="s">
        <v>76</v>
      </c>
      <c r="F5" s="1"/>
    </row>
    <row x14ac:dyDescent="0.25" r="6" customHeight="1" ht="18.75">
      <c r="A6" s="22" t="s">
        <v>144</v>
      </c>
      <c r="B6" s="22" t="s">
        <v>78</v>
      </c>
      <c r="C6" s="22" t="s">
        <v>145</v>
      </c>
      <c r="D6" s="22" t="s">
        <v>80</v>
      </c>
      <c r="E6" s="22" t="s">
        <v>146</v>
      </c>
      <c r="F6" s="22" t="s">
        <v>147</v>
      </c>
    </row>
    <row x14ac:dyDescent="0.25" r="7" customHeight="1" ht="18.75">
      <c r="A7" s="22" t="s">
        <v>148</v>
      </c>
      <c r="B7" s="22" t="s">
        <v>78</v>
      </c>
      <c r="C7" s="22" t="s">
        <v>145</v>
      </c>
      <c r="D7" s="22" t="s">
        <v>80</v>
      </c>
      <c r="E7" s="22" t="s">
        <v>149</v>
      </c>
      <c r="F7" s="22" t="s">
        <v>147</v>
      </c>
    </row>
    <row x14ac:dyDescent="0.25" r="8" customHeight="1" ht="18.75">
      <c r="A8" s="22" t="s">
        <v>150</v>
      </c>
      <c r="B8" s="22" t="s">
        <v>78</v>
      </c>
      <c r="C8" s="22" t="s">
        <v>145</v>
      </c>
      <c r="D8" s="22" t="s">
        <v>80</v>
      </c>
      <c r="E8" s="22" t="s">
        <v>151</v>
      </c>
      <c r="F8" s="22" t="s">
        <v>147</v>
      </c>
    </row>
    <row x14ac:dyDescent="0.25" r="9" customHeight="1" ht="18.75">
      <c r="A9" s="22" t="s">
        <v>152</v>
      </c>
      <c r="B9" s="22" t="s">
        <v>123</v>
      </c>
      <c r="C9" s="22" t="s">
        <v>145</v>
      </c>
      <c r="D9" s="22" t="s">
        <v>80</v>
      </c>
      <c r="E9" s="22" t="s">
        <v>153</v>
      </c>
      <c r="F9" s="22" t="s">
        <v>95</v>
      </c>
    </row>
    <row x14ac:dyDescent="0.25" r="10" customHeight="1" ht="18.75">
      <c r="A10" s="22" t="s">
        <v>154</v>
      </c>
      <c r="B10" s="22" t="s">
        <v>110</v>
      </c>
      <c r="C10" s="22" t="s">
        <v>145</v>
      </c>
      <c r="D10" s="22" t="s">
        <v>69</v>
      </c>
      <c r="E10" s="22" t="s">
        <v>155</v>
      </c>
      <c r="F10" s="22" t="s">
        <v>95</v>
      </c>
    </row>
    <row x14ac:dyDescent="0.25" r="11" customHeight="1" ht="18.75">
      <c r="A11" s="22" t="s">
        <v>156</v>
      </c>
      <c r="B11" s="22" t="s">
        <v>110</v>
      </c>
      <c r="C11" s="22" t="s">
        <v>145</v>
      </c>
      <c r="D11" s="22" t="s">
        <v>69</v>
      </c>
      <c r="E11" s="22" t="s">
        <v>157</v>
      </c>
      <c r="F11" s="22" t="s">
        <v>95</v>
      </c>
    </row>
    <row x14ac:dyDescent="0.25" r="12" customHeight="1" ht="18.75">
      <c r="A12" s="22" t="s">
        <v>158</v>
      </c>
      <c r="B12" s="22" t="s">
        <v>110</v>
      </c>
      <c r="C12" s="22" t="s">
        <v>145</v>
      </c>
      <c r="D12" s="22" t="s">
        <v>69</v>
      </c>
      <c r="E12" s="22" t="s">
        <v>159</v>
      </c>
      <c r="F12" s="22" t="s">
        <v>95</v>
      </c>
    </row>
    <row x14ac:dyDescent="0.25" r="13" customHeight="1" ht="18.75">
      <c r="A13" s="22" t="s">
        <v>160</v>
      </c>
      <c r="B13" s="22" t="s">
        <v>110</v>
      </c>
      <c r="C13" s="22" t="s">
        <v>145</v>
      </c>
      <c r="D13" s="22" t="s">
        <v>69</v>
      </c>
      <c r="E13" s="22" t="s">
        <v>161</v>
      </c>
      <c r="F13" s="22" t="s">
        <v>95</v>
      </c>
    </row>
    <row x14ac:dyDescent="0.25" r="14" customHeight="1" ht="18.75">
      <c r="A14" s="22" t="s">
        <v>162</v>
      </c>
      <c r="B14" s="22" t="s">
        <v>110</v>
      </c>
      <c r="C14" s="22" t="s">
        <v>145</v>
      </c>
      <c r="D14" s="22" t="s">
        <v>69</v>
      </c>
      <c r="E14" s="22" t="s">
        <v>163</v>
      </c>
      <c r="F14" s="22" t="s">
        <v>95</v>
      </c>
    </row>
    <row x14ac:dyDescent="0.25" r="15" customHeight="1" ht="18.75">
      <c r="A15" s="22" t="s">
        <v>164</v>
      </c>
      <c r="B15" s="22" t="s">
        <v>110</v>
      </c>
      <c r="C15" s="22" t="s">
        <v>145</v>
      </c>
      <c r="D15" s="22" t="s">
        <v>69</v>
      </c>
      <c r="E15" s="22" t="s">
        <v>165</v>
      </c>
      <c r="F15" s="22" t="s">
        <v>95</v>
      </c>
    </row>
    <row x14ac:dyDescent="0.25" r="16" customHeight="1" ht="18.75">
      <c r="A16" s="22" t="s">
        <v>166</v>
      </c>
      <c r="B16" s="22" t="s">
        <v>110</v>
      </c>
      <c r="C16" s="22" t="s">
        <v>145</v>
      </c>
      <c r="D16" s="22" t="s">
        <v>69</v>
      </c>
      <c r="E16" s="22" t="s">
        <v>167</v>
      </c>
      <c r="F16" s="22" t="s">
        <v>95</v>
      </c>
    </row>
    <row x14ac:dyDescent="0.25" r="17" customHeight="1" ht="18.75">
      <c r="A17" s="22" t="s">
        <v>168</v>
      </c>
      <c r="B17" s="22" t="s">
        <v>110</v>
      </c>
      <c r="C17" s="22" t="s">
        <v>145</v>
      </c>
      <c r="D17" s="22" t="s">
        <v>69</v>
      </c>
      <c r="E17" s="22" t="s">
        <v>169</v>
      </c>
      <c r="F17" s="22" t="s">
        <v>95</v>
      </c>
    </row>
    <row x14ac:dyDescent="0.25" r="18" customHeight="1" ht="18.75">
      <c r="A18" s="22" t="s">
        <v>170</v>
      </c>
      <c r="B18" s="22" t="s">
        <v>93</v>
      </c>
      <c r="C18" s="22" t="s">
        <v>145</v>
      </c>
      <c r="D18" s="22" t="s">
        <v>69</v>
      </c>
      <c r="E18" s="22" t="s">
        <v>171</v>
      </c>
      <c r="F18" s="22" t="s">
        <v>95</v>
      </c>
    </row>
    <row x14ac:dyDescent="0.25" r="19" customHeight="1" ht="18.75">
      <c r="A19" s="22" t="s">
        <v>172</v>
      </c>
      <c r="B19" s="22" t="s">
        <v>93</v>
      </c>
      <c r="C19" s="22" t="s">
        <v>145</v>
      </c>
      <c r="D19" s="22" t="s">
        <v>69</v>
      </c>
      <c r="E19" s="22" t="s">
        <v>173</v>
      </c>
      <c r="F19" s="22" t="s">
        <v>95</v>
      </c>
    </row>
    <row x14ac:dyDescent="0.25" r="20" customHeight="1" ht="18.75">
      <c r="A20" s="22" t="s">
        <v>174</v>
      </c>
      <c r="B20" s="22" t="s">
        <v>93</v>
      </c>
      <c r="C20" s="22" t="s">
        <v>145</v>
      </c>
      <c r="D20" s="22" t="s">
        <v>69</v>
      </c>
      <c r="E20" s="22" t="s">
        <v>175</v>
      </c>
      <c r="F20" s="22" t="s">
        <v>95</v>
      </c>
    </row>
    <row x14ac:dyDescent="0.25" r="21" customHeight="1" ht="18.75">
      <c r="A21" s="22" t="s">
        <v>176</v>
      </c>
      <c r="B21" s="22" t="s">
        <v>93</v>
      </c>
      <c r="C21" s="22" t="s">
        <v>145</v>
      </c>
      <c r="D21" s="22" t="s">
        <v>69</v>
      </c>
      <c r="E21" s="22" t="s">
        <v>177</v>
      </c>
      <c r="F21" s="22" t="s">
        <v>95</v>
      </c>
    </row>
    <row x14ac:dyDescent="0.25" r="22" customHeight="1" ht="18.75">
      <c r="A22" s="22" t="s">
        <v>178</v>
      </c>
      <c r="B22" s="22" t="s">
        <v>93</v>
      </c>
      <c r="C22" s="22" t="s">
        <v>145</v>
      </c>
      <c r="D22" s="22" t="s">
        <v>69</v>
      </c>
      <c r="E22" s="22" t="s">
        <v>179</v>
      </c>
      <c r="F22" s="22" t="s">
        <v>95</v>
      </c>
    </row>
    <row x14ac:dyDescent="0.25" r="23" customHeight="1" ht="18.75">
      <c r="A23" s="22" t="s">
        <v>180</v>
      </c>
      <c r="B23" s="22" t="s">
        <v>93</v>
      </c>
      <c r="C23" s="22" t="s">
        <v>145</v>
      </c>
      <c r="D23" s="22" t="s">
        <v>69</v>
      </c>
      <c r="E23" s="22" t="s">
        <v>181</v>
      </c>
      <c r="F23" s="22" t="s">
        <v>95</v>
      </c>
    </row>
    <row x14ac:dyDescent="0.25" r="24" customHeight="1" ht="18.75">
      <c r="A24" s="22" t="s">
        <v>182</v>
      </c>
      <c r="B24" s="22" t="s">
        <v>93</v>
      </c>
      <c r="C24" s="22" t="s">
        <v>145</v>
      </c>
      <c r="D24" s="22" t="s">
        <v>69</v>
      </c>
      <c r="E24" s="22" t="s">
        <v>183</v>
      </c>
      <c r="F24" s="22" t="s">
        <v>95</v>
      </c>
    </row>
    <row x14ac:dyDescent="0.25" r="25" customHeight="1" ht="18.75">
      <c r="A25" s="22" t="s">
        <v>184</v>
      </c>
      <c r="B25" s="22" t="s">
        <v>93</v>
      </c>
      <c r="C25" s="22" t="s">
        <v>145</v>
      </c>
      <c r="D25" s="22" t="s">
        <v>69</v>
      </c>
      <c r="E25" s="22" t="s">
        <v>185</v>
      </c>
      <c r="F25" s="22" t="s">
        <v>95</v>
      </c>
    </row>
    <row x14ac:dyDescent="0.25" r="26" customHeight="1" ht="18.75">
      <c r="A26" s="22" t="s">
        <v>186</v>
      </c>
      <c r="B26" s="22" t="s">
        <v>93</v>
      </c>
      <c r="C26" s="22" t="s">
        <v>145</v>
      </c>
      <c r="D26" s="22" t="s">
        <v>69</v>
      </c>
      <c r="E26" s="22" t="s">
        <v>187</v>
      </c>
      <c r="F26" s="22" t="s">
        <v>95</v>
      </c>
    </row>
    <row x14ac:dyDescent="0.25" r="27" customHeight="1" ht="18.75">
      <c r="A27" s="22" t="s">
        <v>188</v>
      </c>
      <c r="B27" s="22" t="s">
        <v>93</v>
      </c>
      <c r="C27" s="22" t="s">
        <v>145</v>
      </c>
      <c r="D27" s="22" t="s">
        <v>69</v>
      </c>
      <c r="E27" s="22" t="s">
        <v>189</v>
      </c>
      <c r="F27" s="22" t="s">
        <v>95</v>
      </c>
    </row>
    <row x14ac:dyDescent="0.25" r="28" customHeight="1" ht="18.75">
      <c r="A28" s="22" t="s">
        <v>190</v>
      </c>
      <c r="B28" s="22" t="s">
        <v>78</v>
      </c>
      <c r="C28" s="22" t="s">
        <v>145</v>
      </c>
      <c r="D28" s="22" t="s">
        <v>69</v>
      </c>
      <c r="E28" s="22" t="s">
        <v>191</v>
      </c>
      <c r="F28" s="22" t="s">
        <v>147</v>
      </c>
    </row>
    <row x14ac:dyDescent="0.25" r="29" customHeight="1" ht="18.75">
      <c r="A29" s="22" t="s">
        <v>192</v>
      </c>
      <c r="B29" s="22" t="s">
        <v>193</v>
      </c>
      <c r="C29" s="22" t="s">
        <v>145</v>
      </c>
      <c r="D29" s="22" t="s">
        <v>69</v>
      </c>
      <c r="E29" s="22" t="s">
        <v>194</v>
      </c>
      <c r="F29" s="22" t="s">
        <v>147</v>
      </c>
    </row>
    <row x14ac:dyDescent="0.25" r="30" customHeight="1" ht="18.75">
      <c r="A30" s="22" t="s">
        <v>195</v>
      </c>
      <c r="B30" s="22" t="s">
        <v>126</v>
      </c>
      <c r="C30" s="22" t="s">
        <v>145</v>
      </c>
      <c r="D30" s="22" t="s">
        <v>69</v>
      </c>
      <c r="E30" s="22" t="s">
        <v>196</v>
      </c>
      <c r="F30" s="1"/>
    </row>
    <row x14ac:dyDescent="0.25" r="31" customHeight="1" ht="18.75">
      <c r="A31" s="22" t="s">
        <v>197</v>
      </c>
      <c r="B31" s="22" t="s">
        <v>126</v>
      </c>
      <c r="C31" s="22" t="s">
        <v>145</v>
      </c>
      <c r="D31" s="22" t="s">
        <v>69</v>
      </c>
      <c r="E31" s="22" t="s">
        <v>198</v>
      </c>
      <c r="F31" s="1"/>
    </row>
    <row x14ac:dyDescent="0.25" r="32" customHeight="1" ht="18.75">
      <c r="A32" s="22" t="s">
        <v>199</v>
      </c>
      <c r="B32" s="22" t="s">
        <v>126</v>
      </c>
      <c r="C32" s="22" t="s">
        <v>145</v>
      </c>
      <c r="D32" s="22" t="s">
        <v>69</v>
      </c>
      <c r="E32" s="22" t="s">
        <v>200</v>
      </c>
      <c r="F32" s="1"/>
    </row>
    <row x14ac:dyDescent="0.25" r="33" customHeight="1" ht="18.75">
      <c r="A33" s="22" t="s">
        <v>201</v>
      </c>
      <c r="B33" s="22" t="s">
        <v>129</v>
      </c>
      <c r="C33" s="22" t="s">
        <v>145</v>
      </c>
      <c r="D33" s="22" t="s">
        <v>69</v>
      </c>
      <c r="E33" s="22" t="s">
        <v>202</v>
      </c>
      <c r="F33" s="1"/>
    </row>
    <row x14ac:dyDescent="0.25" r="34" customHeight="1" ht="18.75">
      <c r="A34" s="22" t="s">
        <v>203</v>
      </c>
      <c r="B34" s="22" t="s">
        <v>129</v>
      </c>
      <c r="C34" s="22" t="s">
        <v>145</v>
      </c>
      <c r="D34" s="22" t="s">
        <v>69</v>
      </c>
      <c r="E34" s="22" t="s">
        <v>204</v>
      </c>
      <c r="F34" s="1"/>
    </row>
    <row x14ac:dyDescent="0.25" r="35" customHeight="1" ht="18.75">
      <c r="A35" s="22" t="s">
        <v>205</v>
      </c>
      <c r="B35" s="22" t="s">
        <v>129</v>
      </c>
      <c r="C35" s="22" t="s">
        <v>145</v>
      </c>
      <c r="D35" s="22" t="s">
        <v>69</v>
      </c>
      <c r="E35" s="22" t="s">
        <v>206</v>
      </c>
      <c r="F35" s="1"/>
    </row>
    <row x14ac:dyDescent="0.25" r="36" customHeight="1" ht="18.75">
      <c r="A36" s="22" t="s">
        <v>207</v>
      </c>
      <c r="B36" s="22" t="s">
        <v>129</v>
      </c>
      <c r="C36" s="22" t="s">
        <v>145</v>
      </c>
      <c r="D36" s="22" t="s">
        <v>69</v>
      </c>
      <c r="E36" s="22" t="s">
        <v>208</v>
      </c>
      <c r="F36" s="1"/>
    </row>
    <row x14ac:dyDescent="0.25" r="37" customHeight="1" ht="18.75">
      <c r="A37" s="22" t="s">
        <v>209</v>
      </c>
      <c r="B37" s="22" t="s">
        <v>129</v>
      </c>
      <c r="C37" s="22" t="s">
        <v>145</v>
      </c>
      <c r="D37" s="22" t="s">
        <v>69</v>
      </c>
      <c r="E37" s="22" t="s">
        <v>210</v>
      </c>
      <c r="F37" s="1"/>
    </row>
    <row x14ac:dyDescent="0.25" r="38" customHeight="1" ht="18.75">
      <c r="A38" s="22" t="s">
        <v>211</v>
      </c>
      <c r="B38" s="22" t="s">
        <v>129</v>
      </c>
      <c r="C38" s="22" t="s">
        <v>145</v>
      </c>
      <c r="D38" s="22" t="s">
        <v>69</v>
      </c>
      <c r="E38" s="22" t="s">
        <v>212</v>
      </c>
      <c r="F38" s="1"/>
    </row>
    <row x14ac:dyDescent="0.25" r="39" customHeight="1" ht="18.75">
      <c r="A39" s="22" t="s">
        <v>213</v>
      </c>
      <c r="B39" s="22" t="s">
        <v>129</v>
      </c>
      <c r="C39" s="22" t="s">
        <v>145</v>
      </c>
      <c r="D39" s="22" t="s">
        <v>69</v>
      </c>
      <c r="E39" s="22" t="s">
        <v>214</v>
      </c>
      <c r="F39" s="1"/>
    </row>
    <row x14ac:dyDescent="0.25" r="40" customHeight="1" ht="18.75">
      <c r="A40" s="22" t="s">
        <v>215</v>
      </c>
      <c r="B40" s="22" t="s">
        <v>129</v>
      </c>
      <c r="C40" s="22" t="s">
        <v>145</v>
      </c>
      <c r="D40" s="22" t="s">
        <v>69</v>
      </c>
      <c r="E40" s="22" t="s">
        <v>216</v>
      </c>
      <c r="F40" s="1"/>
    </row>
    <row x14ac:dyDescent="0.25" r="41" customHeight="1" ht="18.75">
      <c r="A41" s="22" t="s">
        <v>217</v>
      </c>
      <c r="B41" s="22" t="s">
        <v>129</v>
      </c>
      <c r="C41" s="22" t="s">
        <v>145</v>
      </c>
      <c r="D41" s="22" t="s">
        <v>69</v>
      </c>
      <c r="E41" s="22" t="s">
        <v>218</v>
      </c>
      <c r="F41" s="1"/>
    </row>
    <row x14ac:dyDescent="0.25" r="42" customHeight="1" ht="18.75">
      <c r="A42" s="22" t="s">
        <v>219</v>
      </c>
      <c r="B42" s="22" t="s">
        <v>129</v>
      </c>
      <c r="C42" s="22" t="s">
        <v>145</v>
      </c>
      <c r="D42" s="22" t="s">
        <v>69</v>
      </c>
      <c r="E42" s="22" t="s">
        <v>220</v>
      </c>
      <c r="F42" s="1"/>
    </row>
    <row x14ac:dyDescent="0.25" r="43" customHeight="1" ht="18.75">
      <c r="A43" s="22" t="s">
        <v>215</v>
      </c>
      <c r="B43" s="22" t="s">
        <v>129</v>
      </c>
      <c r="C43" s="22" t="s">
        <v>145</v>
      </c>
      <c r="D43" s="22" t="s">
        <v>69</v>
      </c>
      <c r="E43" s="22" t="s">
        <v>221</v>
      </c>
      <c r="F43" s="1"/>
    </row>
    <row x14ac:dyDescent="0.25" r="44" customHeight="1" ht="18.75">
      <c r="A44" s="22" t="s">
        <v>222</v>
      </c>
      <c r="B44" s="22" t="s">
        <v>129</v>
      </c>
      <c r="C44" s="22" t="s">
        <v>145</v>
      </c>
      <c r="D44" s="22" t="s">
        <v>69</v>
      </c>
      <c r="E44" s="22" t="s">
        <v>223</v>
      </c>
      <c r="F44" s="1"/>
    </row>
    <row x14ac:dyDescent="0.25" r="45" customHeight="1" ht="18.75">
      <c r="A45" s="22" t="s">
        <v>224</v>
      </c>
      <c r="B45" s="22" t="s">
        <v>129</v>
      </c>
      <c r="C45" s="22" t="s">
        <v>145</v>
      </c>
      <c r="D45" s="22" t="s">
        <v>69</v>
      </c>
      <c r="E45" s="22" t="s">
        <v>225</v>
      </c>
      <c r="F45" s="1"/>
    </row>
    <row x14ac:dyDescent="0.25" r="46" customHeight="1" ht="18.75">
      <c r="A46" s="22" t="s">
        <v>226</v>
      </c>
      <c r="B46" s="22" t="s">
        <v>136</v>
      </c>
      <c r="C46" s="22" t="s">
        <v>145</v>
      </c>
      <c r="D46" s="22" t="s">
        <v>80</v>
      </c>
      <c r="E46" s="22" t="s">
        <v>227</v>
      </c>
      <c r="F4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23" width="30.14785714285714" customWidth="1" bestFit="1"/>
    <col min="2" max="2" style="23" width="17.433571428571426" customWidth="1" bestFit="1"/>
    <col min="3" max="3" style="23" width="10.43357142857143" customWidth="1" bestFit="1"/>
    <col min="4" max="4" style="23" width="13.576428571428572" customWidth="1" bestFit="1"/>
    <col min="5" max="5" style="23" width="12.147857142857141" customWidth="1" bestFit="1"/>
    <col min="6" max="6" style="6" width="13.576428571428572" customWidth="1" bestFit="1"/>
  </cols>
  <sheetData>
    <row x14ac:dyDescent="0.25" r="1" customHeight="1" ht="18.75">
      <c r="A1" s="21" t="s">
        <v>60</v>
      </c>
      <c r="B1" s="21" t="s">
        <v>61</v>
      </c>
      <c r="C1" s="21" t="s">
        <v>62</v>
      </c>
      <c r="D1" s="21" t="s">
        <v>63</v>
      </c>
      <c r="E1" s="21" t="s">
        <v>64</v>
      </c>
      <c r="F1" s="21" t="s">
        <v>65</v>
      </c>
    </row>
    <row x14ac:dyDescent="0.25" r="2" customHeight="1" ht="18.75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1"/>
    </row>
    <row x14ac:dyDescent="0.25" r="3" customHeight="1" ht="18.75">
      <c r="A3" s="22" t="s">
        <v>71</v>
      </c>
      <c r="B3" s="22" t="s">
        <v>72</v>
      </c>
      <c r="C3" s="22" t="s">
        <v>73</v>
      </c>
      <c r="D3" s="22" t="s">
        <v>69</v>
      </c>
      <c r="E3" s="22" t="s">
        <v>59</v>
      </c>
      <c r="F3" s="1"/>
    </row>
    <row x14ac:dyDescent="0.25" r="4" customHeight="1" ht="18.75">
      <c r="A4" s="22" t="s">
        <v>74</v>
      </c>
      <c r="B4" s="22" t="s">
        <v>72</v>
      </c>
      <c r="C4" s="22" t="s">
        <v>75</v>
      </c>
      <c r="D4" s="22" t="s">
        <v>69</v>
      </c>
      <c r="E4" s="22" t="s">
        <v>76</v>
      </c>
      <c r="F4" s="1"/>
    </row>
    <row x14ac:dyDescent="0.25" r="5" customHeight="1" ht="18.75">
      <c r="A5" s="22" t="s">
        <v>77</v>
      </c>
      <c r="B5" s="22" t="s">
        <v>78</v>
      </c>
      <c r="C5" s="22" t="s">
        <v>79</v>
      </c>
      <c r="D5" s="22" t="s">
        <v>80</v>
      </c>
      <c r="E5" s="22" t="s">
        <v>81</v>
      </c>
      <c r="F5" s="22" t="s">
        <v>82</v>
      </c>
    </row>
    <row x14ac:dyDescent="0.25" r="6" customHeight="1" ht="18.75">
      <c r="A6" s="22" t="s">
        <v>83</v>
      </c>
      <c r="B6" s="22" t="s">
        <v>78</v>
      </c>
      <c r="C6" s="22" t="s">
        <v>79</v>
      </c>
      <c r="D6" s="22" t="s">
        <v>80</v>
      </c>
      <c r="E6" s="22" t="s">
        <v>84</v>
      </c>
      <c r="F6" s="22" t="s">
        <v>82</v>
      </c>
    </row>
    <row x14ac:dyDescent="0.25" r="7" customHeight="1" ht="18.75">
      <c r="A7" s="22" t="s">
        <v>85</v>
      </c>
      <c r="B7" s="22" t="s">
        <v>78</v>
      </c>
      <c r="C7" s="22" t="s">
        <v>79</v>
      </c>
      <c r="D7" s="22" t="s">
        <v>80</v>
      </c>
      <c r="E7" s="22" t="s">
        <v>86</v>
      </c>
      <c r="F7" s="22" t="s">
        <v>82</v>
      </c>
    </row>
    <row x14ac:dyDescent="0.25" r="8" customHeight="1" ht="18.75">
      <c r="A8" s="22" t="s">
        <v>87</v>
      </c>
      <c r="B8" s="22" t="s">
        <v>78</v>
      </c>
      <c r="C8" s="22" t="s">
        <v>79</v>
      </c>
      <c r="D8" s="22" t="s">
        <v>80</v>
      </c>
      <c r="E8" s="22" t="s">
        <v>88</v>
      </c>
      <c r="F8" s="22" t="s">
        <v>89</v>
      </c>
    </row>
    <row x14ac:dyDescent="0.25" r="9" customHeight="1" ht="18.75">
      <c r="A9" s="22" t="s">
        <v>90</v>
      </c>
      <c r="B9" s="22" t="s">
        <v>78</v>
      </c>
      <c r="C9" s="22" t="s">
        <v>79</v>
      </c>
      <c r="D9" s="22" t="s">
        <v>80</v>
      </c>
      <c r="E9" s="22" t="s">
        <v>91</v>
      </c>
      <c r="F9" s="22" t="s">
        <v>89</v>
      </c>
    </row>
    <row x14ac:dyDescent="0.25" r="10" customHeight="1" ht="18.75">
      <c r="A10" s="22" t="s">
        <v>92</v>
      </c>
      <c r="B10" s="22" t="s">
        <v>93</v>
      </c>
      <c r="C10" s="22" t="s">
        <v>79</v>
      </c>
      <c r="D10" s="22" t="s">
        <v>69</v>
      </c>
      <c r="E10" s="22" t="s">
        <v>94</v>
      </c>
      <c r="F10" s="22" t="s">
        <v>95</v>
      </c>
    </row>
    <row x14ac:dyDescent="0.25" r="11" customHeight="1" ht="18.75">
      <c r="A11" s="22" t="s">
        <v>96</v>
      </c>
      <c r="B11" s="22" t="s">
        <v>93</v>
      </c>
      <c r="C11" s="22" t="s">
        <v>79</v>
      </c>
      <c r="D11" s="22" t="s">
        <v>69</v>
      </c>
      <c r="E11" s="22" t="s">
        <v>97</v>
      </c>
      <c r="F11" s="22" t="s">
        <v>95</v>
      </c>
    </row>
    <row x14ac:dyDescent="0.25" r="12" customHeight="1" ht="18.75">
      <c r="A12" s="22" t="s">
        <v>98</v>
      </c>
      <c r="B12" s="22" t="s">
        <v>93</v>
      </c>
      <c r="C12" s="22" t="s">
        <v>79</v>
      </c>
      <c r="D12" s="22" t="s">
        <v>69</v>
      </c>
      <c r="E12" s="22" t="s">
        <v>99</v>
      </c>
      <c r="F12" s="22" t="s">
        <v>95</v>
      </c>
    </row>
    <row x14ac:dyDescent="0.25" r="13" customHeight="1" ht="18.75">
      <c r="A13" s="22" t="s">
        <v>100</v>
      </c>
      <c r="B13" s="22" t="s">
        <v>93</v>
      </c>
      <c r="C13" s="22" t="s">
        <v>79</v>
      </c>
      <c r="D13" s="22" t="s">
        <v>69</v>
      </c>
      <c r="E13" s="22" t="s">
        <v>101</v>
      </c>
      <c r="F13" s="22" t="s">
        <v>95</v>
      </c>
    </row>
    <row x14ac:dyDescent="0.25" r="14" customHeight="1" ht="18.75">
      <c r="A14" s="22" t="s">
        <v>102</v>
      </c>
      <c r="B14" s="22" t="s">
        <v>93</v>
      </c>
      <c r="C14" s="22" t="s">
        <v>79</v>
      </c>
      <c r="D14" s="22" t="s">
        <v>69</v>
      </c>
      <c r="E14" s="22" t="s">
        <v>103</v>
      </c>
      <c r="F14" s="22" t="s">
        <v>95</v>
      </c>
    </row>
    <row x14ac:dyDescent="0.25" r="15" customHeight="1" ht="18.75">
      <c r="A15" s="22" t="s">
        <v>104</v>
      </c>
      <c r="B15" s="22" t="s">
        <v>93</v>
      </c>
      <c r="C15" s="22" t="s">
        <v>79</v>
      </c>
      <c r="D15" s="22" t="s">
        <v>69</v>
      </c>
      <c r="E15" s="22" t="s">
        <v>105</v>
      </c>
      <c r="F15" s="22" t="s">
        <v>95</v>
      </c>
    </row>
    <row x14ac:dyDescent="0.25" r="16" customHeight="1" ht="18.75">
      <c r="A16" s="22" t="s">
        <v>106</v>
      </c>
      <c r="B16" s="22" t="s">
        <v>93</v>
      </c>
      <c r="C16" s="22" t="s">
        <v>79</v>
      </c>
      <c r="D16" s="22" t="s">
        <v>69</v>
      </c>
      <c r="E16" s="22" t="s">
        <v>107</v>
      </c>
      <c r="F16" s="22" t="s">
        <v>108</v>
      </c>
    </row>
    <row x14ac:dyDescent="0.25" r="17" customHeight="1" ht="18.75">
      <c r="A17" s="22" t="s">
        <v>109</v>
      </c>
      <c r="B17" s="22" t="s">
        <v>110</v>
      </c>
      <c r="C17" s="22" t="s">
        <v>79</v>
      </c>
      <c r="D17" s="22" t="s">
        <v>69</v>
      </c>
      <c r="E17" s="22" t="s">
        <v>111</v>
      </c>
      <c r="F17" s="22" t="s">
        <v>95</v>
      </c>
    </row>
    <row x14ac:dyDescent="0.25" r="18" customHeight="1" ht="18.75">
      <c r="A18" s="22" t="s">
        <v>112</v>
      </c>
      <c r="B18" s="22" t="s">
        <v>110</v>
      </c>
      <c r="C18" s="22" t="s">
        <v>79</v>
      </c>
      <c r="D18" s="22" t="s">
        <v>69</v>
      </c>
      <c r="E18" s="22" t="s">
        <v>113</v>
      </c>
      <c r="F18" s="22" t="s">
        <v>95</v>
      </c>
    </row>
    <row x14ac:dyDescent="0.25" r="19" customHeight="1" ht="18.75">
      <c r="A19" s="22" t="s">
        <v>114</v>
      </c>
      <c r="B19" s="22" t="s">
        <v>110</v>
      </c>
      <c r="C19" s="22" t="s">
        <v>79</v>
      </c>
      <c r="D19" s="22" t="s">
        <v>69</v>
      </c>
      <c r="E19" s="22" t="s">
        <v>115</v>
      </c>
      <c r="F19" s="22" t="s">
        <v>95</v>
      </c>
    </row>
    <row x14ac:dyDescent="0.25" r="20" customHeight="1" ht="18.75">
      <c r="A20" s="22" t="s">
        <v>116</v>
      </c>
      <c r="B20" s="22" t="s">
        <v>110</v>
      </c>
      <c r="C20" s="22" t="s">
        <v>79</v>
      </c>
      <c r="D20" s="22" t="s">
        <v>69</v>
      </c>
      <c r="E20" s="22" t="s">
        <v>117</v>
      </c>
      <c r="F20" s="22" t="s">
        <v>95</v>
      </c>
    </row>
    <row x14ac:dyDescent="0.25" r="21" customHeight="1" ht="18.75">
      <c r="A21" s="22" t="s">
        <v>118</v>
      </c>
      <c r="B21" s="22" t="s">
        <v>110</v>
      </c>
      <c r="C21" s="22" t="s">
        <v>79</v>
      </c>
      <c r="D21" s="22" t="s">
        <v>69</v>
      </c>
      <c r="E21" s="22" t="s">
        <v>119</v>
      </c>
      <c r="F21" s="22" t="s">
        <v>95</v>
      </c>
    </row>
    <row x14ac:dyDescent="0.25" r="22" customHeight="1" ht="18.75">
      <c r="A22" s="22" t="s">
        <v>120</v>
      </c>
      <c r="B22" s="22" t="s">
        <v>110</v>
      </c>
      <c r="C22" s="22" t="s">
        <v>79</v>
      </c>
      <c r="D22" s="22" t="s">
        <v>69</v>
      </c>
      <c r="E22" s="22" t="s">
        <v>121</v>
      </c>
      <c r="F22" s="22" t="s">
        <v>95</v>
      </c>
    </row>
    <row x14ac:dyDescent="0.25" r="23" customHeight="1" ht="18.75">
      <c r="A23" s="22" t="s">
        <v>122</v>
      </c>
      <c r="B23" s="22" t="s">
        <v>123</v>
      </c>
      <c r="C23" s="22" t="s">
        <v>79</v>
      </c>
      <c r="D23" s="22" t="s">
        <v>80</v>
      </c>
      <c r="E23" s="22" t="s">
        <v>124</v>
      </c>
      <c r="F23" s="22" t="s">
        <v>95</v>
      </c>
    </row>
    <row x14ac:dyDescent="0.25" r="24" customHeight="1" ht="18.75">
      <c r="A24" s="22" t="s">
        <v>125</v>
      </c>
      <c r="B24" s="22" t="s">
        <v>126</v>
      </c>
      <c r="C24" s="22" t="s">
        <v>79</v>
      </c>
      <c r="D24" s="22" t="s">
        <v>69</v>
      </c>
      <c r="E24" s="22" t="s">
        <v>127</v>
      </c>
      <c r="F24" s="1"/>
    </row>
    <row x14ac:dyDescent="0.25" r="25" customHeight="1" ht="18.75">
      <c r="A25" s="22" t="s">
        <v>128</v>
      </c>
      <c r="B25" s="22" t="s">
        <v>129</v>
      </c>
      <c r="C25" s="22" t="s">
        <v>79</v>
      </c>
      <c r="D25" s="22" t="s">
        <v>69</v>
      </c>
      <c r="E25" s="22" t="s">
        <v>130</v>
      </c>
      <c r="F25" s="1"/>
    </row>
    <row x14ac:dyDescent="0.25" r="26" customHeight="1" ht="18.75">
      <c r="A26" s="22" t="s">
        <v>131</v>
      </c>
      <c r="B26" s="22" t="s">
        <v>129</v>
      </c>
      <c r="C26" s="22" t="s">
        <v>79</v>
      </c>
      <c r="D26" s="22" t="s">
        <v>69</v>
      </c>
      <c r="E26" s="22" t="s">
        <v>132</v>
      </c>
      <c r="F26" s="1"/>
    </row>
    <row x14ac:dyDescent="0.25" r="27" customHeight="1" ht="18.75">
      <c r="A27" s="22" t="s">
        <v>133</v>
      </c>
      <c r="B27" s="22" t="s">
        <v>129</v>
      </c>
      <c r="C27" s="22" t="s">
        <v>79</v>
      </c>
      <c r="D27" s="22" t="s">
        <v>69</v>
      </c>
      <c r="E27" s="22" t="s">
        <v>134</v>
      </c>
      <c r="F27" s="1"/>
    </row>
    <row x14ac:dyDescent="0.25" r="28" customHeight="1" ht="18.75">
      <c r="A28" s="22" t="s">
        <v>135</v>
      </c>
      <c r="B28" s="22" t="s">
        <v>136</v>
      </c>
      <c r="C28" s="22" t="s">
        <v>79</v>
      </c>
      <c r="D28" s="22" t="s">
        <v>80</v>
      </c>
      <c r="E28" s="22" t="s">
        <v>137</v>
      </c>
      <c r="F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77"/>
  <sheetViews>
    <sheetView workbookViewId="0"/>
  </sheetViews>
  <sheetFormatPr defaultRowHeight="15" x14ac:dyDescent="0.25"/>
  <cols>
    <col min="1" max="1" style="19" width="13.576428571428572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4.43357142857143" customWidth="1" bestFit="1"/>
    <col min="13" max="13" style="20" width="14.43357142857143" customWidth="1" bestFit="1"/>
    <col min="14" max="14" style="20" width="14.005" customWidth="1" bestFit="1"/>
    <col min="15" max="15" style="20" width="13.862142857142858" customWidth="1" bestFit="1"/>
    <col min="16" max="16" style="20" width="14.147857142857141" customWidth="1" bestFit="1"/>
    <col min="17" max="17" style="20" width="12.862142857142858" customWidth="1" bestFit="1"/>
    <col min="18" max="18" style="20" width="15.147857142857141" customWidth="1" bestFit="1"/>
    <col min="19" max="19" style="20" width="13.576428571428572" customWidth="1" bestFit="1"/>
    <col min="20" max="20" style="20" width="13.576428571428572" customWidth="1" bestFit="1"/>
    <col min="21" max="21" style="20" width="13.576428571428572" customWidth="1" bestFit="1"/>
    <col min="22" max="22" style="20" width="13.576428571428572" customWidth="1" bestFit="1"/>
    <col min="23" max="23" style="20" width="13.576428571428572" customWidth="1" bestFit="1"/>
    <col min="24" max="24" style="20" width="13.576428571428572" customWidth="1" bestFit="1"/>
    <col min="25" max="25" style="20" width="13.576428571428572" customWidth="1" bestFit="1"/>
    <col min="26" max="26" style="20" width="13.576428571428572" customWidth="1" bestFit="1"/>
    <col min="27" max="27" style="20" width="13.576428571428572" customWidth="1" bestFit="1"/>
    <col min="28" max="28" style="20" width="13.576428571428572" customWidth="1" bestFit="1"/>
    <col min="29" max="29" style="20" width="13.576428571428572" customWidth="1" bestFit="1"/>
    <col min="30" max="30" style="20" width="13.576428571428572" customWidth="1" bestFit="1"/>
    <col min="31" max="31" style="20" width="13.576428571428572" customWidth="1" bestFit="1"/>
    <col min="32" max="32" style="20" width="13.576428571428572" customWidth="1" bestFit="1"/>
    <col min="33" max="33" style="20" width="13.576428571428572" customWidth="1" bestFit="1"/>
    <col min="34" max="34" style="20" width="13.576428571428572" customWidth="1" bestFit="1"/>
    <col min="35" max="35" style="20" width="13.576428571428572" customWidth="1" bestFit="1"/>
    <col min="36" max="36" style="20" width="13.576428571428572" customWidth="1" bestFit="1"/>
    <col min="37" max="37" style="20" width="13.576428571428572" customWidth="1" bestFit="1"/>
    <col min="38" max="38" style="20" width="13.576428571428572" customWidth="1" bestFit="1"/>
    <col min="39" max="39" style="20" width="13.576428571428572" customWidth="1" bestFit="1"/>
    <col min="40" max="40" style="20" width="13.576428571428572" customWidth="1" bestFit="1"/>
    <col min="41" max="41" style="20" width="13.576428571428572" customWidth="1" bestFit="1"/>
    <col min="42" max="42" style="20" width="13.576428571428572" customWidth="1" bestFit="1"/>
    <col min="43" max="43" style="20" width="13.576428571428572" customWidth="1" bestFit="1"/>
    <col min="44" max="44" style="20" width="13.576428571428572" customWidth="1" bestFit="1"/>
    <col min="45" max="45" style="20" width="13.576428571428572" customWidth="1" bestFit="1"/>
    <col min="46" max="46" style="20" width="13.576428571428572" customWidth="1" bestFit="1"/>
    <col min="47" max="47" style="20" width="13.576428571428572" customWidth="1" bestFit="1"/>
    <col min="48" max="48" style="20" width="13.576428571428572" customWidth="1" bestFit="1"/>
    <col min="49" max="49" style="20" width="13.576428571428572" customWidth="1" bestFit="1"/>
    <col min="50" max="50" style="20" width="13.576428571428572" customWidth="1" bestFit="1"/>
    <col min="51" max="51" style="20" width="13.576428571428572" customWidth="1" bestFit="1"/>
    <col min="52" max="52" style="20" width="13.576428571428572" customWidth="1" bestFit="1"/>
    <col min="53" max="53" style="20" width="13.576428571428572" customWidth="1" bestFit="1"/>
    <col min="54" max="54" style="20" width="13.576428571428572" customWidth="1" bestFit="1"/>
    <col min="55" max="55" style="20" width="13.576428571428572" customWidth="1" bestFit="1"/>
    <col min="56" max="56" style="20" width="13.576428571428572" customWidth="1" bestFit="1"/>
    <col min="57" max="57" style="20" width="13.576428571428572" customWidth="1" bestFit="1"/>
  </cols>
  <sheetData>
    <row x14ac:dyDescent="0.25" r="1" customHeight="1" ht="18.75">
      <c r="A1" s="15"/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x14ac:dyDescent="0.25" r="2" customHeight="1" ht="18.75">
      <c r="A2" s="15"/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x14ac:dyDescent="0.25" r="3" customHeight="1" ht="18.75">
      <c r="A3" s="18" t="s">
        <v>2</v>
      </c>
      <c r="B3" s="16">
        <f>[1]!s_info_name(B4)</f>
      </c>
      <c r="C3" s="16">
        <f>[1]!s_info_name(C4)</f>
      </c>
      <c r="D3" s="16">
        <f>[1]!s_info_name(D4)</f>
      </c>
      <c r="E3" s="16">
        <f>[1]!s_info_name(E4)</f>
      </c>
      <c r="F3" s="16">
        <f>[1]!s_info_name(F4)</f>
      </c>
      <c r="G3" s="16">
        <f>[1]!s_info_name(G4)</f>
      </c>
      <c r="H3" s="16">
        <f>[1]!s_info_name(H4)</f>
      </c>
      <c r="I3" s="16">
        <f>[1]!s_info_name(I4)</f>
      </c>
      <c r="J3" s="16">
        <f>[1]!s_info_name(J4)</f>
      </c>
      <c r="K3" s="16">
        <f>[1]!s_info_name(K4)</f>
      </c>
      <c r="L3" s="16">
        <f>[1]!s_info_name(L4)</f>
      </c>
      <c r="M3" s="16">
        <f>[1]!s_info_name(M4)</f>
      </c>
      <c r="N3" s="16">
        <f>[1]!s_info_name(N4)</f>
      </c>
      <c r="O3" s="16">
        <f>[1]!s_info_name(O4)</f>
      </c>
      <c r="P3" s="16">
        <f>[1]!s_info_name(P4)</f>
      </c>
      <c r="Q3" s="16">
        <f>[1]!s_info_name(Q4)</f>
      </c>
      <c r="R3" s="16">
        <f>[1]!s_info_name(R4)</f>
      </c>
      <c r="S3" s="16">
        <f>[1]!s_info_name(S4)</f>
      </c>
      <c r="T3" s="16">
        <f>[1]!s_info_name(T4)</f>
      </c>
      <c r="U3" s="16">
        <f>[1]!s_info_name(U4)</f>
      </c>
      <c r="V3" s="16">
        <f>[1]!s_info_name(V4)</f>
      </c>
      <c r="W3" s="16">
        <f>[1]!s_info_name(W4)</f>
      </c>
      <c r="X3" s="16">
        <f>[1]!s_info_name(X4)</f>
      </c>
      <c r="Y3" s="16">
        <f>[1]!s_info_name(Y4)</f>
      </c>
      <c r="Z3" s="16">
        <f>[1]!s_info_name(Z4)</f>
      </c>
      <c r="AA3" s="16">
        <f>[1]!s_info_name(AA4)</f>
      </c>
      <c r="AB3" s="16">
        <f>[1]!s_info_name(AB4)</f>
      </c>
      <c r="AC3" s="16">
        <f>[1]!s_info_name(AC4)</f>
      </c>
      <c r="AD3" s="16">
        <f>[1]!s_info_name(AD4)</f>
      </c>
      <c r="AE3" s="16">
        <f>[1]!s_info_name(AE4)</f>
      </c>
      <c r="AF3" s="16">
        <f>[1]!s_info_name(AF4)</f>
      </c>
      <c r="AG3" s="16">
        <f>[1]!s_info_name(AG4)</f>
      </c>
      <c r="AH3" s="16">
        <f>[1]!s_info_name(AH4)</f>
      </c>
      <c r="AI3" s="16">
        <f>[1]!s_info_name(AI4)</f>
      </c>
      <c r="AJ3" s="16">
        <f>[1]!s_info_name(AJ4)</f>
      </c>
      <c r="AK3" s="16">
        <f>[1]!s_info_name(AK4)</f>
      </c>
      <c r="AL3" s="16">
        <f>[1]!s_info_name(AL4)</f>
      </c>
      <c r="AM3" s="16">
        <f>[1]!s_info_name(AM4)</f>
      </c>
      <c r="AN3" s="16">
        <f>[1]!s_info_name(AN4)</f>
      </c>
      <c r="AO3" s="16">
        <f>[1]!s_info_name(AO4)</f>
      </c>
      <c r="AP3" s="16">
        <f>[1]!s_info_name(AP4)</f>
      </c>
      <c r="AQ3" s="16">
        <f>[1]!s_info_name(AQ4)</f>
      </c>
      <c r="AR3" s="16">
        <f>[1]!s_info_name(AR4)</f>
      </c>
      <c r="AS3" s="16">
        <f>[1]!s_info_name(AS4)</f>
      </c>
      <c r="AT3" s="16">
        <f>[1]!s_info_name(AT4)</f>
      </c>
      <c r="AU3" s="16">
        <f>[1]!s_info_name(AU4)</f>
      </c>
      <c r="AV3" s="16">
        <f>[1]!s_info_name(AV4)</f>
      </c>
      <c r="AW3" s="16">
        <f>[1]!s_info_name(AW4)</f>
      </c>
      <c r="AX3" s="16">
        <f>[1]!s_info_name(AX4)</f>
      </c>
      <c r="AY3" s="16">
        <f>[1]!s_info_name(AY4)</f>
      </c>
      <c r="AZ3" s="16">
        <f>[1]!s_info_name(AZ4)</f>
      </c>
      <c r="BA3" s="16">
        <f>[1]!s_info_name(BA4)</f>
      </c>
      <c r="BB3" s="16">
        <f>[1]!s_info_name(BB4)</f>
      </c>
      <c r="BC3" s="16">
        <f>[1]!s_info_name(BC4)</f>
      </c>
      <c r="BD3" s="16">
        <f>[1]!s_info_name(BD4)</f>
      </c>
      <c r="BE3" s="16">
        <f>[1]!s_info_name(BE4)</f>
      </c>
    </row>
    <row x14ac:dyDescent="0.25" r="4" customHeight="1" ht="18.75">
      <c r="A4" s="18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6" t="s">
        <v>25</v>
      </c>
      <c r="X4" s="16" t="s">
        <v>26</v>
      </c>
      <c r="Y4" s="16" t="s">
        <v>27</v>
      </c>
      <c r="Z4" s="16" t="s">
        <v>28</v>
      </c>
      <c r="AA4" s="16" t="s">
        <v>29</v>
      </c>
      <c r="AB4" s="16" t="s">
        <v>30</v>
      </c>
      <c r="AC4" s="16" t="s">
        <v>31</v>
      </c>
      <c r="AD4" s="16" t="s">
        <v>32</v>
      </c>
      <c r="AE4" s="16" t="s">
        <v>33</v>
      </c>
      <c r="AF4" s="16" t="s">
        <v>34</v>
      </c>
      <c r="AG4" s="16" t="s">
        <v>35</v>
      </c>
      <c r="AH4" s="16" t="s">
        <v>36</v>
      </c>
      <c r="AI4" s="16" t="s">
        <v>37</v>
      </c>
      <c r="AJ4" s="16" t="s">
        <v>38</v>
      </c>
      <c r="AK4" s="16" t="s">
        <v>39</v>
      </c>
      <c r="AL4" s="16" t="s">
        <v>40</v>
      </c>
      <c r="AM4" s="16" t="s">
        <v>41</v>
      </c>
      <c r="AN4" s="16" t="s">
        <v>42</v>
      </c>
      <c r="AO4" s="16" t="s">
        <v>43</v>
      </c>
      <c r="AP4" s="16" t="s">
        <v>44</v>
      </c>
      <c r="AQ4" s="16" t="s">
        <v>45</v>
      </c>
      <c r="AR4" s="16" t="s">
        <v>46</v>
      </c>
      <c r="AS4" s="16" t="s">
        <v>47</v>
      </c>
      <c r="AT4" s="16" t="s">
        <v>48</v>
      </c>
      <c r="AU4" s="16" t="s">
        <v>49</v>
      </c>
      <c r="AV4" s="16" t="s">
        <v>50</v>
      </c>
      <c r="AW4" s="16" t="s">
        <v>51</v>
      </c>
      <c r="AX4" s="16" t="s">
        <v>52</v>
      </c>
      <c r="AY4" s="16" t="s">
        <v>53</v>
      </c>
      <c r="AZ4" s="16" t="s">
        <v>54</v>
      </c>
      <c r="BA4" s="16" t="s">
        <v>55</v>
      </c>
      <c r="BB4" s="16" t="s">
        <v>56</v>
      </c>
      <c r="BC4" s="16" t="s">
        <v>57</v>
      </c>
      <c r="BD4" s="16" t="s">
        <v>58</v>
      </c>
      <c r="BE4" s="16" t="s">
        <v>59</v>
      </c>
    </row>
    <row x14ac:dyDescent="0.25" r="5" customHeight="1" ht="18.75">
      <c r="A5" s="18">
        <v>44665</v>
      </c>
      <c r="B5" s="16">
        <f>[1]!WSD(B4:BE4,B2,"-100D","","Days=Weekdays","TradingCalendar=SSE","Fill=Previous","PriceAdj=F","Sort=D","rptType=1","ShowParams=Y","cols=56;rows=73")</f>
      </c>
      <c r="C5" s="16">
        <v>7.8397</v>
      </c>
      <c r="D5" s="16">
        <v>4191.5684</v>
      </c>
      <c r="E5" s="16">
        <v>813</v>
      </c>
      <c r="F5" s="16">
        <v>21550</v>
      </c>
      <c r="G5" s="16">
        <v>4234.5</v>
      </c>
      <c r="H5" s="16">
        <v>3242</v>
      </c>
      <c r="I5" s="16">
        <v>901.5</v>
      </c>
      <c r="J5" s="16">
        <v>6152</v>
      </c>
      <c r="K5" s="16">
        <v>666</v>
      </c>
      <c r="L5" s="16">
        <v>19830</v>
      </c>
      <c r="M5" s="16">
        <v>74180</v>
      </c>
      <c r="N5" s="16">
        <v>21440</v>
      </c>
      <c r="O5" s="16">
        <v>27845</v>
      </c>
      <c r="P5" s="16">
        <v>15320</v>
      </c>
      <c r="Q5" s="16">
        <v>223880</v>
      </c>
      <c r="R5" s="16">
        <v>339240</v>
      </c>
      <c r="S5" s="16">
        <v>404.32</v>
      </c>
      <c r="T5" s="16">
        <v>5251</v>
      </c>
      <c r="U5" s="16">
        <v>5004</v>
      </c>
      <c r="V5" s="16">
        <v>5499</v>
      </c>
      <c r="W5" s="16">
        <v>5160</v>
      </c>
      <c r="X5" s="16">
        <v>4047</v>
      </c>
      <c r="Y5" s="16">
        <v>3834</v>
      </c>
      <c r="Z5" s="16">
        <v>13460</v>
      </c>
      <c r="AA5" s="16">
        <v>7022</v>
      </c>
      <c r="AB5" s="16">
        <v>3928</v>
      </c>
      <c r="AC5" s="16">
        <v>10818</v>
      </c>
      <c r="AD5" s="16">
        <v>6191</v>
      </c>
      <c r="AE5" s="16">
        <v>5135</v>
      </c>
      <c r="AF5" s="16">
        <v>10918</v>
      </c>
      <c r="AG5" s="16">
        <v>2949</v>
      </c>
      <c r="AH5" s="16">
        <v>3329</v>
      </c>
      <c r="AI5" s="16">
        <v>12695</v>
      </c>
      <c r="AJ5" s="16">
        <v>4808</v>
      </c>
      <c r="AK5" s="16">
        <v>8892</v>
      </c>
      <c r="AL5" s="16">
        <v>9141</v>
      </c>
      <c r="AM5" s="16">
        <v>8721</v>
      </c>
      <c r="AN5" s="16">
        <v>4814</v>
      </c>
      <c r="AO5" s="16">
        <v>3348</v>
      </c>
      <c r="AP5" s="16">
        <v>9726</v>
      </c>
      <c r="AQ5" s="16">
        <v>6040</v>
      </c>
      <c r="AR5" s="16">
        <v>2020</v>
      </c>
      <c r="AS5" s="16">
        <v>6062</v>
      </c>
      <c r="AT5" s="16">
        <v>7786</v>
      </c>
      <c r="AU5" s="16">
        <v>2871</v>
      </c>
      <c r="AV5" s="16">
        <v>13132</v>
      </c>
      <c r="AW5" s="16">
        <v>3771</v>
      </c>
      <c r="AX5" s="16">
        <v>9414</v>
      </c>
      <c r="AY5" s="16">
        <v>10462</v>
      </c>
      <c r="AZ5" s="16">
        <v>8686</v>
      </c>
      <c r="BA5" s="16">
        <v>8808</v>
      </c>
      <c r="BB5" s="16">
        <v>11340</v>
      </c>
      <c r="BC5" s="16">
        <v>2708</v>
      </c>
      <c r="BD5" s="16">
        <v>3138</v>
      </c>
      <c r="BE5" s="16">
        <v>2068</v>
      </c>
    </row>
    <row x14ac:dyDescent="0.25" r="6" customHeight="1" ht="18.75">
      <c r="A6" s="18">
        <v>44664</v>
      </c>
      <c r="B6" s="16">
        <v>6.3682</v>
      </c>
      <c r="C6" s="16">
        <v>7.8397</v>
      </c>
      <c r="D6" s="16">
        <v>4139.737</v>
      </c>
      <c r="E6" s="16">
        <v>805</v>
      </c>
      <c r="F6" s="16">
        <v>21515</v>
      </c>
      <c r="G6" s="16">
        <v>4088.5</v>
      </c>
      <c r="H6" s="16">
        <v>3196</v>
      </c>
      <c r="I6" s="16">
        <v>884</v>
      </c>
      <c r="J6" s="16">
        <v>5946</v>
      </c>
      <c r="K6" s="16">
        <v>650.5</v>
      </c>
      <c r="L6" s="16">
        <v>19805</v>
      </c>
      <c r="M6" s="16">
        <v>74030</v>
      </c>
      <c r="N6" s="16">
        <v>21270</v>
      </c>
      <c r="O6" s="16">
        <v>28395</v>
      </c>
      <c r="P6" s="16">
        <v>15490</v>
      </c>
      <c r="Q6" s="16">
        <v>221050</v>
      </c>
      <c r="R6" s="16">
        <v>333180</v>
      </c>
      <c r="S6" s="16">
        <v>403.7</v>
      </c>
      <c r="T6" s="16">
        <v>5208</v>
      </c>
      <c r="U6" s="16">
        <v>4915</v>
      </c>
      <c r="V6" s="16">
        <v>5409</v>
      </c>
      <c r="W6" s="16">
        <v>5086</v>
      </c>
      <c r="X6" s="16">
        <v>3983</v>
      </c>
      <c r="Y6" s="16">
        <v>3858</v>
      </c>
      <c r="Z6" s="16">
        <v>13345</v>
      </c>
      <c r="AA6" s="16">
        <v>6986</v>
      </c>
      <c r="AB6" s="16">
        <v>3905</v>
      </c>
      <c r="AC6" s="16">
        <v>10664</v>
      </c>
      <c r="AD6" s="16">
        <v>6209</v>
      </c>
      <c r="AE6" s="16">
        <v>5073</v>
      </c>
      <c r="AF6" s="16">
        <v>10622</v>
      </c>
      <c r="AG6" s="16">
        <v>2917</v>
      </c>
      <c r="AH6" s="16">
        <v>3297</v>
      </c>
      <c r="AI6" s="16">
        <v>12750</v>
      </c>
      <c r="AJ6" s="16">
        <v>4791</v>
      </c>
      <c r="AK6" s="16">
        <v>8836</v>
      </c>
      <c r="AL6" s="16">
        <v>9117</v>
      </c>
      <c r="AM6" s="16">
        <v>8662</v>
      </c>
      <c r="AN6" s="16">
        <v>4782</v>
      </c>
      <c r="AO6" s="16">
        <v>3344</v>
      </c>
      <c r="AP6" s="16">
        <v>9684</v>
      </c>
      <c r="AQ6" s="16">
        <v>6020</v>
      </c>
      <c r="AR6" s="16">
        <v>2019</v>
      </c>
      <c r="AS6" s="16">
        <v>6062</v>
      </c>
      <c r="AT6" s="16">
        <v>7742</v>
      </c>
      <c r="AU6" s="16">
        <v>2861</v>
      </c>
      <c r="AV6" s="16">
        <v>12915</v>
      </c>
      <c r="AW6" s="16">
        <v>3687</v>
      </c>
      <c r="AX6" s="16">
        <v>9454</v>
      </c>
      <c r="AY6" s="16">
        <v>10342</v>
      </c>
      <c r="AZ6" s="16">
        <v>8610</v>
      </c>
      <c r="BA6" s="16">
        <v>8812</v>
      </c>
      <c r="BB6" s="16">
        <v>11260</v>
      </c>
      <c r="BC6" s="16">
        <v>2697</v>
      </c>
      <c r="BD6" s="16">
        <v>3081</v>
      </c>
      <c r="BE6" s="16">
        <v>2068</v>
      </c>
    </row>
    <row x14ac:dyDescent="0.25" r="7" customHeight="1" ht="18.75">
      <c r="A7" s="18">
        <v>44663</v>
      </c>
      <c r="B7" s="16">
        <v>6.3621</v>
      </c>
      <c r="C7" s="16">
        <v>7.8375</v>
      </c>
      <c r="D7" s="16">
        <v>4179.9727</v>
      </c>
      <c r="E7" s="16">
        <v>808.4</v>
      </c>
      <c r="F7" s="16">
        <v>21630</v>
      </c>
      <c r="G7" s="16">
        <v>4148</v>
      </c>
      <c r="H7" s="16">
        <v>3231</v>
      </c>
      <c r="I7" s="16">
        <v>925</v>
      </c>
      <c r="J7" s="16">
        <v>5924</v>
      </c>
      <c r="K7" s="16">
        <v>635.4</v>
      </c>
      <c r="L7" s="16">
        <v>19555</v>
      </c>
      <c r="M7" s="16">
        <v>73350</v>
      </c>
      <c r="N7" s="16">
        <v>21070</v>
      </c>
      <c r="O7" s="16">
        <v>27870</v>
      </c>
      <c r="P7" s="16">
        <v>15370</v>
      </c>
      <c r="Q7" s="16">
        <v>212620</v>
      </c>
      <c r="R7" s="16">
        <v>339830</v>
      </c>
      <c r="S7" s="16">
        <v>401.78</v>
      </c>
      <c r="T7" s="16">
        <v>5179</v>
      </c>
      <c r="U7" s="16">
        <v>5035</v>
      </c>
      <c r="V7" s="16">
        <v>5438</v>
      </c>
      <c r="W7" s="16">
        <v>5180</v>
      </c>
      <c r="X7" s="16">
        <v>3862</v>
      </c>
      <c r="Y7" s="16">
        <v>3775</v>
      </c>
      <c r="Z7" s="16">
        <v>13545</v>
      </c>
      <c r="AA7" s="16">
        <v>7030</v>
      </c>
      <c r="AB7" s="16">
        <v>3923</v>
      </c>
      <c r="AC7" s="16">
        <v>10708</v>
      </c>
      <c r="AD7" s="16">
        <v>6207</v>
      </c>
      <c r="AE7" s="16">
        <v>5084</v>
      </c>
      <c r="AF7" s="16">
        <v>10638</v>
      </c>
      <c r="AG7" s="16">
        <v>2919</v>
      </c>
      <c r="AH7" s="16">
        <v>3305</v>
      </c>
      <c r="AI7" s="16">
        <v>12695</v>
      </c>
      <c r="AJ7" s="16">
        <v>4814</v>
      </c>
      <c r="AK7" s="16">
        <v>8932</v>
      </c>
      <c r="AL7" s="16">
        <v>9242</v>
      </c>
      <c r="AM7" s="16">
        <v>8751</v>
      </c>
      <c r="AN7" s="16">
        <v>4896</v>
      </c>
      <c r="AO7" s="16">
        <v>3331</v>
      </c>
      <c r="AP7" s="16">
        <v>9870</v>
      </c>
      <c r="AQ7" s="16">
        <v>6048</v>
      </c>
      <c r="AR7" s="16">
        <v>2075</v>
      </c>
      <c r="AS7" s="16">
        <v>6128</v>
      </c>
      <c r="AT7" s="16">
        <v>7804</v>
      </c>
      <c r="AU7" s="16">
        <v>2840</v>
      </c>
      <c r="AV7" s="16">
        <v>12878</v>
      </c>
      <c r="AW7" s="16">
        <v>3735</v>
      </c>
      <c r="AX7" s="16">
        <v>9480</v>
      </c>
      <c r="AY7" s="16">
        <v>10398</v>
      </c>
      <c r="AZ7" s="16">
        <v>8644</v>
      </c>
      <c r="BA7" s="16">
        <v>9097</v>
      </c>
      <c r="BB7" s="16">
        <v>11495</v>
      </c>
      <c r="BC7" s="16">
        <v>2647</v>
      </c>
      <c r="BD7" s="16">
        <v>3099</v>
      </c>
      <c r="BE7" s="16">
        <v>2035</v>
      </c>
    </row>
    <row x14ac:dyDescent="0.25" r="8" customHeight="1" ht="18.75">
      <c r="A8" s="18">
        <v>44662</v>
      </c>
      <c r="B8" s="16">
        <v>6.3665</v>
      </c>
      <c r="C8" s="16">
        <v>7.838</v>
      </c>
      <c r="D8" s="16">
        <v>4100.0703</v>
      </c>
      <c r="E8" s="16">
        <v>805</v>
      </c>
      <c r="F8" s="16">
        <v>21555</v>
      </c>
      <c r="G8" s="16">
        <v>3929.5</v>
      </c>
      <c r="H8" s="16">
        <v>3106</v>
      </c>
      <c r="I8" s="16">
        <v>868.5</v>
      </c>
      <c r="J8" s="16">
        <v>5804</v>
      </c>
      <c r="K8" s="16">
        <v>624.6</v>
      </c>
      <c r="L8" s="16">
        <v>19330</v>
      </c>
      <c r="M8" s="16">
        <v>73230</v>
      </c>
      <c r="N8" s="16">
        <v>21005</v>
      </c>
      <c r="O8" s="16">
        <v>27240</v>
      </c>
      <c r="P8" s="16">
        <v>15385</v>
      </c>
      <c r="Q8" s="16">
        <v>210900</v>
      </c>
      <c r="R8" s="16">
        <v>337360</v>
      </c>
      <c r="S8" s="16">
        <v>399.6</v>
      </c>
      <c r="T8" s="16">
        <v>5083</v>
      </c>
      <c r="U8" s="16">
        <v>4867</v>
      </c>
      <c r="V8" s="16">
        <v>5267</v>
      </c>
      <c r="W8" s="16">
        <v>5038</v>
      </c>
      <c r="X8" s="16">
        <v>3770</v>
      </c>
      <c r="Y8" s="16">
        <v>3712</v>
      </c>
      <c r="Z8" s="16">
        <v>13540</v>
      </c>
      <c r="AA8" s="16">
        <v>7050</v>
      </c>
      <c r="AB8" s="16">
        <v>3939</v>
      </c>
      <c r="AC8" s="16">
        <v>10482</v>
      </c>
      <c r="AD8" s="16">
        <v>6280</v>
      </c>
      <c r="AE8" s="16">
        <v>5048</v>
      </c>
      <c r="AF8" s="16">
        <v>10302</v>
      </c>
      <c r="AG8" s="16">
        <v>2914</v>
      </c>
      <c r="AH8" s="16">
        <v>3299</v>
      </c>
      <c r="AI8" s="16">
        <v>12525</v>
      </c>
      <c r="AJ8" s="16">
        <v>4860</v>
      </c>
      <c r="AK8" s="16">
        <v>8877</v>
      </c>
      <c r="AL8" s="16">
        <v>9064</v>
      </c>
      <c r="AM8" s="16">
        <v>8594</v>
      </c>
      <c r="AN8" s="16">
        <v>4825</v>
      </c>
      <c r="AO8" s="16">
        <v>3332</v>
      </c>
      <c r="AP8" s="16">
        <v>9760</v>
      </c>
      <c r="AQ8" s="16">
        <v>6017</v>
      </c>
      <c r="AR8" s="16">
        <v>2027</v>
      </c>
      <c r="AS8" s="16">
        <v>5920</v>
      </c>
      <c r="AT8" s="16">
        <v>7566</v>
      </c>
      <c r="AU8" s="16">
        <v>2799</v>
      </c>
      <c r="AV8" s="16">
        <v>12529</v>
      </c>
      <c r="AW8" s="16">
        <v>3765</v>
      </c>
      <c r="AX8" s="16">
        <v>9456</v>
      </c>
      <c r="AY8" s="16">
        <v>10230</v>
      </c>
      <c r="AZ8" s="16">
        <v>8594</v>
      </c>
      <c r="BA8" s="16">
        <v>9115</v>
      </c>
      <c r="BB8" s="16">
        <v>11250</v>
      </c>
      <c r="BC8" s="16">
        <v>2622</v>
      </c>
      <c r="BD8" s="16">
        <v>2947</v>
      </c>
      <c r="BE8" s="16">
        <v>2031</v>
      </c>
    </row>
    <row x14ac:dyDescent="0.25" r="9" customHeight="1" ht="18.75">
      <c r="A9" s="18">
        <v>44659</v>
      </c>
      <c r="B9" s="16">
        <v>6.3615</v>
      </c>
      <c r="C9" s="16">
        <v>7.8393</v>
      </c>
      <c r="D9" s="16">
        <v>4230.7669</v>
      </c>
      <c r="E9" s="16">
        <v>803.2</v>
      </c>
      <c r="F9" s="16">
        <v>21605</v>
      </c>
      <c r="G9" s="16">
        <v>4059</v>
      </c>
      <c r="H9" s="16">
        <v>3214</v>
      </c>
      <c r="I9" s="16">
        <v>918.5</v>
      </c>
      <c r="J9" s="16">
        <v>5694</v>
      </c>
      <c r="K9" s="16">
        <v>625.6</v>
      </c>
      <c r="L9" s="16">
        <v>20025</v>
      </c>
      <c r="M9" s="16">
        <v>73760</v>
      </c>
      <c r="N9" s="16">
        <v>21825</v>
      </c>
      <c r="O9" s="16">
        <v>27150</v>
      </c>
      <c r="P9" s="16">
        <v>15455</v>
      </c>
      <c r="Q9" s="16">
        <v>218170</v>
      </c>
      <c r="R9" s="16">
        <v>340770</v>
      </c>
      <c r="S9" s="16">
        <v>396.04</v>
      </c>
      <c r="T9" s="16">
        <v>5030</v>
      </c>
      <c r="U9" s="16">
        <v>5019</v>
      </c>
      <c r="V9" s="16">
        <v>5438</v>
      </c>
      <c r="W9" s="16">
        <v>5195</v>
      </c>
      <c r="X9" s="16">
        <v>3791</v>
      </c>
      <c r="Y9" s="16">
        <v>3745</v>
      </c>
      <c r="Z9" s="16">
        <v>13545</v>
      </c>
      <c r="AA9" s="16">
        <v>6890</v>
      </c>
      <c r="AB9" s="16">
        <v>3880</v>
      </c>
      <c r="AC9" s="16">
        <v>10496</v>
      </c>
      <c r="AD9" s="16">
        <v>6271</v>
      </c>
      <c r="AE9" s="16">
        <v>4978</v>
      </c>
      <c r="AF9" s="16">
        <v>10362</v>
      </c>
      <c r="AG9" s="16">
        <v>2924</v>
      </c>
      <c r="AH9" s="16">
        <v>3326</v>
      </c>
      <c r="AI9" s="16">
        <v>12675</v>
      </c>
      <c r="AJ9" s="16">
        <v>4913</v>
      </c>
      <c r="AK9" s="16">
        <v>8980</v>
      </c>
      <c r="AL9" s="16">
        <v>9166</v>
      </c>
      <c r="AM9" s="16">
        <v>8746</v>
      </c>
      <c r="AN9" s="16">
        <v>5048</v>
      </c>
      <c r="AO9" s="16">
        <v>3359</v>
      </c>
      <c r="AP9" s="16">
        <v>10038</v>
      </c>
      <c r="AQ9" s="16">
        <v>5927</v>
      </c>
      <c r="AR9" s="16">
        <v>2040</v>
      </c>
      <c r="AS9" s="16">
        <v>6040</v>
      </c>
      <c r="AT9" s="16">
        <v>7682</v>
      </c>
      <c r="AU9" s="16">
        <v>2867</v>
      </c>
      <c r="AV9" s="16">
        <v>12630</v>
      </c>
      <c r="AW9" s="16">
        <v>3745</v>
      </c>
      <c r="AX9" s="16">
        <v>9390</v>
      </c>
      <c r="AY9" s="16">
        <v>10770</v>
      </c>
      <c r="AZ9" s="16">
        <v>8810</v>
      </c>
      <c r="BA9" s="16">
        <v>8931</v>
      </c>
      <c r="BB9" s="16">
        <v>11630</v>
      </c>
      <c r="BC9" s="16">
        <v>2612</v>
      </c>
      <c r="BD9" s="16">
        <v>2944</v>
      </c>
      <c r="BE9" s="16">
        <v>2055</v>
      </c>
    </row>
    <row x14ac:dyDescent="0.25" r="10" customHeight="1" ht="18.75">
      <c r="A10" s="18">
        <v>44658</v>
      </c>
      <c r="B10" s="16">
        <v>6.3569</v>
      </c>
      <c r="C10" s="16">
        <v>7.8378</v>
      </c>
      <c r="D10" s="16">
        <v>4209.0998</v>
      </c>
      <c r="E10" s="16">
        <v>802</v>
      </c>
      <c r="F10" s="16">
        <v>21575</v>
      </c>
      <c r="G10" s="16">
        <v>4050</v>
      </c>
      <c r="H10" s="16">
        <v>3200</v>
      </c>
      <c r="I10" s="16">
        <v>900</v>
      </c>
      <c r="J10" s="16">
        <v>5821</v>
      </c>
      <c r="K10" s="16">
        <v>628.7</v>
      </c>
      <c r="L10" s="16">
        <v>20365</v>
      </c>
      <c r="M10" s="16">
        <v>73410</v>
      </c>
      <c r="N10" s="16">
        <v>21815</v>
      </c>
      <c r="O10" s="16">
        <v>27280</v>
      </c>
      <c r="P10" s="16">
        <v>15675</v>
      </c>
      <c r="Q10" s="16">
        <v>213330</v>
      </c>
      <c r="R10" s="16">
        <v>340490</v>
      </c>
      <c r="S10" s="16">
        <v>394.94</v>
      </c>
      <c r="T10" s="16">
        <v>4961</v>
      </c>
      <c r="U10" s="16">
        <v>5070</v>
      </c>
      <c r="V10" s="16">
        <v>5478</v>
      </c>
      <c r="W10" s="16">
        <v>5228</v>
      </c>
      <c r="X10" s="16">
        <v>3751</v>
      </c>
      <c r="Y10" s="16">
        <v>3818</v>
      </c>
      <c r="Z10" s="16">
        <v>13555</v>
      </c>
      <c r="AA10" s="16">
        <v>6776</v>
      </c>
      <c r="AB10" s="16">
        <v>3829</v>
      </c>
      <c r="AC10" s="16">
        <v>10322</v>
      </c>
      <c r="AD10" s="16">
        <v>6184</v>
      </c>
      <c r="AE10" s="16">
        <v>4903</v>
      </c>
      <c r="AF10" s="16">
        <v>10180</v>
      </c>
      <c r="AG10" s="16">
        <v>2951</v>
      </c>
      <c r="AH10" s="16">
        <v>3371</v>
      </c>
      <c r="AI10" s="16">
        <v>12775</v>
      </c>
      <c r="AJ10" s="16">
        <v>4893</v>
      </c>
      <c r="AK10" s="16">
        <v>9048</v>
      </c>
      <c r="AL10" s="16">
        <v>9252</v>
      </c>
      <c r="AM10" s="16">
        <v>8790</v>
      </c>
      <c r="AN10" s="16">
        <v>5064</v>
      </c>
      <c r="AO10" s="16">
        <v>3368</v>
      </c>
      <c r="AP10" s="16">
        <v>9958</v>
      </c>
      <c r="AQ10" s="16">
        <v>5863</v>
      </c>
      <c r="AR10" s="16">
        <v>2014</v>
      </c>
      <c r="AS10" s="16">
        <v>6070</v>
      </c>
      <c r="AT10" s="16">
        <v>7760</v>
      </c>
      <c r="AU10" s="16">
        <v>2936</v>
      </c>
      <c r="AV10" s="16">
        <v>12748</v>
      </c>
      <c r="AW10" s="16">
        <v>3709</v>
      </c>
      <c r="AX10" s="16">
        <v>9374</v>
      </c>
      <c r="AY10" s="16">
        <v>10430</v>
      </c>
      <c r="AZ10" s="16">
        <v>8620</v>
      </c>
      <c r="BA10" s="16">
        <v>8667</v>
      </c>
      <c r="BB10" s="16">
        <v>11040</v>
      </c>
      <c r="BC10" s="16">
        <v>2700</v>
      </c>
      <c r="BD10" s="16">
        <v>2916</v>
      </c>
      <c r="BE10" s="16">
        <v>2061</v>
      </c>
    </row>
    <row x14ac:dyDescent="0.25" r="11" customHeight="1" ht="18.75">
      <c r="A11" s="18">
        <v>44657</v>
      </c>
      <c r="B11" s="16">
        <v>6.3593</v>
      </c>
      <c r="C11" s="16">
        <v>7.8382</v>
      </c>
      <c r="D11" s="16">
        <v>4263.8411</v>
      </c>
      <c r="E11" s="16">
        <v>806.4</v>
      </c>
      <c r="F11" s="16">
        <v>21675</v>
      </c>
      <c r="G11" s="16">
        <v>4074.5</v>
      </c>
      <c r="H11" s="16">
        <v>3240.5</v>
      </c>
      <c r="I11" s="16">
        <v>926.5</v>
      </c>
      <c r="J11" s="16">
        <v>5948</v>
      </c>
      <c r="K11" s="16">
        <v>677.1</v>
      </c>
      <c r="L11" s="16">
        <v>20830</v>
      </c>
      <c r="M11" s="16">
        <v>73720</v>
      </c>
      <c r="N11" s="16">
        <v>22540</v>
      </c>
      <c r="O11" s="16">
        <v>27375</v>
      </c>
      <c r="P11" s="16">
        <v>15770</v>
      </c>
      <c r="Q11" s="16">
        <v>223300</v>
      </c>
      <c r="R11" s="16">
        <v>346020</v>
      </c>
      <c r="S11" s="16">
        <v>394.5</v>
      </c>
      <c r="T11" s="16">
        <v>4980</v>
      </c>
      <c r="U11" s="16">
        <v>5121</v>
      </c>
      <c r="V11" s="16">
        <v>5571</v>
      </c>
      <c r="W11" s="16">
        <v>5268</v>
      </c>
      <c r="X11" s="16">
        <v>3936</v>
      </c>
      <c r="Y11" s="16">
        <v>3998</v>
      </c>
      <c r="Z11" s="16">
        <v>13845</v>
      </c>
      <c r="AA11" s="16">
        <v>7014</v>
      </c>
      <c r="AB11" s="16">
        <v>3856</v>
      </c>
      <c r="AC11" s="16">
        <v>10370</v>
      </c>
      <c r="AD11" s="16">
        <v>6278</v>
      </c>
      <c r="AE11" s="16">
        <v>4930</v>
      </c>
      <c r="AF11" s="16">
        <v>11646</v>
      </c>
      <c r="AG11" s="16">
        <v>2869</v>
      </c>
      <c r="AH11" s="16">
        <v>3387</v>
      </c>
      <c r="AI11" s="16">
        <v>12745</v>
      </c>
      <c r="AJ11" s="16">
        <v>4398</v>
      </c>
      <c r="AK11" s="16">
        <v>9067</v>
      </c>
      <c r="AL11" s="16">
        <v>9282</v>
      </c>
      <c r="AM11" s="16">
        <v>8810</v>
      </c>
      <c r="AN11" s="16">
        <v>5063</v>
      </c>
      <c r="AO11" s="16">
        <v>3364</v>
      </c>
      <c r="AP11" s="16">
        <v>9958</v>
      </c>
      <c r="AQ11" s="16">
        <v>5876</v>
      </c>
      <c r="AR11" s="16">
        <v>2039</v>
      </c>
      <c r="AS11" s="16">
        <v>6168</v>
      </c>
      <c r="AT11" s="16">
        <v>7812</v>
      </c>
      <c r="AU11" s="16">
        <v>2959</v>
      </c>
      <c r="AV11" s="16">
        <v>12936</v>
      </c>
      <c r="AW11" s="16">
        <v>3660</v>
      </c>
      <c r="AX11" s="16">
        <v>9352</v>
      </c>
      <c r="AY11" s="16">
        <v>10408</v>
      </c>
      <c r="AZ11" s="16">
        <v>8870</v>
      </c>
      <c r="BA11" s="16">
        <v>8884</v>
      </c>
      <c r="BB11" s="16">
        <v>11480</v>
      </c>
      <c r="BC11" s="16">
        <v>2755</v>
      </c>
      <c r="BD11" s="16">
        <v>2941</v>
      </c>
      <c r="BE11" s="16">
        <v>2128</v>
      </c>
    </row>
    <row x14ac:dyDescent="0.25" r="12" customHeight="1" ht="18.75">
      <c r="A12" s="18">
        <v>44656</v>
      </c>
      <c r="B12" s="16">
        <v>6.3633</v>
      </c>
      <c r="C12" s="16">
        <v>7.835</v>
      </c>
      <c r="D12" s="16">
        <v>4276.158</v>
      </c>
      <c r="E12" s="16">
        <v>809.2</v>
      </c>
      <c r="F12" s="16">
        <v>21740</v>
      </c>
      <c r="G12" s="16">
        <v>3997</v>
      </c>
      <c r="H12" s="16">
        <v>3244</v>
      </c>
      <c r="I12" s="16">
        <v>926</v>
      </c>
      <c r="J12" s="16">
        <v>5876</v>
      </c>
      <c r="K12" s="16">
        <v>648.7</v>
      </c>
      <c r="L12" s="16">
        <v>20280</v>
      </c>
      <c r="M12" s="16">
        <v>73160</v>
      </c>
      <c r="N12" s="16">
        <v>22640</v>
      </c>
      <c r="O12" s="16">
        <v>26875</v>
      </c>
      <c r="P12" s="16">
        <v>15740</v>
      </c>
      <c r="Q12" s="16">
        <v>217910</v>
      </c>
      <c r="R12" s="16">
        <v>340950</v>
      </c>
      <c r="S12" s="16">
        <v>396.26</v>
      </c>
      <c r="T12" s="16">
        <v>5038</v>
      </c>
      <c r="U12" s="16">
        <v>5160</v>
      </c>
      <c r="V12" s="16">
        <v>5542</v>
      </c>
      <c r="W12" s="16">
        <v>5319</v>
      </c>
      <c r="X12" s="16">
        <v>3734</v>
      </c>
      <c r="Y12" s="16">
        <v>3835</v>
      </c>
      <c r="Z12" s="16">
        <v>13830</v>
      </c>
      <c r="AA12" s="16">
        <v>6776</v>
      </c>
      <c r="AB12" s="16">
        <v>3808</v>
      </c>
      <c r="AC12" s="16">
        <v>9904</v>
      </c>
      <c r="AD12" s="16">
        <v>6303</v>
      </c>
      <c r="AE12" s="16">
        <v>4842</v>
      </c>
      <c r="AF12" s="16">
        <v>10922</v>
      </c>
      <c r="AG12" s="16">
        <v>2834</v>
      </c>
      <c r="AH12" s="16">
        <v>3315</v>
      </c>
      <c r="AI12" s="16">
        <v>12955</v>
      </c>
      <c r="AJ12" s="16">
        <v>4306</v>
      </c>
      <c r="AK12" s="16">
        <v>9053</v>
      </c>
      <c r="AL12" s="16">
        <v>9454</v>
      </c>
      <c r="AM12" s="16">
        <v>8805</v>
      </c>
      <c r="AN12" s="16">
        <v>5074</v>
      </c>
      <c r="AO12" s="16">
        <v>3363</v>
      </c>
      <c r="AP12" s="16">
        <v>9726</v>
      </c>
      <c r="AQ12" s="16">
        <v>5792</v>
      </c>
      <c r="AR12" s="16">
        <v>2120</v>
      </c>
      <c r="AS12" s="16">
        <v>5960</v>
      </c>
      <c r="AT12" s="16">
        <v>7576</v>
      </c>
      <c r="AU12" s="16">
        <v>2889</v>
      </c>
      <c r="AV12" s="16">
        <v>12446</v>
      </c>
      <c r="AW12" s="16">
        <v>3624</v>
      </c>
      <c r="AX12" s="16">
        <v>9376</v>
      </c>
      <c r="AY12" s="16">
        <v>10286</v>
      </c>
      <c r="AZ12" s="16">
        <v>8642</v>
      </c>
      <c r="BA12" s="16">
        <v>8666</v>
      </c>
      <c r="BB12" s="16">
        <v>11590</v>
      </c>
      <c r="BC12" s="16">
        <v>2727</v>
      </c>
      <c r="BD12" s="16">
        <v>3040</v>
      </c>
      <c r="BE12" s="16">
        <v>2213</v>
      </c>
    </row>
    <row x14ac:dyDescent="0.25" r="13" customHeight="1" ht="18.75">
      <c r="A13" s="18">
        <v>44655</v>
      </c>
      <c r="B13" s="16">
        <v>6.363</v>
      </c>
      <c r="C13" s="16">
        <v>7.8348</v>
      </c>
      <c r="D13" s="16">
        <v>4276.158</v>
      </c>
      <c r="E13" s="16">
        <v>809.2</v>
      </c>
      <c r="F13" s="16">
        <v>21740</v>
      </c>
      <c r="G13" s="16">
        <v>3997</v>
      </c>
      <c r="H13" s="16">
        <v>3244</v>
      </c>
      <c r="I13" s="16">
        <v>926</v>
      </c>
      <c r="J13" s="16">
        <v>5876</v>
      </c>
      <c r="K13" s="16">
        <v>648.7</v>
      </c>
      <c r="L13" s="16">
        <v>20280</v>
      </c>
      <c r="M13" s="16">
        <v>73160</v>
      </c>
      <c r="N13" s="16">
        <v>22640</v>
      </c>
      <c r="O13" s="16">
        <v>26875</v>
      </c>
      <c r="P13" s="16">
        <v>15740</v>
      </c>
      <c r="Q13" s="16">
        <v>217910</v>
      </c>
      <c r="R13" s="16">
        <v>340950</v>
      </c>
      <c r="S13" s="16">
        <v>396.26</v>
      </c>
      <c r="T13" s="16">
        <v>5038</v>
      </c>
      <c r="U13" s="16">
        <v>5160</v>
      </c>
      <c r="V13" s="16">
        <v>5542</v>
      </c>
      <c r="W13" s="16">
        <v>5319</v>
      </c>
      <c r="X13" s="16">
        <v>3734</v>
      </c>
      <c r="Y13" s="16">
        <v>3835</v>
      </c>
      <c r="Z13" s="16">
        <v>13830</v>
      </c>
      <c r="AA13" s="16">
        <v>6776</v>
      </c>
      <c r="AB13" s="16">
        <v>3808</v>
      </c>
      <c r="AC13" s="16">
        <v>9904</v>
      </c>
      <c r="AD13" s="16">
        <v>6303</v>
      </c>
      <c r="AE13" s="16">
        <v>4842</v>
      </c>
      <c r="AF13" s="16">
        <v>10922</v>
      </c>
      <c r="AG13" s="16">
        <v>2834</v>
      </c>
      <c r="AH13" s="16">
        <v>3315</v>
      </c>
      <c r="AI13" s="16">
        <v>12955</v>
      </c>
      <c r="AJ13" s="16">
        <v>4306</v>
      </c>
      <c r="AK13" s="16">
        <v>9053</v>
      </c>
      <c r="AL13" s="16">
        <v>9454</v>
      </c>
      <c r="AM13" s="16">
        <v>8805</v>
      </c>
      <c r="AN13" s="16">
        <v>5074</v>
      </c>
      <c r="AO13" s="16">
        <v>3363</v>
      </c>
      <c r="AP13" s="16">
        <v>9726</v>
      </c>
      <c r="AQ13" s="16">
        <v>5792</v>
      </c>
      <c r="AR13" s="16">
        <v>2120</v>
      </c>
      <c r="AS13" s="16">
        <v>5960</v>
      </c>
      <c r="AT13" s="16">
        <v>7576</v>
      </c>
      <c r="AU13" s="16">
        <v>2889</v>
      </c>
      <c r="AV13" s="16">
        <v>12446</v>
      </c>
      <c r="AW13" s="16">
        <v>3624</v>
      </c>
      <c r="AX13" s="16">
        <v>9376</v>
      </c>
      <c r="AY13" s="16">
        <v>10286</v>
      </c>
      <c r="AZ13" s="16">
        <v>8642</v>
      </c>
      <c r="BA13" s="16">
        <v>8666</v>
      </c>
      <c r="BB13" s="16">
        <v>11590</v>
      </c>
      <c r="BC13" s="16">
        <v>2727</v>
      </c>
      <c r="BD13" s="16">
        <v>3040</v>
      </c>
      <c r="BE13" s="16">
        <v>2307</v>
      </c>
    </row>
    <row x14ac:dyDescent="0.25" r="14" customHeight="1" ht="18.75">
      <c r="A14" s="18">
        <v>44652</v>
      </c>
      <c r="B14" s="16">
        <v>6.3625</v>
      </c>
      <c r="C14" s="16">
        <v>7.8341</v>
      </c>
      <c r="D14" s="16">
        <v>4276.158</v>
      </c>
      <c r="E14" s="16">
        <v>809.2</v>
      </c>
      <c r="F14" s="16">
        <v>21740</v>
      </c>
      <c r="G14" s="16">
        <v>3997</v>
      </c>
      <c r="H14" s="16">
        <v>3244</v>
      </c>
      <c r="I14" s="16">
        <v>926</v>
      </c>
      <c r="J14" s="16">
        <v>5876</v>
      </c>
      <c r="K14" s="16">
        <v>648.7</v>
      </c>
      <c r="L14" s="16">
        <v>20280</v>
      </c>
      <c r="M14" s="16">
        <v>73160</v>
      </c>
      <c r="N14" s="16">
        <v>22640</v>
      </c>
      <c r="O14" s="16">
        <v>26875</v>
      </c>
      <c r="P14" s="16">
        <v>15740</v>
      </c>
      <c r="Q14" s="16">
        <v>217910</v>
      </c>
      <c r="R14" s="16">
        <v>340950</v>
      </c>
      <c r="S14" s="16">
        <v>396.26</v>
      </c>
      <c r="T14" s="16">
        <v>5038</v>
      </c>
      <c r="U14" s="16">
        <v>5160</v>
      </c>
      <c r="V14" s="16">
        <v>5542</v>
      </c>
      <c r="W14" s="16">
        <v>5319</v>
      </c>
      <c r="X14" s="16">
        <v>3734</v>
      </c>
      <c r="Y14" s="16">
        <v>3835</v>
      </c>
      <c r="Z14" s="16">
        <v>13830</v>
      </c>
      <c r="AA14" s="16">
        <v>6776</v>
      </c>
      <c r="AB14" s="16">
        <v>3808</v>
      </c>
      <c r="AC14" s="16">
        <v>9904</v>
      </c>
      <c r="AD14" s="16">
        <v>6303</v>
      </c>
      <c r="AE14" s="16">
        <v>4842</v>
      </c>
      <c r="AF14" s="16">
        <v>10922</v>
      </c>
      <c r="AG14" s="16">
        <v>2834</v>
      </c>
      <c r="AH14" s="16">
        <v>3315</v>
      </c>
      <c r="AI14" s="16">
        <v>12955</v>
      </c>
      <c r="AJ14" s="16">
        <v>4306</v>
      </c>
      <c r="AK14" s="16">
        <v>9053</v>
      </c>
      <c r="AL14" s="16">
        <v>9454</v>
      </c>
      <c r="AM14" s="16">
        <v>8805</v>
      </c>
      <c r="AN14" s="16">
        <v>5074</v>
      </c>
      <c r="AO14" s="16">
        <v>3363</v>
      </c>
      <c r="AP14" s="16">
        <v>9726</v>
      </c>
      <c r="AQ14" s="16">
        <v>5792</v>
      </c>
      <c r="AR14" s="16">
        <v>2120</v>
      </c>
      <c r="AS14" s="16">
        <v>5960</v>
      </c>
      <c r="AT14" s="16">
        <v>7576</v>
      </c>
      <c r="AU14" s="16">
        <v>2889</v>
      </c>
      <c r="AV14" s="16">
        <v>12446</v>
      </c>
      <c r="AW14" s="16">
        <v>3624</v>
      </c>
      <c r="AX14" s="16">
        <v>9376</v>
      </c>
      <c r="AY14" s="16">
        <v>10286</v>
      </c>
      <c r="AZ14" s="16">
        <v>8642</v>
      </c>
      <c r="BA14" s="16">
        <v>8666</v>
      </c>
      <c r="BB14" s="16">
        <v>11590</v>
      </c>
      <c r="BC14" s="16">
        <v>2727</v>
      </c>
      <c r="BD14" s="16">
        <v>3040</v>
      </c>
      <c r="BE14" s="16">
        <v>2357</v>
      </c>
    </row>
    <row x14ac:dyDescent="0.25" r="15" customHeight="1" ht="18.75">
      <c r="A15" s="18">
        <v>44651</v>
      </c>
      <c r="B15" s="16">
        <v>6.3398</v>
      </c>
      <c r="C15" s="16">
        <v>7.8328</v>
      </c>
      <c r="D15" s="16">
        <v>4222.5968</v>
      </c>
      <c r="E15" s="16">
        <v>805</v>
      </c>
      <c r="F15" s="16">
        <v>21755</v>
      </c>
      <c r="G15" s="16">
        <v>3935</v>
      </c>
      <c r="H15" s="16">
        <v>3186</v>
      </c>
      <c r="I15" s="16">
        <v>897</v>
      </c>
      <c r="J15" s="16">
        <v>6166</v>
      </c>
      <c r="K15" s="16">
        <v>675.1</v>
      </c>
      <c r="L15" s="16">
        <v>20185</v>
      </c>
      <c r="M15" s="16">
        <v>73320</v>
      </c>
      <c r="N15" s="16">
        <v>22730</v>
      </c>
      <c r="O15" s="16">
        <v>26785</v>
      </c>
      <c r="P15" s="16">
        <v>15815</v>
      </c>
      <c r="Q15" s="16">
        <v>217780</v>
      </c>
      <c r="R15" s="16">
        <v>344840</v>
      </c>
      <c r="S15" s="16">
        <v>394.34</v>
      </c>
      <c r="T15" s="16">
        <v>5011</v>
      </c>
      <c r="U15" s="16">
        <v>5061</v>
      </c>
      <c r="V15" s="16">
        <v>5542</v>
      </c>
      <c r="W15" s="16">
        <v>5218</v>
      </c>
      <c r="X15" s="16">
        <v>3967</v>
      </c>
      <c r="Y15" s="16">
        <v>3918</v>
      </c>
      <c r="Z15" s="16">
        <v>13705</v>
      </c>
      <c r="AA15" s="16">
        <v>6770</v>
      </c>
      <c r="AB15" s="16">
        <v>4038</v>
      </c>
      <c r="AC15" s="16">
        <v>10174</v>
      </c>
      <c r="AD15" s="16">
        <v>6320</v>
      </c>
      <c r="AE15" s="16">
        <v>5074</v>
      </c>
      <c r="AF15" s="16">
        <v>11496</v>
      </c>
      <c r="AG15" s="16">
        <v>2840</v>
      </c>
      <c r="AH15" s="16">
        <v>3326</v>
      </c>
      <c r="AI15" s="16">
        <v>13005</v>
      </c>
      <c r="AJ15" s="16">
        <v>4332</v>
      </c>
      <c r="AK15" s="16">
        <v>9169</v>
      </c>
      <c r="AL15" s="16">
        <v>9242</v>
      </c>
      <c r="AM15" s="16">
        <v>8920</v>
      </c>
      <c r="AN15" s="16">
        <v>5128</v>
      </c>
      <c r="AO15" s="16">
        <v>3393</v>
      </c>
      <c r="AP15" s="16">
        <v>9674</v>
      </c>
      <c r="AQ15" s="16">
        <v>5799</v>
      </c>
      <c r="AR15" s="16">
        <v>2111</v>
      </c>
      <c r="AS15" s="16">
        <v>6072</v>
      </c>
      <c r="AT15" s="16">
        <v>7718</v>
      </c>
      <c r="AU15" s="16">
        <v>2917</v>
      </c>
      <c r="AV15" s="16">
        <v>12605</v>
      </c>
      <c r="AW15" s="16">
        <v>3848</v>
      </c>
      <c r="AX15" s="16">
        <v>9672</v>
      </c>
      <c r="AY15" s="16">
        <v>9984</v>
      </c>
      <c r="AZ15" s="16">
        <v>8652</v>
      </c>
      <c r="BA15" s="16">
        <v>8288</v>
      </c>
      <c r="BB15" s="16">
        <v>11640</v>
      </c>
      <c r="BC15" s="16">
        <v>2784</v>
      </c>
      <c r="BD15" s="16">
        <v>3014</v>
      </c>
      <c r="BE15" s="16">
        <v>2358</v>
      </c>
    </row>
    <row x14ac:dyDescent="0.25" r="16" customHeight="1" ht="18.75">
      <c r="A16" s="18">
        <v>44650</v>
      </c>
      <c r="B16" s="16">
        <v>6.3477</v>
      </c>
      <c r="C16" s="16">
        <v>7.8271</v>
      </c>
      <c r="D16" s="16">
        <v>4254.0989</v>
      </c>
      <c r="E16" s="16">
        <v>814</v>
      </c>
      <c r="F16" s="16">
        <v>21745</v>
      </c>
      <c r="G16" s="16">
        <v>3873</v>
      </c>
      <c r="H16" s="16">
        <v>3172</v>
      </c>
      <c r="I16" s="16">
        <v>895</v>
      </c>
      <c r="J16" s="16">
        <v>6168</v>
      </c>
      <c r="K16" s="16">
        <v>690.7</v>
      </c>
      <c r="L16" s="16">
        <v>20730</v>
      </c>
      <c r="M16" s="16">
        <v>74210</v>
      </c>
      <c r="N16" s="16">
        <v>22935</v>
      </c>
      <c r="O16" s="16">
        <v>26775</v>
      </c>
      <c r="P16" s="16">
        <v>15705</v>
      </c>
      <c r="Q16" s="16">
        <v>230050</v>
      </c>
      <c r="R16" s="16">
        <v>346400</v>
      </c>
      <c r="S16" s="16">
        <v>394.74</v>
      </c>
      <c r="T16" s="16">
        <v>5061</v>
      </c>
      <c r="U16" s="16">
        <v>5034</v>
      </c>
      <c r="V16" s="16">
        <v>5540</v>
      </c>
      <c r="W16" s="16">
        <v>5264</v>
      </c>
      <c r="X16" s="16">
        <v>4044</v>
      </c>
      <c r="Y16" s="16">
        <v>3975</v>
      </c>
      <c r="Z16" s="16">
        <v>13585</v>
      </c>
      <c r="AA16" s="16">
        <v>6848</v>
      </c>
      <c r="AB16" s="16">
        <v>4105</v>
      </c>
      <c r="AC16" s="16">
        <v>10028</v>
      </c>
      <c r="AD16" s="16">
        <v>6215</v>
      </c>
      <c r="AE16" s="16">
        <v>5033</v>
      </c>
      <c r="AF16" s="16">
        <v>11520</v>
      </c>
      <c r="AG16" s="16">
        <v>2842</v>
      </c>
      <c r="AH16" s="16">
        <v>3361</v>
      </c>
      <c r="AI16" s="16">
        <v>12895</v>
      </c>
      <c r="AJ16" s="16">
        <v>4330</v>
      </c>
      <c r="AK16" s="16">
        <v>9291</v>
      </c>
      <c r="AL16" s="16">
        <v>9319</v>
      </c>
      <c r="AM16" s="16">
        <v>9079</v>
      </c>
      <c r="AN16" s="16">
        <v>5249</v>
      </c>
      <c r="AO16" s="16">
        <v>3386</v>
      </c>
      <c r="AP16" s="16">
        <v>9876</v>
      </c>
      <c r="AQ16" s="16">
        <v>5817</v>
      </c>
      <c r="AR16" s="16">
        <v>2125</v>
      </c>
      <c r="AS16" s="16">
        <v>6082</v>
      </c>
      <c r="AT16" s="16">
        <v>7704</v>
      </c>
      <c r="AU16" s="16">
        <v>3027</v>
      </c>
      <c r="AV16" s="16">
        <v>12484</v>
      </c>
      <c r="AW16" s="16">
        <v>3831</v>
      </c>
      <c r="AX16" s="16">
        <v>9672</v>
      </c>
      <c r="AY16" s="16">
        <v>9858</v>
      </c>
      <c r="AZ16" s="16">
        <v>8668</v>
      </c>
      <c r="BA16" s="16">
        <v>8214</v>
      </c>
      <c r="BB16" s="16">
        <v>11465</v>
      </c>
      <c r="BC16" s="16">
        <v>2796</v>
      </c>
      <c r="BD16" s="16">
        <v>3025</v>
      </c>
      <c r="BE16" s="16">
        <v>2369</v>
      </c>
    </row>
    <row x14ac:dyDescent="0.25" r="17" customHeight="1" ht="18.75">
      <c r="A17" s="18">
        <v>44649</v>
      </c>
      <c r="B17" s="16">
        <v>6.3607</v>
      </c>
      <c r="C17" s="16">
        <v>7.8272</v>
      </c>
      <c r="D17" s="16">
        <v>4134.1441</v>
      </c>
      <c r="E17" s="16">
        <v>840.6</v>
      </c>
      <c r="F17" s="16">
        <v>21740</v>
      </c>
      <c r="G17" s="16">
        <v>3844</v>
      </c>
      <c r="H17" s="16">
        <v>3193.5</v>
      </c>
      <c r="I17" s="16">
        <v>867.5</v>
      </c>
      <c r="J17" s="16">
        <v>6170</v>
      </c>
      <c r="K17" s="16">
        <v>677.8</v>
      </c>
      <c r="L17" s="16">
        <v>20270</v>
      </c>
      <c r="M17" s="16">
        <v>73570</v>
      </c>
      <c r="N17" s="16">
        <v>22960</v>
      </c>
      <c r="O17" s="16">
        <v>26580</v>
      </c>
      <c r="P17" s="16">
        <v>15590</v>
      </c>
      <c r="Q17" s="16">
        <v>223130</v>
      </c>
      <c r="R17" s="16">
        <v>347010</v>
      </c>
      <c r="S17" s="16">
        <v>395.54</v>
      </c>
      <c r="T17" s="16">
        <v>5118</v>
      </c>
      <c r="U17" s="16">
        <v>5012</v>
      </c>
      <c r="V17" s="16">
        <v>5524</v>
      </c>
      <c r="W17" s="16">
        <v>5255</v>
      </c>
      <c r="X17" s="16">
        <v>4030</v>
      </c>
      <c r="Y17" s="16">
        <v>3978</v>
      </c>
      <c r="Z17" s="16">
        <v>13360</v>
      </c>
      <c r="AA17" s="16">
        <v>6962</v>
      </c>
      <c r="AB17" s="16">
        <v>4187</v>
      </c>
      <c r="AC17" s="16">
        <v>10122</v>
      </c>
      <c r="AD17" s="16">
        <v>6153</v>
      </c>
      <c r="AE17" s="16">
        <v>5124</v>
      </c>
      <c r="AF17" s="16">
        <v>11666</v>
      </c>
      <c r="AG17" s="16">
        <v>2855</v>
      </c>
      <c r="AH17" s="16">
        <v>3360</v>
      </c>
      <c r="AI17" s="16">
        <v>12990</v>
      </c>
      <c r="AJ17" s="16">
        <v>4367</v>
      </c>
      <c r="AK17" s="16">
        <v>9310</v>
      </c>
      <c r="AL17" s="16">
        <v>9291</v>
      </c>
      <c r="AM17" s="16">
        <v>9149</v>
      </c>
      <c r="AN17" s="16">
        <v>5275</v>
      </c>
      <c r="AO17" s="16">
        <v>3393</v>
      </c>
      <c r="AP17" s="16">
        <v>9868</v>
      </c>
      <c r="AQ17" s="16">
        <v>5866</v>
      </c>
      <c r="AR17" s="16">
        <v>2069</v>
      </c>
      <c r="AS17" s="16">
        <v>6044</v>
      </c>
      <c r="AT17" s="16">
        <v>7692</v>
      </c>
      <c r="AU17" s="16">
        <v>3054</v>
      </c>
      <c r="AV17" s="16">
        <v>12599</v>
      </c>
      <c r="AW17" s="16">
        <v>3911</v>
      </c>
      <c r="AX17" s="16">
        <v>9704</v>
      </c>
      <c r="AY17" s="16">
        <v>9890</v>
      </c>
      <c r="AZ17" s="16">
        <v>8810</v>
      </c>
      <c r="BA17" s="16">
        <v>9900</v>
      </c>
      <c r="BB17" s="16">
        <v>11615</v>
      </c>
      <c r="BC17" s="16">
        <v>2759</v>
      </c>
      <c r="BD17" s="16">
        <v>2970</v>
      </c>
      <c r="BE17" s="16">
        <v>2417</v>
      </c>
    </row>
    <row x14ac:dyDescent="0.25" r="18" customHeight="1" ht="18.75">
      <c r="A18" s="18">
        <v>44648</v>
      </c>
      <c r="B18" s="16">
        <v>6.3722</v>
      </c>
      <c r="C18" s="16">
        <v>7.8299</v>
      </c>
      <c r="D18" s="16">
        <v>4148.4663</v>
      </c>
      <c r="E18" s="16">
        <v>847.4</v>
      </c>
      <c r="F18" s="16">
        <v>21875</v>
      </c>
      <c r="G18" s="16">
        <v>3718</v>
      </c>
      <c r="H18" s="16">
        <v>3100.5</v>
      </c>
      <c r="I18" s="16">
        <v>870</v>
      </c>
      <c r="J18" s="16">
        <v>6146</v>
      </c>
      <c r="K18" s="16">
        <v>704.9</v>
      </c>
      <c r="L18" s="16">
        <v>20245</v>
      </c>
      <c r="M18" s="16">
        <v>72940</v>
      </c>
      <c r="N18" s="16">
        <v>23030</v>
      </c>
      <c r="O18" s="16">
        <v>26315</v>
      </c>
      <c r="P18" s="16">
        <v>15480</v>
      </c>
      <c r="Q18" s="16">
        <v>224480</v>
      </c>
      <c r="R18" s="16">
        <v>342750</v>
      </c>
      <c r="S18" s="16">
        <v>397.68</v>
      </c>
      <c r="T18" s="16">
        <v>5152</v>
      </c>
      <c r="U18" s="16">
        <v>5058</v>
      </c>
      <c r="V18" s="16">
        <v>5594</v>
      </c>
      <c r="W18" s="16">
        <v>5304</v>
      </c>
      <c r="X18" s="16">
        <v>4147</v>
      </c>
      <c r="Y18" s="16">
        <v>3982</v>
      </c>
      <c r="Z18" s="16">
        <v>13410</v>
      </c>
      <c r="AA18" s="16">
        <v>7016</v>
      </c>
      <c r="AB18" s="16">
        <v>4260</v>
      </c>
      <c r="AC18" s="16">
        <v>10130</v>
      </c>
      <c r="AD18" s="16">
        <v>6158</v>
      </c>
      <c r="AE18" s="16">
        <v>5204</v>
      </c>
      <c r="AF18" s="16">
        <v>11580</v>
      </c>
      <c r="AG18" s="16">
        <v>2863</v>
      </c>
      <c r="AH18" s="16">
        <v>3388</v>
      </c>
      <c r="AI18" s="16">
        <v>12645</v>
      </c>
      <c r="AJ18" s="16">
        <v>4346</v>
      </c>
      <c r="AK18" s="16">
        <v>9219</v>
      </c>
      <c r="AL18" s="16">
        <v>9248</v>
      </c>
      <c r="AM18" s="16">
        <v>9121</v>
      </c>
      <c r="AN18" s="16">
        <v>5254</v>
      </c>
      <c r="AO18" s="16">
        <v>3398</v>
      </c>
      <c r="AP18" s="16">
        <v>9884</v>
      </c>
      <c r="AQ18" s="16">
        <v>5849</v>
      </c>
      <c r="AR18" s="16">
        <v>2056</v>
      </c>
      <c r="AS18" s="16">
        <v>6078</v>
      </c>
      <c r="AT18" s="16">
        <v>7776</v>
      </c>
      <c r="AU18" s="16">
        <v>3095</v>
      </c>
      <c r="AV18" s="16">
        <v>12726</v>
      </c>
      <c r="AW18" s="16">
        <v>4144</v>
      </c>
      <c r="AX18" s="16">
        <v>9700</v>
      </c>
      <c r="AY18" s="16">
        <v>9914</v>
      </c>
      <c r="AZ18" s="16">
        <v>8766</v>
      </c>
      <c r="BA18" s="16">
        <v>9869</v>
      </c>
      <c r="BB18" s="16">
        <v>11560</v>
      </c>
      <c r="BC18" s="16">
        <v>2781</v>
      </c>
      <c r="BD18" s="16">
        <v>2907</v>
      </c>
      <c r="BE18" s="16">
        <v>2484</v>
      </c>
    </row>
    <row x14ac:dyDescent="0.25" r="19" customHeight="1" ht="18.75">
      <c r="A19" s="18">
        <v>44645</v>
      </c>
      <c r="B19" s="16">
        <v>6.3663</v>
      </c>
      <c r="C19" s="16">
        <v>7.8284</v>
      </c>
      <c r="D19" s="16">
        <v>4174.5742</v>
      </c>
      <c r="E19" s="16">
        <v>865.6</v>
      </c>
      <c r="F19" s="16">
        <v>21790</v>
      </c>
      <c r="G19" s="16">
        <v>3733.5</v>
      </c>
      <c r="H19" s="16">
        <v>3106</v>
      </c>
      <c r="I19" s="16">
        <v>856</v>
      </c>
      <c r="J19" s="16">
        <v>6359</v>
      </c>
      <c r="K19" s="16">
        <v>722.6</v>
      </c>
      <c r="L19" s="16">
        <v>21110</v>
      </c>
      <c r="M19" s="16">
        <v>73560</v>
      </c>
      <c r="N19" s="16">
        <v>23090</v>
      </c>
      <c r="O19" s="16">
        <v>26380</v>
      </c>
      <c r="P19" s="16">
        <v>15445</v>
      </c>
      <c r="Q19" s="16">
        <v>264200</v>
      </c>
      <c r="R19" s="16">
        <v>345980</v>
      </c>
      <c r="S19" s="16">
        <v>401.7</v>
      </c>
      <c r="T19" s="16">
        <v>5237</v>
      </c>
      <c r="U19" s="16">
        <v>5013</v>
      </c>
      <c r="V19" s="16">
        <v>5580</v>
      </c>
      <c r="W19" s="16">
        <v>5282</v>
      </c>
      <c r="X19" s="16">
        <v>4261</v>
      </c>
      <c r="Y19" s="16">
        <v>4025</v>
      </c>
      <c r="Z19" s="16">
        <v>13510</v>
      </c>
      <c r="AA19" s="16">
        <v>6782</v>
      </c>
      <c r="AB19" s="16">
        <v>4347</v>
      </c>
      <c r="AC19" s="16">
        <v>10102</v>
      </c>
      <c r="AD19" s="16">
        <v>6220</v>
      </c>
      <c r="AE19" s="16">
        <v>5264</v>
      </c>
      <c r="AF19" s="16">
        <v>11578</v>
      </c>
      <c r="AG19" s="16">
        <v>2887</v>
      </c>
      <c r="AH19" s="16">
        <v>3430</v>
      </c>
      <c r="AI19" s="16">
        <v>12705</v>
      </c>
      <c r="AJ19" s="16">
        <v>4364</v>
      </c>
      <c r="AK19" s="16">
        <v>9137</v>
      </c>
      <c r="AL19" s="16">
        <v>9152</v>
      </c>
      <c r="AM19" s="16">
        <v>9042</v>
      </c>
      <c r="AN19" s="16">
        <v>5242</v>
      </c>
      <c r="AO19" s="16">
        <v>3403</v>
      </c>
      <c r="AP19" s="16">
        <v>9977</v>
      </c>
      <c r="AQ19" s="16">
        <v>5810</v>
      </c>
      <c r="AR19" s="16">
        <v>2085</v>
      </c>
      <c r="AS19" s="16">
        <v>6306</v>
      </c>
      <c r="AT19" s="16">
        <v>7942</v>
      </c>
      <c r="AU19" s="16">
        <v>3111</v>
      </c>
      <c r="AV19" s="16">
        <v>12890</v>
      </c>
      <c r="AW19" s="16">
        <v>4210</v>
      </c>
      <c r="AX19" s="16">
        <v>9618</v>
      </c>
      <c r="AY19" s="16">
        <v>9740</v>
      </c>
      <c r="AZ19" s="16">
        <v>8736</v>
      </c>
      <c r="BA19" s="16">
        <v>9996</v>
      </c>
      <c r="BB19" s="16">
        <v>11660</v>
      </c>
      <c r="BC19" s="16">
        <v>2766</v>
      </c>
      <c r="BD19" s="16">
        <v>2759</v>
      </c>
      <c r="BE19" s="16">
        <v>2544</v>
      </c>
    </row>
    <row x14ac:dyDescent="0.25" r="20" customHeight="1" ht="18.75">
      <c r="A20" s="18">
        <v>44644</v>
      </c>
      <c r="B20" s="16">
        <v>6.3678</v>
      </c>
      <c r="C20" s="16">
        <v>7.8233</v>
      </c>
      <c r="D20" s="16">
        <v>4251.3061</v>
      </c>
      <c r="E20" s="16">
        <v>870</v>
      </c>
      <c r="F20" s="16">
        <v>21600</v>
      </c>
      <c r="G20" s="16">
        <v>3617.5</v>
      </c>
      <c r="H20" s="16">
        <v>2997.5</v>
      </c>
      <c r="I20" s="16">
        <v>818</v>
      </c>
      <c r="J20" s="16">
        <v>6194</v>
      </c>
      <c r="K20" s="16">
        <v>723</v>
      </c>
      <c r="L20" s="16">
        <v>21680</v>
      </c>
      <c r="M20" s="16">
        <v>73580</v>
      </c>
      <c r="N20" s="16">
        <v>23190</v>
      </c>
      <c r="O20" s="16">
        <v>26145</v>
      </c>
      <c r="P20" s="16">
        <v>15380</v>
      </c>
      <c r="Q20" s="16">
        <v>245740</v>
      </c>
      <c r="R20" s="16">
        <v>350380</v>
      </c>
      <c r="S20" s="16">
        <v>399.02</v>
      </c>
      <c r="T20" s="16">
        <v>5127</v>
      </c>
      <c r="U20" s="16">
        <v>4945</v>
      </c>
      <c r="V20" s="16">
        <v>5586</v>
      </c>
      <c r="W20" s="16">
        <v>5173</v>
      </c>
      <c r="X20" s="16">
        <v>4215</v>
      </c>
      <c r="Y20" s="16">
        <v>3862</v>
      </c>
      <c r="Z20" s="16">
        <v>13465</v>
      </c>
      <c r="AA20" s="16">
        <v>7024</v>
      </c>
      <c r="AB20" s="16">
        <v>4388</v>
      </c>
      <c r="AC20" s="16">
        <v>10348</v>
      </c>
      <c r="AD20" s="16">
        <v>6221</v>
      </c>
      <c r="AE20" s="16">
        <v>5304</v>
      </c>
      <c r="AF20" s="16">
        <v>11394</v>
      </c>
      <c r="AG20" s="16">
        <v>2902</v>
      </c>
      <c r="AH20" s="16">
        <v>3391</v>
      </c>
      <c r="AI20" s="16">
        <v>12850</v>
      </c>
      <c r="AJ20" s="16">
        <v>4424</v>
      </c>
      <c r="AK20" s="16">
        <v>9041</v>
      </c>
      <c r="AL20" s="16">
        <v>9048</v>
      </c>
      <c r="AM20" s="16">
        <v>8949</v>
      </c>
      <c r="AN20" s="16">
        <v>5092</v>
      </c>
      <c r="AO20" s="16">
        <v>3408</v>
      </c>
      <c r="AP20" s="16">
        <v>9881</v>
      </c>
      <c r="AQ20" s="16">
        <v>5775</v>
      </c>
      <c r="AR20" s="16">
        <v>1975</v>
      </c>
      <c r="AS20" s="16">
        <v>6154</v>
      </c>
      <c r="AT20" s="16">
        <v>7772</v>
      </c>
      <c r="AU20" s="16">
        <v>3038</v>
      </c>
      <c r="AV20" s="16">
        <v>12872</v>
      </c>
      <c r="AW20" s="16">
        <v>4233</v>
      </c>
      <c r="AX20" s="16">
        <v>9666</v>
      </c>
      <c r="AY20" s="16">
        <v>9342</v>
      </c>
      <c r="AZ20" s="16">
        <v>8566</v>
      </c>
      <c r="BA20" s="16">
        <v>9830</v>
      </c>
      <c r="BB20" s="16">
        <v>11555</v>
      </c>
      <c r="BC20" s="16">
        <v>2819</v>
      </c>
      <c r="BD20" s="16">
        <v>2611</v>
      </c>
      <c r="BE20" s="16">
        <v>2567</v>
      </c>
    </row>
    <row x14ac:dyDescent="0.25" r="21" customHeight="1" ht="18.75">
      <c r="A21" s="18">
        <v>44643</v>
      </c>
      <c r="B21" s="16">
        <v>6.3725</v>
      </c>
      <c r="C21" s="16">
        <v>7.824</v>
      </c>
      <c r="D21" s="16">
        <v>4276.5174</v>
      </c>
      <c r="E21" s="16">
        <v>878.6</v>
      </c>
      <c r="F21" s="16">
        <v>21560</v>
      </c>
      <c r="G21" s="16">
        <v>3543.5</v>
      </c>
      <c r="H21" s="16">
        <v>2940</v>
      </c>
      <c r="I21" s="16">
        <v>822.5</v>
      </c>
      <c r="J21" s="16">
        <v>6163</v>
      </c>
      <c r="K21" s="16">
        <v>699</v>
      </c>
      <c r="L21" s="16">
        <v>20415</v>
      </c>
      <c r="M21" s="16">
        <v>73180</v>
      </c>
      <c r="N21" s="16">
        <v>23085</v>
      </c>
      <c r="O21" s="16">
        <v>25750</v>
      </c>
      <c r="P21" s="16">
        <v>15260</v>
      </c>
      <c r="Q21" s="16">
        <v>212000</v>
      </c>
      <c r="R21" s="16">
        <v>339430</v>
      </c>
      <c r="S21" s="16">
        <v>394.72</v>
      </c>
      <c r="T21" s="16">
        <v>5082</v>
      </c>
      <c r="U21" s="16">
        <v>4983</v>
      </c>
      <c r="V21" s="16">
        <v>5600</v>
      </c>
      <c r="W21" s="16">
        <v>5189</v>
      </c>
      <c r="X21" s="16">
        <v>4076</v>
      </c>
      <c r="Y21" s="16">
        <v>3753</v>
      </c>
      <c r="Z21" s="16">
        <v>13360</v>
      </c>
      <c r="AA21" s="16">
        <v>7124</v>
      </c>
      <c r="AB21" s="16">
        <v>4407</v>
      </c>
      <c r="AC21" s="16">
        <v>10302</v>
      </c>
      <c r="AD21" s="16">
        <v>6293</v>
      </c>
      <c r="AE21" s="16">
        <v>5318</v>
      </c>
      <c r="AF21" s="16">
        <v>11482</v>
      </c>
      <c r="AG21" s="16">
        <v>2906</v>
      </c>
      <c r="AH21" s="16">
        <v>3401</v>
      </c>
      <c r="AI21" s="16">
        <v>12805</v>
      </c>
      <c r="AJ21" s="16">
        <v>4338</v>
      </c>
      <c r="AK21" s="16">
        <v>9006</v>
      </c>
      <c r="AL21" s="16">
        <v>9012</v>
      </c>
      <c r="AM21" s="16">
        <v>8900</v>
      </c>
      <c r="AN21" s="16">
        <v>5151</v>
      </c>
      <c r="AO21" s="16">
        <v>3405</v>
      </c>
      <c r="AP21" s="16">
        <v>9768</v>
      </c>
      <c r="AQ21" s="16">
        <v>5787</v>
      </c>
      <c r="AR21" s="16">
        <v>1899</v>
      </c>
      <c r="AS21" s="16">
        <v>6142</v>
      </c>
      <c r="AT21" s="16">
        <v>7752</v>
      </c>
      <c r="AU21" s="16">
        <v>3061</v>
      </c>
      <c r="AV21" s="16">
        <v>12621</v>
      </c>
      <c r="AW21" s="16">
        <v>4281</v>
      </c>
      <c r="AX21" s="16">
        <v>8534</v>
      </c>
      <c r="AY21" s="16">
        <v>9338</v>
      </c>
      <c r="AZ21" s="16">
        <v>8546</v>
      </c>
      <c r="BA21" s="16">
        <v>9796</v>
      </c>
      <c r="BB21" s="16">
        <v>11765</v>
      </c>
      <c r="BC21" s="16">
        <v>2814</v>
      </c>
      <c r="BD21" s="16">
        <v>2559</v>
      </c>
      <c r="BE21" s="16">
        <v>2575</v>
      </c>
    </row>
    <row x14ac:dyDescent="0.25" r="22" customHeight="1" ht="18.75">
      <c r="A22" s="18">
        <v>44642</v>
      </c>
      <c r="B22" s="16">
        <v>6.3663</v>
      </c>
      <c r="C22" s="16">
        <v>7.8266</v>
      </c>
      <c r="D22" s="16">
        <v>4255.295</v>
      </c>
      <c r="E22" s="16">
        <v>855</v>
      </c>
      <c r="F22" s="16">
        <v>21610</v>
      </c>
      <c r="G22" s="16">
        <v>3508.5</v>
      </c>
      <c r="H22" s="16">
        <v>2922</v>
      </c>
      <c r="I22" s="16">
        <v>799</v>
      </c>
      <c r="J22" s="16">
        <v>6226</v>
      </c>
      <c r="K22" s="16">
        <v>713</v>
      </c>
      <c r="L22" s="16">
        <v>19810</v>
      </c>
      <c r="M22" s="16">
        <v>73120</v>
      </c>
      <c r="N22" s="16">
        <v>22950</v>
      </c>
      <c r="O22" s="16">
        <v>25510</v>
      </c>
      <c r="P22" s="16">
        <v>15265</v>
      </c>
      <c r="Q22" s="16">
        <v>206780</v>
      </c>
      <c r="R22" s="16">
        <v>337060</v>
      </c>
      <c r="S22" s="16">
        <v>397.16</v>
      </c>
      <c r="T22" s="16">
        <v>5168</v>
      </c>
      <c r="U22" s="16">
        <v>4918</v>
      </c>
      <c r="V22" s="16">
        <v>5585</v>
      </c>
      <c r="W22" s="16">
        <v>5163</v>
      </c>
      <c r="X22" s="16">
        <v>4059</v>
      </c>
      <c r="Y22" s="16">
        <v>3771</v>
      </c>
      <c r="Z22" s="16">
        <v>13410</v>
      </c>
      <c r="AA22" s="16">
        <v>6988</v>
      </c>
      <c r="AB22" s="16">
        <v>4395</v>
      </c>
      <c r="AC22" s="16">
        <v>10408</v>
      </c>
      <c r="AD22" s="16">
        <v>6320</v>
      </c>
      <c r="AE22" s="16">
        <v>5334</v>
      </c>
      <c r="AF22" s="16">
        <v>11264</v>
      </c>
      <c r="AG22" s="16">
        <v>2896</v>
      </c>
      <c r="AH22" s="16">
        <v>3396</v>
      </c>
      <c r="AI22" s="16">
        <v>12935</v>
      </c>
      <c r="AJ22" s="16">
        <v>4292</v>
      </c>
      <c r="AK22" s="16">
        <v>8950</v>
      </c>
      <c r="AL22" s="16">
        <v>9045</v>
      </c>
      <c r="AM22" s="16">
        <v>8848</v>
      </c>
      <c r="AN22" s="16">
        <v>5168</v>
      </c>
      <c r="AO22" s="16">
        <v>3408</v>
      </c>
      <c r="AP22" s="16">
        <v>9649</v>
      </c>
      <c r="AQ22" s="16">
        <v>5819</v>
      </c>
      <c r="AR22" s="16">
        <v>1861</v>
      </c>
      <c r="AS22" s="16">
        <v>6132</v>
      </c>
      <c r="AT22" s="16">
        <v>7806</v>
      </c>
      <c r="AU22" s="16">
        <v>3085</v>
      </c>
      <c r="AV22" s="16">
        <v>12619</v>
      </c>
      <c r="AW22" s="16">
        <v>4285</v>
      </c>
      <c r="AX22" s="16">
        <v>8528</v>
      </c>
      <c r="AY22" s="16">
        <v>9354</v>
      </c>
      <c r="AZ22" s="16">
        <v>8656</v>
      </c>
      <c r="BA22" s="16">
        <v>9512</v>
      </c>
      <c r="BB22" s="16">
        <v>11905</v>
      </c>
      <c r="BC22" s="16">
        <v>2880</v>
      </c>
      <c r="BD22" s="16">
        <v>2481</v>
      </c>
      <c r="BE22" s="16">
        <v>2546</v>
      </c>
    </row>
    <row x14ac:dyDescent="0.25" r="23" customHeight="1" ht="18.75">
      <c r="A23" s="18">
        <v>44641</v>
      </c>
      <c r="B23" s="16">
        <v>6.3524</v>
      </c>
      <c r="C23" s="16">
        <v>7.8251</v>
      </c>
      <c r="D23" s="16">
        <v>4258.7459</v>
      </c>
      <c r="E23" s="16">
        <v>834</v>
      </c>
      <c r="F23" s="16">
        <v>21550</v>
      </c>
      <c r="G23" s="16">
        <v>3603</v>
      </c>
      <c r="H23" s="16">
        <v>3019</v>
      </c>
      <c r="I23" s="16">
        <v>832.5</v>
      </c>
      <c r="J23" s="16">
        <v>6233</v>
      </c>
      <c r="K23" s="16">
        <v>676.1</v>
      </c>
      <c r="L23" s="16">
        <v>19780</v>
      </c>
      <c r="M23" s="16">
        <v>72880</v>
      </c>
      <c r="N23" s="16">
        <v>23105</v>
      </c>
      <c r="O23" s="16">
        <v>25560</v>
      </c>
      <c r="P23" s="16">
        <v>15200</v>
      </c>
      <c r="Q23" s="16">
        <v>205670</v>
      </c>
      <c r="R23" s="16">
        <v>337000</v>
      </c>
      <c r="S23" s="16">
        <v>394.76</v>
      </c>
      <c r="T23" s="16">
        <v>5081</v>
      </c>
      <c r="U23" s="16">
        <v>4923</v>
      </c>
      <c r="V23" s="16">
        <v>5581</v>
      </c>
      <c r="W23" s="16">
        <v>5132</v>
      </c>
      <c r="X23" s="16">
        <v>3818</v>
      </c>
      <c r="Y23" s="16">
        <v>3656</v>
      </c>
      <c r="Z23" s="16">
        <v>13495</v>
      </c>
      <c r="AA23" s="16">
        <v>6734</v>
      </c>
      <c r="AB23" s="16">
        <v>4277</v>
      </c>
      <c r="AC23" s="16">
        <v>10290</v>
      </c>
      <c r="AD23" s="16">
        <v>6255</v>
      </c>
      <c r="AE23" s="16">
        <v>5210</v>
      </c>
      <c r="AF23" s="16">
        <v>10900</v>
      </c>
      <c r="AG23" s="16">
        <v>2885</v>
      </c>
      <c r="AH23" s="16">
        <v>3355</v>
      </c>
      <c r="AI23" s="16">
        <v>13115</v>
      </c>
      <c r="AJ23" s="16">
        <v>4264</v>
      </c>
      <c r="AK23" s="16">
        <v>8972</v>
      </c>
      <c r="AL23" s="16">
        <v>8911</v>
      </c>
      <c r="AM23" s="16">
        <v>8858</v>
      </c>
      <c r="AN23" s="16">
        <v>5217</v>
      </c>
      <c r="AO23" s="16">
        <v>3404</v>
      </c>
      <c r="AP23" s="16">
        <v>9582</v>
      </c>
      <c r="AQ23" s="16">
        <v>5809</v>
      </c>
      <c r="AR23" s="16">
        <v>1857</v>
      </c>
      <c r="AS23" s="16">
        <v>6004</v>
      </c>
      <c r="AT23" s="16">
        <v>7742</v>
      </c>
      <c r="AU23" s="16">
        <v>3063</v>
      </c>
      <c r="AV23" s="16">
        <v>12672</v>
      </c>
      <c r="AW23" s="16">
        <v>4134</v>
      </c>
      <c r="AX23" s="16">
        <v>8594</v>
      </c>
      <c r="AY23" s="16">
        <v>9170</v>
      </c>
      <c r="AZ23" s="16">
        <v>8722</v>
      </c>
      <c r="BA23" s="16">
        <v>9298</v>
      </c>
      <c r="BB23" s="16">
        <v>12230</v>
      </c>
      <c r="BC23" s="16">
        <v>2923</v>
      </c>
      <c r="BD23" s="16">
        <v>2451</v>
      </c>
      <c r="BE23" s="16">
        <v>2589</v>
      </c>
    </row>
    <row x14ac:dyDescent="0.25" r="24" customHeight="1" ht="18.75">
      <c r="A24" s="18">
        <v>44638</v>
      </c>
      <c r="B24" s="16">
        <v>6.3614</v>
      </c>
      <c r="C24" s="16">
        <v>7.8241</v>
      </c>
      <c r="D24" s="16">
        <v>4265.9017</v>
      </c>
      <c r="E24" s="16">
        <v>829</v>
      </c>
      <c r="F24" s="16">
        <v>21490</v>
      </c>
      <c r="G24" s="16">
        <v>3691</v>
      </c>
      <c r="H24" s="16">
        <v>3051</v>
      </c>
      <c r="I24" s="16">
        <v>833.5</v>
      </c>
      <c r="J24" s="16">
        <v>6189</v>
      </c>
      <c r="K24" s="16">
        <v>676</v>
      </c>
      <c r="L24" s="16">
        <v>20035</v>
      </c>
      <c r="M24" s="16">
        <v>72830</v>
      </c>
      <c r="N24" s="16">
        <v>22830</v>
      </c>
      <c r="O24" s="16">
        <v>25535</v>
      </c>
      <c r="P24" s="16">
        <v>15265</v>
      </c>
      <c r="Q24" s="16">
        <v>219620</v>
      </c>
      <c r="R24" s="16">
        <v>339900</v>
      </c>
      <c r="S24" s="16">
        <v>395.9</v>
      </c>
      <c r="T24" s="16">
        <v>5123</v>
      </c>
      <c r="U24" s="16">
        <v>4953</v>
      </c>
      <c r="V24" s="16">
        <v>5623</v>
      </c>
      <c r="W24" s="16">
        <v>5129</v>
      </c>
      <c r="X24" s="16">
        <v>3831</v>
      </c>
      <c r="Y24" s="16">
        <v>3693</v>
      </c>
      <c r="Z24" s="16">
        <v>13450</v>
      </c>
      <c r="AA24" s="16">
        <v>6826</v>
      </c>
      <c r="AB24" s="16">
        <v>4269</v>
      </c>
      <c r="AC24" s="16">
        <v>10436</v>
      </c>
      <c r="AD24" s="16">
        <v>6232</v>
      </c>
      <c r="AE24" s="16">
        <v>5245</v>
      </c>
      <c r="AF24" s="16">
        <v>11058</v>
      </c>
      <c r="AG24" s="16">
        <v>2889</v>
      </c>
      <c r="AH24" s="16">
        <v>3364</v>
      </c>
      <c r="AI24" s="16">
        <v>12650</v>
      </c>
      <c r="AJ24" s="16">
        <v>4249</v>
      </c>
      <c r="AK24" s="16">
        <v>9044</v>
      </c>
      <c r="AL24" s="16">
        <v>9074</v>
      </c>
      <c r="AM24" s="16">
        <v>8870</v>
      </c>
      <c r="AN24" s="16">
        <v>5311</v>
      </c>
      <c r="AO24" s="16">
        <v>3399</v>
      </c>
      <c r="AP24" s="16">
        <v>9699</v>
      </c>
      <c r="AQ24" s="16">
        <v>5787</v>
      </c>
      <c r="AR24" s="16">
        <v>1916</v>
      </c>
      <c r="AS24" s="16">
        <v>6026</v>
      </c>
      <c r="AT24" s="16">
        <v>7742</v>
      </c>
      <c r="AU24" s="16">
        <v>3020</v>
      </c>
      <c r="AV24" s="16">
        <v>12722</v>
      </c>
      <c r="AW24" s="16">
        <v>4093</v>
      </c>
      <c r="AX24" s="16">
        <v>8532</v>
      </c>
      <c r="AY24" s="16">
        <v>9338</v>
      </c>
      <c r="AZ24" s="16">
        <v>8766</v>
      </c>
      <c r="BA24" s="16">
        <v>9238</v>
      </c>
      <c r="BB24" s="16">
        <v>12025</v>
      </c>
      <c r="BC24" s="16">
        <v>2800</v>
      </c>
      <c r="BD24" s="16">
        <v>2526</v>
      </c>
      <c r="BE24" s="16">
        <v>2605</v>
      </c>
    </row>
    <row x14ac:dyDescent="0.25" r="25" customHeight="1" ht="18.75">
      <c r="A25" s="18">
        <v>44637</v>
      </c>
      <c r="B25" s="16">
        <v>6.347</v>
      </c>
      <c r="C25" s="16">
        <v>7.8192</v>
      </c>
      <c r="D25" s="16">
        <v>4237.6956</v>
      </c>
      <c r="E25" s="16">
        <v>816.6</v>
      </c>
      <c r="F25" s="16">
        <v>21315</v>
      </c>
      <c r="G25" s="16">
        <v>3559.5</v>
      </c>
      <c r="H25" s="16">
        <v>2895</v>
      </c>
      <c r="I25" s="16">
        <v>810</v>
      </c>
      <c r="J25" s="16">
        <v>5900</v>
      </c>
      <c r="K25" s="16">
        <v>619.4</v>
      </c>
      <c r="L25" s="16">
        <v>19805</v>
      </c>
      <c r="M25" s="16">
        <v>72250</v>
      </c>
      <c r="N25" s="16">
        <v>22200</v>
      </c>
      <c r="O25" s="16">
        <v>25310</v>
      </c>
      <c r="P25" s="16">
        <v>15275</v>
      </c>
      <c r="Q25" s="16">
        <v>219440</v>
      </c>
      <c r="R25" s="16">
        <v>327890</v>
      </c>
      <c r="S25" s="16">
        <v>395.44</v>
      </c>
      <c r="T25" s="16">
        <v>5098</v>
      </c>
      <c r="U25" s="16">
        <v>4902</v>
      </c>
      <c r="V25" s="16">
        <v>5556</v>
      </c>
      <c r="W25" s="16">
        <v>5054</v>
      </c>
      <c r="X25" s="16">
        <v>3613</v>
      </c>
      <c r="Y25" s="16">
        <v>3569</v>
      </c>
      <c r="Z25" s="16">
        <v>13290</v>
      </c>
      <c r="AA25" s="16">
        <v>6770</v>
      </c>
      <c r="AB25" s="16">
        <v>4176</v>
      </c>
      <c r="AC25" s="16">
        <v>10294</v>
      </c>
      <c r="AD25" s="16">
        <v>6282</v>
      </c>
      <c r="AE25" s="16">
        <v>5266</v>
      </c>
      <c r="AF25" s="16">
        <v>10938</v>
      </c>
      <c r="AG25" s="16">
        <v>2854</v>
      </c>
      <c r="AH25" s="16">
        <v>3326</v>
      </c>
      <c r="AI25" s="16">
        <v>12630</v>
      </c>
      <c r="AJ25" s="16">
        <v>4233</v>
      </c>
      <c r="AK25" s="16">
        <v>8891</v>
      </c>
      <c r="AL25" s="16">
        <v>9042</v>
      </c>
      <c r="AM25" s="16">
        <v>8720</v>
      </c>
      <c r="AN25" s="16">
        <v>5141</v>
      </c>
      <c r="AO25" s="16">
        <v>3393</v>
      </c>
      <c r="AP25" s="16">
        <v>9526</v>
      </c>
      <c r="AQ25" s="16">
        <v>5768</v>
      </c>
      <c r="AR25" s="16">
        <v>1918</v>
      </c>
      <c r="AS25" s="16">
        <v>5700</v>
      </c>
      <c r="AT25" s="16">
        <v>7470</v>
      </c>
      <c r="AU25" s="16">
        <v>2928</v>
      </c>
      <c r="AV25" s="16">
        <v>12381</v>
      </c>
      <c r="AW25" s="16">
        <v>3982</v>
      </c>
      <c r="AX25" s="16">
        <v>8544</v>
      </c>
      <c r="AY25" s="16">
        <v>9334</v>
      </c>
      <c r="AZ25" s="16">
        <v>8800</v>
      </c>
      <c r="BA25" s="16">
        <v>9271</v>
      </c>
      <c r="BB25" s="16">
        <v>11680</v>
      </c>
      <c r="BC25" s="16">
        <v>2718</v>
      </c>
      <c r="BD25" s="16">
        <v>2457</v>
      </c>
      <c r="BE25" s="16">
        <v>2588</v>
      </c>
    </row>
    <row x14ac:dyDescent="0.25" r="26" customHeight="1" ht="18.75">
      <c r="A26" s="18">
        <v>44636</v>
      </c>
      <c r="B26" s="16">
        <v>6.3527</v>
      </c>
      <c r="C26" s="16">
        <v>7.8197</v>
      </c>
      <c r="D26" s="16">
        <v>4156.081</v>
      </c>
      <c r="E26" s="16">
        <v>815</v>
      </c>
      <c r="F26" s="16">
        <v>21345</v>
      </c>
      <c r="G26" s="16">
        <v>3548.5</v>
      </c>
      <c r="H26" s="16">
        <v>2917</v>
      </c>
      <c r="I26" s="16">
        <v>804</v>
      </c>
      <c r="J26" s="16">
        <v>5937</v>
      </c>
      <c r="K26" s="16">
        <v>632.9</v>
      </c>
      <c r="L26" s="16">
        <v>20740</v>
      </c>
      <c r="M26" s="16">
        <v>72090</v>
      </c>
      <c r="N26" s="16">
        <v>21960</v>
      </c>
      <c r="O26" s="16">
        <v>25475</v>
      </c>
      <c r="P26" s="16">
        <v>15145</v>
      </c>
      <c r="Q26" s="16">
        <v>235200</v>
      </c>
      <c r="R26" s="16">
        <v>333520</v>
      </c>
      <c r="S26" s="16">
        <v>391.04</v>
      </c>
      <c r="T26" s="16">
        <v>5016</v>
      </c>
      <c r="U26" s="16">
        <v>4904</v>
      </c>
      <c r="V26" s="16">
        <v>5520</v>
      </c>
      <c r="W26" s="16">
        <v>5080</v>
      </c>
      <c r="X26" s="16">
        <v>3692</v>
      </c>
      <c r="Y26" s="16">
        <v>3640</v>
      </c>
      <c r="Z26" s="16">
        <v>13335</v>
      </c>
      <c r="AA26" s="16">
        <v>6854</v>
      </c>
      <c r="AB26" s="16">
        <v>4194</v>
      </c>
      <c r="AC26" s="16">
        <v>10466</v>
      </c>
      <c r="AD26" s="16">
        <v>6285</v>
      </c>
      <c r="AE26" s="16">
        <v>5331</v>
      </c>
      <c r="AF26" s="16">
        <v>11418</v>
      </c>
      <c r="AG26" s="16">
        <v>2863</v>
      </c>
      <c r="AH26" s="16">
        <v>3357</v>
      </c>
      <c r="AI26" s="16">
        <v>12625</v>
      </c>
      <c r="AJ26" s="16">
        <v>4276</v>
      </c>
      <c r="AK26" s="16">
        <v>8865</v>
      </c>
      <c r="AL26" s="16">
        <v>8968</v>
      </c>
      <c r="AM26" s="16">
        <v>8752</v>
      </c>
      <c r="AN26" s="16">
        <v>5190</v>
      </c>
      <c r="AO26" s="16">
        <v>3419</v>
      </c>
      <c r="AP26" s="16">
        <v>9513</v>
      </c>
      <c r="AQ26" s="16">
        <v>5788</v>
      </c>
      <c r="AR26" s="16">
        <v>1928</v>
      </c>
      <c r="AS26" s="16">
        <v>5762</v>
      </c>
      <c r="AT26" s="16">
        <v>7528</v>
      </c>
      <c r="AU26" s="16">
        <v>2948</v>
      </c>
      <c r="AV26" s="16">
        <v>12696</v>
      </c>
      <c r="AW26" s="16">
        <v>4021</v>
      </c>
      <c r="AX26" s="16">
        <v>8560</v>
      </c>
      <c r="AY26" s="16">
        <v>9452</v>
      </c>
      <c r="AZ26" s="16">
        <v>8898</v>
      </c>
      <c r="BA26" s="16">
        <v>9232</v>
      </c>
      <c r="BB26" s="16">
        <v>11850</v>
      </c>
      <c r="BC26" s="16">
        <v>2715</v>
      </c>
      <c r="BD26" s="16">
        <v>2453</v>
      </c>
      <c r="BE26" s="16">
        <v>2591</v>
      </c>
    </row>
    <row x14ac:dyDescent="0.25" r="27" customHeight="1" ht="18.75">
      <c r="A27" s="18">
        <v>44635</v>
      </c>
      <c r="B27" s="16">
        <v>6.3706</v>
      </c>
      <c r="C27" s="16">
        <v>7.8287</v>
      </c>
      <c r="D27" s="16">
        <v>3983.812</v>
      </c>
      <c r="E27" s="16">
        <v>802</v>
      </c>
      <c r="F27" s="16">
        <v>21060</v>
      </c>
      <c r="G27" s="16">
        <v>3424.5</v>
      </c>
      <c r="H27" s="16">
        <v>2776.5</v>
      </c>
      <c r="I27" s="16">
        <v>756</v>
      </c>
      <c r="J27" s="16">
        <v>5844</v>
      </c>
      <c r="K27" s="16">
        <v>628.1</v>
      </c>
      <c r="L27" s="16">
        <v>19810</v>
      </c>
      <c r="M27" s="16">
        <v>71360</v>
      </c>
      <c r="N27" s="16">
        <v>21590</v>
      </c>
      <c r="O27" s="16">
        <v>25270</v>
      </c>
      <c r="P27" s="16">
        <v>15085</v>
      </c>
      <c r="Q27" s="16">
        <v>216490</v>
      </c>
      <c r="R27" s="16">
        <v>322840</v>
      </c>
      <c r="S27" s="16">
        <v>394.46</v>
      </c>
      <c r="T27" s="16">
        <v>4973</v>
      </c>
      <c r="U27" s="16">
        <v>4753</v>
      </c>
      <c r="V27" s="16">
        <v>5339</v>
      </c>
      <c r="W27" s="16">
        <v>4932</v>
      </c>
      <c r="X27" s="16">
        <v>3614</v>
      </c>
      <c r="Y27" s="16">
        <v>3540</v>
      </c>
      <c r="Z27" s="16">
        <v>13350</v>
      </c>
      <c r="AA27" s="16">
        <v>6712</v>
      </c>
      <c r="AB27" s="16">
        <v>4121</v>
      </c>
      <c r="AC27" s="16">
        <v>10230</v>
      </c>
      <c r="AD27" s="16">
        <v>6207</v>
      </c>
      <c r="AE27" s="16">
        <v>5211</v>
      </c>
      <c r="AF27" s="16">
        <v>11012</v>
      </c>
      <c r="AG27" s="16">
        <v>2843</v>
      </c>
      <c r="AH27" s="16">
        <v>3319</v>
      </c>
      <c r="AI27" s="16">
        <v>12810</v>
      </c>
      <c r="AJ27" s="16">
        <v>4248</v>
      </c>
      <c r="AK27" s="16">
        <v>8766</v>
      </c>
      <c r="AL27" s="16">
        <v>8758</v>
      </c>
      <c r="AM27" s="16">
        <v>8638</v>
      </c>
      <c r="AN27" s="16">
        <v>5055</v>
      </c>
      <c r="AO27" s="16">
        <v>3437</v>
      </c>
      <c r="AP27" s="16">
        <v>9564</v>
      </c>
      <c r="AQ27" s="16">
        <v>5785</v>
      </c>
      <c r="AR27" s="16">
        <v>1885</v>
      </c>
      <c r="AS27" s="16">
        <v>5700</v>
      </c>
      <c r="AT27" s="16">
        <v>7464</v>
      </c>
      <c r="AU27" s="16">
        <v>2918</v>
      </c>
      <c r="AV27" s="16">
        <v>12392</v>
      </c>
      <c r="AW27" s="16">
        <v>3910</v>
      </c>
      <c r="AX27" s="16">
        <v>8414</v>
      </c>
      <c r="AY27" s="16">
        <v>9320</v>
      </c>
      <c r="AZ27" s="16">
        <v>8660</v>
      </c>
      <c r="BA27" s="16">
        <v>9058</v>
      </c>
      <c r="BB27" s="16">
        <v>11980</v>
      </c>
      <c r="BC27" s="16">
        <v>2745</v>
      </c>
      <c r="BD27" s="16">
        <v>2449</v>
      </c>
      <c r="BE27" s="16">
        <v>2689</v>
      </c>
    </row>
    <row x14ac:dyDescent="0.25" r="28" customHeight="1" ht="18.75">
      <c r="A28" s="18">
        <v>44634</v>
      </c>
      <c r="B28" s="16">
        <v>6.3656</v>
      </c>
      <c r="C28" s="16">
        <v>7.8297</v>
      </c>
      <c r="D28" s="16">
        <v>4174.7577</v>
      </c>
      <c r="E28" s="16">
        <v>810</v>
      </c>
      <c r="F28" s="16">
        <v>21245</v>
      </c>
      <c r="G28" s="16">
        <v>3429.5</v>
      </c>
      <c r="H28" s="16">
        <v>2798.5</v>
      </c>
      <c r="I28" s="16">
        <v>759.5</v>
      </c>
      <c r="J28" s="16">
        <v>6077</v>
      </c>
      <c r="K28" s="16">
        <v>683.5</v>
      </c>
      <c r="L28" s="16">
        <v>19335</v>
      </c>
      <c r="M28" s="16">
        <v>71780</v>
      </c>
      <c r="N28" s="16">
        <v>21855</v>
      </c>
      <c r="O28" s="16">
        <v>25340</v>
      </c>
      <c r="P28" s="16">
        <v>15215</v>
      </c>
      <c r="Q28" s="16">
        <v>214050</v>
      </c>
      <c r="R28" s="16">
        <v>332280</v>
      </c>
      <c r="S28" s="16">
        <v>402.5</v>
      </c>
      <c r="T28" s="16">
        <v>5087</v>
      </c>
      <c r="U28" s="16">
        <v>4695</v>
      </c>
      <c r="V28" s="16">
        <v>5338</v>
      </c>
      <c r="W28" s="16">
        <v>4950</v>
      </c>
      <c r="X28" s="16">
        <v>3934</v>
      </c>
      <c r="Y28" s="16">
        <v>3816</v>
      </c>
      <c r="Z28" s="16">
        <v>13455</v>
      </c>
      <c r="AA28" s="16">
        <v>6908</v>
      </c>
      <c r="AB28" s="16">
        <v>4219</v>
      </c>
      <c r="AC28" s="16">
        <v>10402</v>
      </c>
      <c r="AD28" s="16">
        <v>6140</v>
      </c>
      <c r="AE28" s="16">
        <v>5350</v>
      </c>
      <c r="AF28" s="16">
        <v>11450</v>
      </c>
      <c r="AG28" s="16">
        <v>2855</v>
      </c>
      <c r="AH28" s="16">
        <v>3385</v>
      </c>
      <c r="AI28" s="16">
        <v>12840</v>
      </c>
      <c r="AJ28" s="16">
        <v>4431</v>
      </c>
      <c r="AK28" s="16">
        <v>9056</v>
      </c>
      <c r="AL28" s="16">
        <v>8976</v>
      </c>
      <c r="AM28" s="16">
        <v>8897</v>
      </c>
      <c r="AN28" s="16">
        <v>5132</v>
      </c>
      <c r="AO28" s="16">
        <v>3452</v>
      </c>
      <c r="AP28" s="16">
        <v>9673</v>
      </c>
      <c r="AQ28" s="16">
        <v>5870</v>
      </c>
      <c r="AR28" s="16">
        <v>1903</v>
      </c>
      <c r="AS28" s="16">
        <v>5910</v>
      </c>
      <c r="AT28" s="16">
        <v>7718</v>
      </c>
      <c r="AU28" s="16">
        <v>2987</v>
      </c>
      <c r="AV28" s="16">
        <v>12670</v>
      </c>
      <c r="AW28" s="16">
        <v>4038</v>
      </c>
      <c r="AX28" s="16">
        <v>8456</v>
      </c>
      <c r="AY28" s="16">
        <v>9714</v>
      </c>
      <c r="AZ28" s="16">
        <v>8836</v>
      </c>
      <c r="BA28" s="16">
        <v>9494</v>
      </c>
      <c r="BB28" s="16">
        <v>12105</v>
      </c>
      <c r="BC28" s="16">
        <v>2786</v>
      </c>
      <c r="BD28" s="16">
        <v>2450</v>
      </c>
      <c r="BE28" s="16">
        <v>2727</v>
      </c>
    </row>
    <row x14ac:dyDescent="0.25" r="29" customHeight="1" ht="18.75">
      <c r="A29" s="18">
        <v>44631</v>
      </c>
      <c r="B29" s="16">
        <v>6.3393</v>
      </c>
      <c r="C29" s="16">
        <v>7.8291</v>
      </c>
      <c r="D29" s="16">
        <v>4306.5217</v>
      </c>
      <c r="E29" s="16">
        <v>818</v>
      </c>
      <c r="F29" s="16">
        <v>21470</v>
      </c>
      <c r="G29" s="16">
        <v>3677.5</v>
      </c>
      <c r="H29" s="16">
        <v>3038</v>
      </c>
      <c r="I29" s="16">
        <v>822</v>
      </c>
      <c r="J29" s="16">
        <v>6435</v>
      </c>
      <c r="K29" s="16">
        <v>683</v>
      </c>
      <c r="L29" s="16">
        <v>19235</v>
      </c>
      <c r="M29" s="16">
        <v>72150</v>
      </c>
      <c r="N29" s="16">
        <v>22035</v>
      </c>
      <c r="O29" s="16">
        <v>25560</v>
      </c>
      <c r="P29" s="16">
        <v>15275</v>
      </c>
      <c r="Q29" s="16">
        <v>222190</v>
      </c>
      <c r="R29" s="16">
        <v>343500</v>
      </c>
      <c r="S29" s="16">
        <v>404.78</v>
      </c>
      <c r="T29" s="16">
        <v>5145</v>
      </c>
      <c r="U29" s="16">
        <v>4917</v>
      </c>
      <c r="V29" s="16">
        <v>5506</v>
      </c>
      <c r="W29" s="16">
        <v>5137</v>
      </c>
      <c r="X29" s="16">
        <v>4048</v>
      </c>
      <c r="Y29" s="16">
        <v>3978</v>
      </c>
      <c r="Z29" s="16">
        <v>13825</v>
      </c>
      <c r="AA29" s="16">
        <v>7222</v>
      </c>
      <c r="AB29" s="16">
        <v>4186</v>
      </c>
      <c r="AC29" s="16">
        <v>10590</v>
      </c>
      <c r="AD29" s="16">
        <v>6165</v>
      </c>
      <c r="AE29" s="16">
        <v>5361</v>
      </c>
      <c r="AF29" s="16">
        <v>12346</v>
      </c>
      <c r="AG29" s="16">
        <v>2860</v>
      </c>
      <c r="AH29" s="16">
        <v>3380</v>
      </c>
      <c r="AI29" s="16">
        <v>13130</v>
      </c>
      <c r="AJ29" s="16">
        <v>4455</v>
      </c>
      <c r="AK29" s="16">
        <v>9282</v>
      </c>
      <c r="AL29" s="16">
        <v>9156</v>
      </c>
      <c r="AM29" s="16">
        <v>9195</v>
      </c>
      <c r="AN29" s="16">
        <v>5408</v>
      </c>
      <c r="AO29" s="16">
        <v>3469</v>
      </c>
      <c r="AP29" s="16">
        <v>9966</v>
      </c>
      <c r="AQ29" s="16">
        <v>5859</v>
      </c>
      <c r="AR29" s="16">
        <v>2004</v>
      </c>
      <c r="AS29" s="16">
        <v>6064</v>
      </c>
      <c r="AT29" s="16">
        <v>7918</v>
      </c>
      <c r="AU29" s="16">
        <v>3130</v>
      </c>
      <c r="AV29" s="16">
        <v>12922</v>
      </c>
      <c r="AW29" s="16">
        <v>4084</v>
      </c>
      <c r="AX29" s="16">
        <v>8312</v>
      </c>
      <c r="AY29" s="16">
        <v>10016</v>
      </c>
      <c r="AZ29" s="16">
        <v>8892</v>
      </c>
      <c r="BA29" s="16">
        <v>9754</v>
      </c>
      <c r="BB29" s="16">
        <v>12220</v>
      </c>
      <c r="BC29" s="16">
        <v>2770</v>
      </c>
      <c r="BD29" s="16">
        <v>2573</v>
      </c>
      <c r="BE29" s="16">
        <v>2718</v>
      </c>
    </row>
    <row x14ac:dyDescent="0.25" r="30" customHeight="1" ht="18.75">
      <c r="A30" s="18">
        <v>44630</v>
      </c>
      <c r="B30" s="16">
        <v>6.3223</v>
      </c>
      <c r="C30" s="16">
        <v>7.8227</v>
      </c>
      <c r="D30" s="16">
        <v>4292.8374</v>
      </c>
      <c r="E30" s="16">
        <v>841</v>
      </c>
      <c r="F30" s="16">
        <v>21370</v>
      </c>
      <c r="G30" s="16">
        <v>3724.5</v>
      </c>
      <c r="H30" s="16">
        <v>3080</v>
      </c>
      <c r="I30" s="16">
        <v>807.5</v>
      </c>
      <c r="J30" s="16">
        <v>6417</v>
      </c>
      <c r="K30" s="16">
        <v>700.3</v>
      </c>
      <c r="L30" s="16">
        <v>19700</v>
      </c>
      <c r="M30" s="16">
        <v>71940</v>
      </c>
      <c r="N30" s="16">
        <v>21735</v>
      </c>
      <c r="O30" s="16">
        <v>25555</v>
      </c>
      <c r="P30" s="16">
        <v>15185</v>
      </c>
      <c r="Q30" s="16">
        <v>267700</v>
      </c>
      <c r="R30" s="16">
        <v>337500</v>
      </c>
      <c r="S30" s="16">
        <v>404</v>
      </c>
      <c r="T30" s="16">
        <v>5109</v>
      </c>
      <c r="U30" s="16">
        <v>4896</v>
      </c>
      <c r="V30" s="16">
        <v>5496</v>
      </c>
      <c r="W30" s="16">
        <v>5107</v>
      </c>
      <c r="X30" s="16">
        <v>3886</v>
      </c>
      <c r="Y30" s="16">
        <v>4014</v>
      </c>
      <c r="Z30" s="16">
        <v>14045</v>
      </c>
      <c r="AA30" s="16">
        <v>7272</v>
      </c>
      <c r="AB30" s="16">
        <v>4130</v>
      </c>
      <c r="AC30" s="16">
        <v>10694</v>
      </c>
      <c r="AD30" s="16">
        <v>6165</v>
      </c>
      <c r="AE30" s="16">
        <v>5330</v>
      </c>
      <c r="AF30" s="16">
        <v>12254</v>
      </c>
      <c r="AG30" s="16">
        <v>2842</v>
      </c>
      <c r="AH30" s="16">
        <v>3307</v>
      </c>
      <c r="AI30" s="16">
        <v>13320</v>
      </c>
      <c r="AJ30" s="16">
        <v>4365</v>
      </c>
      <c r="AK30" s="16">
        <v>9364</v>
      </c>
      <c r="AL30" s="16">
        <v>9100</v>
      </c>
      <c r="AM30" s="16">
        <v>9277</v>
      </c>
      <c r="AN30" s="16">
        <v>5457</v>
      </c>
      <c r="AO30" s="16">
        <v>3465</v>
      </c>
      <c r="AP30" s="16">
        <v>10071</v>
      </c>
      <c r="AQ30" s="16">
        <v>5850</v>
      </c>
      <c r="AR30" s="16">
        <v>2005</v>
      </c>
      <c r="AS30" s="16">
        <v>6024</v>
      </c>
      <c r="AT30" s="16">
        <v>7950</v>
      </c>
      <c r="AU30" s="16">
        <v>3119</v>
      </c>
      <c r="AV30" s="16">
        <v>13068</v>
      </c>
      <c r="AW30" s="16">
        <v>4069</v>
      </c>
      <c r="AX30" s="16">
        <v>8330</v>
      </c>
      <c r="AY30" s="16">
        <v>9914</v>
      </c>
      <c r="AZ30" s="16">
        <v>8870</v>
      </c>
      <c r="BA30" s="16">
        <v>10019</v>
      </c>
      <c r="BB30" s="16">
        <v>12220</v>
      </c>
      <c r="BC30" s="16">
        <v>2777</v>
      </c>
      <c r="BD30" s="16">
        <v>2642</v>
      </c>
      <c r="BE30" s="16">
        <v>2704</v>
      </c>
    </row>
    <row x14ac:dyDescent="0.25" r="31" customHeight="1" ht="18.75">
      <c r="A31" s="18">
        <v>44629</v>
      </c>
      <c r="B31" s="16">
        <v>6.3174</v>
      </c>
      <c r="C31" s="16">
        <v>7.8195</v>
      </c>
      <c r="D31" s="16">
        <v>4226.3463</v>
      </c>
      <c r="E31" s="16">
        <v>852</v>
      </c>
      <c r="F31" s="16">
        <v>21595</v>
      </c>
      <c r="G31" s="16">
        <v>3770.5</v>
      </c>
      <c r="H31" s="16">
        <v>3106</v>
      </c>
      <c r="I31" s="16">
        <v>812.5</v>
      </c>
      <c r="J31" s="16">
        <v>6905</v>
      </c>
      <c r="K31" s="16">
        <v>806.6</v>
      </c>
      <c r="L31" s="16">
        <v>21070</v>
      </c>
      <c r="M31" s="16">
        <v>72720</v>
      </c>
      <c r="N31" s="16">
        <v>21830</v>
      </c>
      <c r="O31" s="16">
        <v>26130</v>
      </c>
      <c r="P31" s="16">
        <v>15410</v>
      </c>
      <c r="Q31" s="16">
        <v>267700</v>
      </c>
      <c r="R31" s="16">
        <v>356880</v>
      </c>
      <c r="S31" s="16">
        <v>417.16</v>
      </c>
      <c r="T31" s="16">
        <v>5371</v>
      </c>
      <c r="U31" s="16">
        <v>4907</v>
      </c>
      <c r="V31" s="16">
        <v>5454</v>
      </c>
      <c r="W31" s="16">
        <v>5121</v>
      </c>
      <c r="X31" s="16">
        <v>4486</v>
      </c>
      <c r="Y31" s="16">
        <v>4408</v>
      </c>
      <c r="Z31" s="16">
        <v>14190</v>
      </c>
      <c r="AA31" s="16">
        <v>7438</v>
      </c>
      <c r="AB31" s="16">
        <v>4222</v>
      </c>
      <c r="AC31" s="16">
        <v>11118</v>
      </c>
      <c r="AD31" s="16">
        <v>6311</v>
      </c>
      <c r="AE31" s="16">
        <v>5493</v>
      </c>
      <c r="AF31" s="16">
        <v>12718</v>
      </c>
      <c r="AG31" s="16">
        <v>2888</v>
      </c>
      <c r="AH31" s="16">
        <v>3379</v>
      </c>
      <c r="AI31" s="16">
        <v>13420</v>
      </c>
      <c r="AJ31" s="16">
        <v>4379</v>
      </c>
      <c r="AK31" s="16">
        <v>9693</v>
      </c>
      <c r="AL31" s="16">
        <v>9227</v>
      </c>
      <c r="AM31" s="16">
        <v>9676</v>
      </c>
      <c r="AN31" s="16">
        <v>5790</v>
      </c>
      <c r="AO31" s="16">
        <v>3490</v>
      </c>
      <c r="AP31" s="16">
        <v>10510</v>
      </c>
      <c r="AQ31" s="16">
        <v>5899</v>
      </c>
      <c r="AR31" s="16">
        <v>1878</v>
      </c>
      <c r="AS31" s="16">
        <v>6552</v>
      </c>
      <c r="AT31" s="16">
        <v>8480</v>
      </c>
      <c r="AU31" s="16">
        <v>3290</v>
      </c>
      <c r="AV31" s="16">
        <v>13590</v>
      </c>
      <c r="AW31" s="16">
        <v>4131</v>
      </c>
      <c r="AX31" s="16">
        <v>8502</v>
      </c>
      <c r="AY31" s="16">
        <v>9912</v>
      </c>
      <c r="AZ31" s="16">
        <v>8722</v>
      </c>
      <c r="BA31" s="16">
        <v>10122</v>
      </c>
      <c r="BB31" s="16">
        <v>12155</v>
      </c>
      <c r="BC31" s="16">
        <v>2746</v>
      </c>
      <c r="BD31" s="16">
        <v>2505</v>
      </c>
      <c r="BE31" s="16">
        <v>2558</v>
      </c>
    </row>
    <row x14ac:dyDescent="0.25" r="32" customHeight="1" ht="18.75">
      <c r="A32" s="18">
        <v>44628</v>
      </c>
      <c r="B32" s="16">
        <v>6.3187</v>
      </c>
      <c r="C32" s="16">
        <v>7.8185</v>
      </c>
      <c r="D32" s="16">
        <v>4265.391</v>
      </c>
      <c r="E32" s="16">
        <v>901.4</v>
      </c>
      <c r="F32" s="16">
        <v>21440</v>
      </c>
      <c r="G32" s="16">
        <v>3734.5</v>
      </c>
      <c r="H32" s="16">
        <v>3057</v>
      </c>
      <c r="I32" s="16">
        <v>844.5</v>
      </c>
      <c r="J32" s="16">
        <v>6892</v>
      </c>
      <c r="K32" s="16">
        <v>785</v>
      </c>
      <c r="L32" s="16">
        <v>22125</v>
      </c>
      <c r="M32" s="16">
        <v>74000</v>
      </c>
      <c r="N32" s="16">
        <v>23105</v>
      </c>
      <c r="O32" s="16">
        <v>28195</v>
      </c>
      <c r="P32" s="16">
        <v>15970</v>
      </c>
      <c r="Q32" s="16">
        <v>228810</v>
      </c>
      <c r="R32" s="16">
        <v>391400</v>
      </c>
      <c r="S32" s="16">
        <v>412.2</v>
      </c>
      <c r="T32" s="16">
        <v>5317</v>
      </c>
      <c r="U32" s="16">
        <v>4956</v>
      </c>
      <c r="V32" s="16">
        <v>5555</v>
      </c>
      <c r="W32" s="16">
        <v>5220</v>
      </c>
      <c r="X32" s="16">
        <v>4375</v>
      </c>
      <c r="Y32" s="16">
        <v>4280</v>
      </c>
      <c r="Z32" s="16">
        <v>13640</v>
      </c>
      <c r="AA32" s="16">
        <v>7224</v>
      </c>
      <c r="AB32" s="16">
        <v>4153</v>
      </c>
      <c r="AC32" s="16">
        <v>10834</v>
      </c>
      <c r="AD32" s="16">
        <v>6180</v>
      </c>
      <c r="AE32" s="16">
        <v>5367</v>
      </c>
      <c r="AF32" s="16">
        <v>11966</v>
      </c>
      <c r="AG32" s="16">
        <v>2893</v>
      </c>
      <c r="AH32" s="16">
        <v>3401</v>
      </c>
      <c r="AI32" s="16">
        <v>13290</v>
      </c>
      <c r="AJ32" s="16">
        <v>4400</v>
      </c>
      <c r="AK32" s="16">
        <v>9399</v>
      </c>
      <c r="AL32" s="16">
        <v>9190</v>
      </c>
      <c r="AM32" s="16">
        <v>9374</v>
      </c>
      <c r="AN32" s="16">
        <v>5574</v>
      </c>
      <c r="AO32" s="16">
        <v>3490</v>
      </c>
      <c r="AP32" s="16">
        <v>10483</v>
      </c>
      <c r="AQ32" s="16">
        <v>5869</v>
      </c>
      <c r="AR32" s="16">
        <v>1937</v>
      </c>
      <c r="AS32" s="16">
        <v>6266</v>
      </c>
      <c r="AT32" s="16">
        <v>8164</v>
      </c>
      <c r="AU32" s="16">
        <v>3252</v>
      </c>
      <c r="AV32" s="16">
        <v>13389</v>
      </c>
      <c r="AW32" s="16">
        <v>4052</v>
      </c>
      <c r="AX32" s="16">
        <v>8422</v>
      </c>
      <c r="AY32" s="16">
        <v>10060</v>
      </c>
      <c r="AZ32" s="16">
        <v>8714</v>
      </c>
      <c r="BA32" s="16">
        <v>10630</v>
      </c>
      <c r="BB32" s="16">
        <v>12005</v>
      </c>
      <c r="BC32" s="16">
        <v>2783</v>
      </c>
      <c r="BD32" s="16">
        <v>2652</v>
      </c>
      <c r="BE32" s="16">
        <v>2352</v>
      </c>
    </row>
    <row x14ac:dyDescent="0.25" r="33" customHeight="1" ht="18.75">
      <c r="A33" s="18">
        <v>44627</v>
      </c>
      <c r="B33" s="16">
        <v>6.3173</v>
      </c>
      <c r="C33" s="16">
        <v>7.8191</v>
      </c>
      <c r="D33" s="16">
        <v>4352.7775</v>
      </c>
      <c r="E33" s="16">
        <v>919</v>
      </c>
      <c r="F33" s="16">
        <v>21225</v>
      </c>
      <c r="G33" s="16">
        <v>3847.5</v>
      </c>
      <c r="H33" s="16">
        <v>3136</v>
      </c>
      <c r="I33" s="16">
        <v>870</v>
      </c>
      <c r="J33" s="16">
        <v>6979</v>
      </c>
      <c r="K33" s="16">
        <v>761.4</v>
      </c>
      <c r="L33" s="16">
        <v>20560</v>
      </c>
      <c r="M33" s="16">
        <v>74980</v>
      </c>
      <c r="N33" s="16">
        <v>24020</v>
      </c>
      <c r="O33" s="16">
        <v>26560</v>
      </c>
      <c r="P33" s="16">
        <v>15770</v>
      </c>
      <c r="Q33" s="16">
        <v>210950</v>
      </c>
      <c r="R33" s="16">
        <v>358500</v>
      </c>
      <c r="S33" s="16">
        <v>403.3</v>
      </c>
      <c r="T33" s="16">
        <v>5159</v>
      </c>
      <c r="U33" s="16">
        <v>5094</v>
      </c>
      <c r="V33" s="16">
        <v>5685</v>
      </c>
      <c r="W33" s="16">
        <v>5380</v>
      </c>
      <c r="X33" s="16">
        <v>4093</v>
      </c>
      <c r="Y33" s="16">
        <v>3954</v>
      </c>
      <c r="Z33" s="16">
        <v>13785</v>
      </c>
      <c r="AA33" s="16">
        <v>7134</v>
      </c>
      <c r="AB33" s="16">
        <v>4089</v>
      </c>
      <c r="AC33" s="16">
        <v>10830</v>
      </c>
      <c r="AD33" s="16">
        <v>6215</v>
      </c>
      <c r="AE33" s="16">
        <v>5288</v>
      </c>
      <c r="AF33" s="16">
        <v>11912</v>
      </c>
      <c r="AG33" s="16">
        <v>2923</v>
      </c>
      <c r="AH33" s="16">
        <v>3475</v>
      </c>
      <c r="AI33" s="16">
        <v>13385</v>
      </c>
      <c r="AJ33" s="16">
        <v>4388</v>
      </c>
      <c r="AK33" s="16">
        <v>9421</v>
      </c>
      <c r="AL33" s="16">
        <v>9176</v>
      </c>
      <c r="AM33" s="16">
        <v>9414</v>
      </c>
      <c r="AN33" s="16">
        <v>5699</v>
      </c>
      <c r="AO33" s="16">
        <v>3501</v>
      </c>
      <c r="AP33" s="16">
        <v>10290</v>
      </c>
      <c r="AQ33" s="16">
        <v>5910</v>
      </c>
      <c r="AR33" s="16">
        <v>1972</v>
      </c>
      <c r="AS33" s="16">
        <v>6466</v>
      </c>
      <c r="AT33" s="16">
        <v>8324</v>
      </c>
      <c r="AU33" s="16">
        <v>3301</v>
      </c>
      <c r="AV33" s="16">
        <v>13298</v>
      </c>
      <c r="AW33" s="16">
        <v>3913</v>
      </c>
      <c r="AX33" s="16">
        <v>8630</v>
      </c>
      <c r="AY33" s="16">
        <v>9884</v>
      </c>
      <c r="AZ33" s="16">
        <v>8668</v>
      </c>
      <c r="BA33" s="16">
        <v>10229</v>
      </c>
      <c r="BB33" s="16">
        <v>12755</v>
      </c>
      <c r="BC33" s="16">
        <v>2757</v>
      </c>
      <c r="BD33" s="16">
        <v>2749</v>
      </c>
      <c r="BE33" s="16">
        <v>2148</v>
      </c>
    </row>
    <row x14ac:dyDescent="0.25" r="34" customHeight="1" ht="18.75">
      <c r="A34" s="18">
        <v>44624</v>
      </c>
      <c r="B34" s="16">
        <v>6.3193</v>
      </c>
      <c r="C34" s="16">
        <v>7.8141</v>
      </c>
      <c r="D34" s="16">
        <v>4496.4301</v>
      </c>
      <c r="E34" s="16">
        <v>852.2</v>
      </c>
      <c r="F34" s="16">
        <v>21080</v>
      </c>
      <c r="G34" s="16">
        <v>3585</v>
      </c>
      <c r="H34" s="16">
        <v>2868.5</v>
      </c>
      <c r="I34" s="16">
        <v>812.5</v>
      </c>
      <c r="J34" s="16">
        <v>6492</v>
      </c>
      <c r="K34" s="16">
        <v>693.2</v>
      </c>
      <c r="L34" s="16">
        <v>18775</v>
      </c>
      <c r="M34" s="16">
        <v>72890</v>
      </c>
      <c r="N34" s="16">
        <v>23570</v>
      </c>
      <c r="O34" s="16">
        <v>25870</v>
      </c>
      <c r="P34" s="16">
        <v>15480</v>
      </c>
      <c r="Q34" s="16">
        <v>187190</v>
      </c>
      <c r="R34" s="16">
        <v>342330</v>
      </c>
      <c r="S34" s="16">
        <v>394.64</v>
      </c>
      <c r="T34" s="16">
        <v>5062</v>
      </c>
      <c r="U34" s="16">
        <v>4901</v>
      </c>
      <c r="V34" s="16">
        <v>5506</v>
      </c>
      <c r="W34" s="16">
        <v>5210</v>
      </c>
      <c r="X34" s="16">
        <v>3778</v>
      </c>
      <c r="Y34" s="16">
        <v>3716</v>
      </c>
      <c r="Z34" s="16">
        <v>13725</v>
      </c>
      <c r="AA34" s="16">
        <v>6890</v>
      </c>
      <c r="AB34" s="16">
        <v>3902</v>
      </c>
      <c r="AC34" s="16">
        <v>10798</v>
      </c>
      <c r="AD34" s="16">
        <v>6188</v>
      </c>
      <c r="AE34" s="16">
        <v>5108</v>
      </c>
      <c r="AF34" s="16">
        <v>11720</v>
      </c>
      <c r="AG34" s="16">
        <v>2886</v>
      </c>
      <c r="AH34" s="16">
        <v>3404</v>
      </c>
      <c r="AI34" s="16">
        <v>13890</v>
      </c>
      <c r="AJ34" s="16">
        <v>4318</v>
      </c>
      <c r="AK34" s="16">
        <v>9132</v>
      </c>
      <c r="AL34" s="16">
        <v>8931</v>
      </c>
      <c r="AM34" s="16">
        <v>8945</v>
      </c>
      <c r="AN34" s="16">
        <v>5422</v>
      </c>
      <c r="AO34" s="16">
        <v>3507</v>
      </c>
      <c r="AP34" s="16">
        <v>9796</v>
      </c>
      <c r="AQ34" s="16">
        <v>5795</v>
      </c>
      <c r="AR34" s="16">
        <v>1936</v>
      </c>
      <c r="AS34" s="16">
        <v>6042</v>
      </c>
      <c r="AT34" s="16">
        <v>7914</v>
      </c>
      <c r="AU34" s="16">
        <v>3060</v>
      </c>
      <c r="AV34" s="16">
        <v>13031</v>
      </c>
      <c r="AW34" s="16">
        <v>3688</v>
      </c>
      <c r="AX34" s="16">
        <v>8696</v>
      </c>
      <c r="AY34" s="16">
        <v>9204</v>
      </c>
      <c r="AZ34" s="16">
        <v>8496</v>
      </c>
      <c r="BA34" s="16">
        <v>9878</v>
      </c>
      <c r="BB34" s="16">
        <v>13170</v>
      </c>
      <c r="BC34" s="16">
        <v>2658</v>
      </c>
      <c r="BD34" s="16">
        <v>2708</v>
      </c>
      <c r="BE34" s="16">
        <v>2148</v>
      </c>
    </row>
    <row x14ac:dyDescent="0.25" r="35" customHeight="1" ht="18.75">
      <c r="A35" s="18">
        <v>44623</v>
      </c>
      <c r="B35" s="16">
        <v>6.3202</v>
      </c>
      <c r="C35" s="16">
        <v>7.8163</v>
      </c>
      <c r="D35" s="16">
        <v>4551.6283</v>
      </c>
      <c r="E35" s="16">
        <v>846</v>
      </c>
      <c r="F35" s="16">
        <v>21200</v>
      </c>
      <c r="G35" s="16">
        <v>3571.5</v>
      </c>
      <c r="H35" s="16">
        <v>2882.5</v>
      </c>
      <c r="I35" s="16">
        <v>797.5</v>
      </c>
      <c r="J35" s="16">
        <v>6767</v>
      </c>
      <c r="K35" s="16">
        <v>719.9</v>
      </c>
      <c r="L35" s="16">
        <v>18490</v>
      </c>
      <c r="M35" s="16">
        <v>73010</v>
      </c>
      <c r="N35" s="16">
        <v>23775</v>
      </c>
      <c r="O35" s="16">
        <v>26120</v>
      </c>
      <c r="P35" s="16">
        <v>15495</v>
      </c>
      <c r="Q35" s="16">
        <v>188180</v>
      </c>
      <c r="R35" s="16">
        <v>342410</v>
      </c>
      <c r="S35" s="16">
        <v>393.2</v>
      </c>
      <c r="T35" s="16">
        <v>5094</v>
      </c>
      <c r="U35" s="16">
        <v>4880</v>
      </c>
      <c r="V35" s="16">
        <v>5488</v>
      </c>
      <c r="W35" s="16">
        <v>5249</v>
      </c>
      <c r="X35" s="16">
        <v>3811</v>
      </c>
      <c r="Y35" s="16">
        <v>3702</v>
      </c>
      <c r="Z35" s="16">
        <v>13980</v>
      </c>
      <c r="AA35" s="16">
        <v>6960</v>
      </c>
      <c r="AB35" s="16">
        <v>3895</v>
      </c>
      <c r="AC35" s="16">
        <v>11224</v>
      </c>
      <c r="AD35" s="16">
        <v>6307</v>
      </c>
      <c r="AE35" s="16">
        <v>5197</v>
      </c>
      <c r="AF35" s="16">
        <v>12630</v>
      </c>
      <c r="AG35" s="16">
        <v>2893</v>
      </c>
      <c r="AH35" s="16">
        <v>3412</v>
      </c>
      <c r="AI35" s="16">
        <v>13870</v>
      </c>
      <c r="AJ35" s="16">
        <v>4317</v>
      </c>
      <c r="AK35" s="16">
        <v>9319</v>
      </c>
      <c r="AL35" s="16">
        <v>9027</v>
      </c>
      <c r="AM35" s="16">
        <v>9162</v>
      </c>
      <c r="AN35" s="16">
        <v>5507</v>
      </c>
      <c r="AO35" s="16">
        <v>3523</v>
      </c>
      <c r="AP35" s="16">
        <v>9871</v>
      </c>
      <c r="AQ35" s="16">
        <v>5825</v>
      </c>
      <c r="AR35" s="16">
        <v>1910</v>
      </c>
      <c r="AS35" s="16">
        <v>6278</v>
      </c>
      <c r="AT35" s="16">
        <v>8174</v>
      </c>
      <c r="AU35" s="16">
        <v>3139</v>
      </c>
      <c r="AV35" s="16">
        <v>13443</v>
      </c>
      <c r="AW35" s="16">
        <v>3694</v>
      </c>
      <c r="AX35" s="16">
        <v>8554</v>
      </c>
      <c r="AY35" s="16">
        <v>9354</v>
      </c>
      <c r="AZ35" s="16">
        <v>8510</v>
      </c>
      <c r="BA35" s="16">
        <v>9898</v>
      </c>
      <c r="BB35" s="16">
        <v>13125</v>
      </c>
      <c r="BC35" s="16">
        <v>2687</v>
      </c>
      <c r="BD35" s="16">
        <v>2736</v>
      </c>
      <c r="BE35" s="16">
        <v>2104</v>
      </c>
    </row>
    <row x14ac:dyDescent="0.25" r="36" customHeight="1" ht="18.75">
      <c r="A36" s="18">
        <v>44622</v>
      </c>
      <c r="B36" s="16">
        <v>6.3215</v>
      </c>
      <c r="C36" s="16">
        <v>7.8133</v>
      </c>
      <c r="D36" s="16">
        <v>4578.6007</v>
      </c>
      <c r="E36" s="16">
        <v>857.8</v>
      </c>
      <c r="F36" s="16">
        <v>21340</v>
      </c>
      <c r="G36" s="16">
        <v>3460</v>
      </c>
      <c r="H36" s="16">
        <v>2778</v>
      </c>
      <c r="I36" s="16">
        <v>755</v>
      </c>
      <c r="J36" s="16">
        <v>6526</v>
      </c>
      <c r="K36" s="16">
        <v>663.9</v>
      </c>
      <c r="L36" s="16">
        <v>17595</v>
      </c>
      <c r="M36" s="16">
        <v>71520</v>
      </c>
      <c r="N36" s="16">
        <v>22955</v>
      </c>
      <c r="O36" s="16">
        <v>25740</v>
      </c>
      <c r="P36" s="16">
        <v>15580</v>
      </c>
      <c r="Q36" s="16">
        <v>180260</v>
      </c>
      <c r="R36" s="16">
        <v>340490</v>
      </c>
      <c r="S36" s="16">
        <v>394.5</v>
      </c>
      <c r="T36" s="16">
        <v>5065</v>
      </c>
      <c r="U36" s="16">
        <v>4860</v>
      </c>
      <c r="V36" s="16">
        <v>5296</v>
      </c>
      <c r="W36" s="16">
        <v>5138</v>
      </c>
      <c r="X36" s="16">
        <v>3627</v>
      </c>
      <c r="Y36" s="16">
        <v>3736</v>
      </c>
      <c r="Z36" s="16">
        <v>13940</v>
      </c>
      <c r="AA36" s="16">
        <v>6788</v>
      </c>
      <c r="AB36" s="16">
        <v>3903</v>
      </c>
      <c r="AC36" s="16">
        <v>11016</v>
      </c>
      <c r="AD36" s="16">
        <v>6270</v>
      </c>
      <c r="AE36" s="16">
        <v>5126</v>
      </c>
      <c r="AF36" s="16">
        <v>12340</v>
      </c>
      <c r="AG36" s="16">
        <v>2885</v>
      </c>
      <c r="AH36" s="16">
        <v>3424</v>
      </c>
      <c r="AI36" s="16">
        <v>14135</v>
      </c>
      <c r="AJ36" s="16">
        <v>4340</v>
      </c>
      <c r="AK36" s="16">
        <v>9124</v>
      </c>
      <c r="AL36" s="16">
        <v>8922</v>
      </c>
      <c r="AM36" s="16">
        <v>8910</v>
      </c>
      <c r="AN36" s="16">
        <v>5259</v>
      </c>
      <c r="AO36" s="16">
        <v>3498</v>
      </c>
      <c r="AP36" s="16">
        <v>9540</v>
      </c>
      <c r="AQ36" s="16">
        <v>5787</v>
      </c>
      <c r="AR36" s="16">
        <v>1925</v>
      </c>
      <c r="AS36" s="16">
        <v>5988</v>
      </c>
      <c r="AT36" s="16">
        <v>7868</v>
      </c>
      <c r="AU36" s="16">
        <v>3018</v>
      </c>
      <c r="AV36" s="16">
        <v>13138</v>
      </c>
      <c r="AW36" s="16">
        <v>3686</v>
      </c>
      <c r="AX36" s="16">
        <v>8366</v>
      </c>
      <c r="AY36" s="16">
        <v>9354</v>
      </c>
      <c r="AZ36" s="16">
        <v>8476</v>
      </c>
      <c r="BA36" s="16">
        <v>9783</v>
      </c>
      <c r="BB36" s="16">
        <v>13020</v>
      </c>
      <c r="BC36" s="16">
        <v>2580</v>
      </c>
      <c r="BD36" s="16">
        <v>2669</v>
      </c>
      <c r="BE36" s="16">
        <v>2137</v>
      </c>
    </row>
    <row x14ac:dyDescent="0.25" r="37" customHeight="1" ht="18.75">
      <c r="A37" s="18">
        <v>44621</v>
      </c>
      <c r="B37" s="16">
        <v>6.3119</v>
      </c>
      <c r="C37" s="16">
        <v>7.8164</v>
      </c>
      <c r="D37" s="16">
        <v>4619.6862</v>
      </c>
      <c r="E37" s="16">
        <v>815</v>
      </c>
      <c r="F37" s="16">
        <v>20905</v>
      </c>
      <c r="G37" s="16">
        <v>3420</v>
      </c>
      <c r="H37" s="16">
        <v>2724</v>
      </c>
      <c r="I37" s="16">
        <v>737.5</v>
      </c>
      <c r="J37" s="16">
        <v>6157</v>
      </c>
      <c r="K37" s="16">
        <v>622.8</v>
      </c>
      <c r="L37" s="16">
        <v>17555</v>
      </c>
      <c r="M37" s="16">
        <v>71050</v>
      </c>
      <c r="N37" s="16">
        <v>22730</v>
      </c>
      <c r="O37" s="16">
        <v>25185</v>
      </c>
      <c r="P37" s="16">
        <v>15585</v>
      </c>
      <c r="Q37" s="16">
        <v>176000</v>
      </c>
      <c r="R37" s="16">
        <v>341460</v>
      </c>
      <c r="S37" s="16">
        <v>389.14</v>
      </c>
      <c r="T37" s="16">
        <v>4981</v>
      </c>
      <c r="U37" s="16">
        <v>4837</v>
      </c>
      <c r="V37" s="16">
        <v>5201</v>
      </c>
      <c r="W37" s="16">
        <v>5079</v>
      </c>
      <c r="X37" s="16">
        <v>3436</v>
      </c>
      <c r="Y37" s="16">
        <v>3592</v>
      </c>
      <c r="Z37" s="16">
        <v>13725</v>
      </c>
      <c r="AA37" s="16">
        <v>6728</v>
      </c>
      <c r="AB37" s="16">
        <v>3911</v>
      </c>
      <c r="AC37" s="16">
        <v>10880</v>
      </c>
      <c r="AD37" s="16">
        <v>6237</v>
      </c>
      <c r="AE37" s="16">
        <v>5143</v>
      </c>
      <c r="AF37" s="16">
        <v>12022</v>
      </c>
      <c r="AG37" s="16">
        <v>2874</v>
      </c>
      <c r="AH37" s="16">
        <v>3455</v>
      </c>
      <c r="AI37" s="16">
        <v>14080</v>
      </c>
      <c r="AJ37" s="16">
        <v>4290</v>
      </c>
      <c r="AK37" s="16">
        <v>8953</v>
      </c>
      <c r="AL37" s="16">
        <v>8663</v>
      </c>
      <c r="AM37" s="16">
        <v>8721</v>
      </c>
      <c r="AN37" s="16">
        <v>5036</v>
      </c>
      <c r="AO37" s="16">
        <v>3494</v>
      </c>
      <c r="AP37" s="16">
        <v>9200</v>
      </c>
      <c r="AQ37" s="16">
        <v>5702</v>
      </c>
      <c r="AR37" s="16">
        <v>1933</v>
      </c>
      <c r="AS37" s="16">
        <v>5714</v>
      </c>
      <c r="AT37" s="16">
        <v>7590</v>
      </c>
      <c r="AU37" s="16">
        <v>2945</v>
      </c>
      <c r="AV37" s="16">
        <v>13091</v>
      </c>
      <c r="AW37" s="16">
        <v>3655</v>
      </c>
      <c r="AX37" s="16">
        <v>8358</v>
      </c>
      <c r="AY37" s="16">
        <v>9318</v>
      </c>
      <c r="AZ37" s="16">
        <v>8506</v>
      </c>
      <c r="BA37" s="16">
        <v>9699</v>
      </c>
      <c r="BB37" s="16">
        <v>13250</v>
      </c>
      <c r="BC37" s="16">
        <v>2467</v>
      </c>
      <c r="BD37" s="16">
        <v>2605</v>
      </c>
      <c r="BE37" s="16">
        <v>2069</v>
      </c>
    </row>
    <row x14ac:dyDescent="0.25" r="38" customHeight="1" ht="18.75">
      <c r="A38" s="18">
        <v>44620</v>
      </c>
      <c r="B38" s="16">
        <v>6.3089</v>
      </c>
      <c r="C38" s="16">
        <v>7.8141</v>
      </c>
      <c r="D38" s="16">
        <v>4581.6459</v>
      </c>
      <c r="E38" s="16">
        <v>771.4</v>
      </c>
      <c r="F38" s="16">
        <v>20720</v>
      </c>
      <c r="G38" s="16">
        <v>3296.5</v>
      </c>
      <c r="H38" s="16">
        <v>2614.5</v>
      </c>
      <c r="I38" s="16">
        <v>705.5</v>
      </c>
      <c r="J38" s="16">
        <v>6210</v>
      </c>
      <c r="K38" s="16">
        <v>621.2</v>
      </c>
      <c r="L38" s="16">
        <v>17515</v>
      </c>
      <c r="M38" s="16">
        <v>70990</v>
      </c>
      <c r="N38" s="16">
        <v>22855</v>
      </c>
      <c r="O38" s="16">
        <v>25045</v>
      </c>
      <c r="P38" s="16">
        <v>15550</v>
      </c>
      <c r="Q38" s="16">
        <v>177780</v>
      </c>
      <c r="R38" s="16">
        <v>337950</v>
      </c>
      <c r="S38" s="16">
        <v>389.02</v>
      </c>
      <c r="T38" s="16">
        <v>4962</v>
      </c>
      <c r="U38" s="16">
        <v>4693</v>
      </c>
      <c r="V38" s="16">
        <v>5000</v>
      </c>
      <c r="W38" s="16">
        <v>4952</v>
      </c>
      <c r="X38" s="16">
        <v>3399</v>
      </c>
      <c r="Y38" s="16">
        <v>3476</v>
      </c>
      <c r="Z38" s="16">
        <v>13870</v>
      </c>
      <c r="AA38" s="16">
        <v>6686</v>
      </c>
      <c r="AB38" s="16">
        <v>3862</v>
      </c>
      <c r="AC38" s="16">
        <v>10590</v>
      </c>
      <c r="AD38" s="16">
        <v>6035</v>
      </c>
      <c r="AE38" s="16">
        <v>5033</v>
      </c>
      <c r="AF38" s="16">
        <v>11402</v>
      </c>
      <c r="AG38" s="16">
        <v>2856</v>
      </c>
      <c r="AH38" s="16">
        <v>3391</v>
      </c>
      <c r="AI38" s="16">
        <v>14275</v>
      </c>
      <c r="AJ38" s="16">
        <v>4308</v>
      </c>
      <c r="AK38" s="16">
        <v>8835</v>
      </c>
      <c r="AL38" s="16">
        <v>8534</v>
      </c>
      <c r="AM38" s="16">
        <v>8669</v>
      </c>
      <c r="AN38" s="16">
        <v>4897</v>
      </c>
      <c r="AO38" s="16">
        <v>3485</v>
      </c>
      <c r="AP38" s="16">
        <v>9270</v>
      </c>
      <c r="AQ38" s="16">
        <v>5696</v>
      </c>
      <c r="AR38" s="16">
        <v>1897</v>
      </c>
      <c r="AS38" s="16">
        <v>5632</v>
      </c>
      <c r="AT38" s="16">
        <v>7476</v>
      </c>
      <c r="AU38" s="16">
        <v>2895</v>
      </c>
      <c r="AV38" s="16">
        <v>12760</v>
      </c>
      <c r="AW38" s="16">
        <v>3587</v>
      </c>
      <c r="AX38" s="16">
        <v>8362</v>
      </c>
      <c r="AY38" s="16">
        <v>9020</v>
      </c>
      <c r="AZ38" s="16">
        <v>8396</v>
      </c>
      <c r="BA38" s="16">
        <v>9503</v>
      </c>
      <c r="BB38" s="16">
        <v>13320</v>
      </c>
      <c r="BC38" s="16">
        <v>2464</v>
      </c>
      <c r="BD38" s="16">
        <v>2593</v>
      </c>
      <c r="BE38" s="16">
        <v>2040</v>
      </c>
    </row>
    <row x14ac:dyDescent="0.25" r="39" customHeight="1" ht="18.75">
      <c r="A39" s="18">
        <v>44617</v>
      </c>
      <c r="B39" s="16">
        <v>6.3175</v>
      </c>
      <c r="C39" s="16">
        <v>7.8083</v>
      </c>
      <c r="D39" s="16">
        <v>4573.4247</v>
      </c>
      <c r="E39" s="16">
        <v>745</v>
      </c>
      <c r="F39" s="16">
        <v>20890</v>
      </c>
      <c r="G39" s="16">
        <v>3183</v>
      </c>
      <c r="H39" s="16">
        <v>2511.5</v>
      </c>
      <c r="I39" s="16">
        <v>680.5</v>
      </c>
      <c r="J39" s="16">
        <v>6246</v>
      </c>
      <c r="K39" s="16">
        <v>612.3</v>
      </c>
      <c r="L39" s="16">
        <v>17850</v>
      </c>
      <c r="M39" s="16">
        <v>70690</v>
      </c>
      <c r="N39" s="16">
        <v>22510</v>
      </c>
      <c r="O39" s="16">
        <v>24715</v>
      </c>
      <c r="P39" s="16">
        <v>15615</v>
      </c>
      <c r="Q39" s="16">
        <v>174450</v>
      </c>
      <c r="R39" s="16">
        <v>335880</v>
      </c>
      <c r="S39" s="16">
        <v>391.42</v>
      </c>
      <c r="T39" s="16">
        <v>4987</v>
      </c>
      <c r="U39" s="16">
        <v>4617</v>
      </c>
      <c r="V39" s="16">
        <v>4928</v>
      </c>
      <c r="W39" s="16">
        <v>4796</v>
      </c>
      <c r="X39" s="16">
        <v>3394</v>
      </c>
      <c r="Y39" s="16">
        <v>3488</v>
      </c>
      <c r="Z39" s="16">
        <v>13955</v>
      </c>
      <c r="AA39" s="16">
        <v>6704</v>
      </c>
      <c r="AB39" s="16">
        <v>3918</v>
      </c>
      <c r="AC39" s="16">
        <v>10458</v>
      </c>
      <c r="AD39" s="16">
        <v>6205</v>
      </c>
      <c r="AE39" s="16">
        <v>5586</v>
      </c>
      <c r="AF39" s="16">
        <v>11360</v>
      </c>
      <c r="AG39" s="16">
        <v>2848</v>
      </c>
      <c r="AH39" s="16">
        <v>3354</v>
      </c>
      <c r="AI39" s="16">
        <v>14260</v>
      </c>
      <c r="AJ39" s="16">
        <v>4324</v>
      </c>
      <c r="AK39" s="16">
        <v>8807</v>
      </c>
      <c r="AL39" s="16">
        <v>8501</v>
      </c>
      <c r="AM39" s="16">
        <v>8540</v>
      </c>
      <c r="AN39" s="16">
        <v>5005</v>
      </c>
      <c r="AO39" s="16">
        <v>3457</v>
      </c>
      <c r="AP39" s="16">
        <v>9264</v>
      </c>
      <c r="AQ39" s="16">
        <v>5754</v>
      </c>
      <c r="AR39" s="16">
        <v>1891</v>
      </c>
      <c r="AS39" s="16">
        <v>5708</v>
      </c>
      <c r="AT39" s="16">
        <v>7612</v>
      </c>
      <c r="AU39" s="16">
        <v>2763</v>
      </c>
      <c r="AV39" s="16">
        <v>13001</v>
      </c>
      <c r="AW39" s="16">
        <v>3612</v>
      </c>
      <c r="AX39" s="16">
        <v>8130</v>
      </c>
      <c r="AY39" s="16">
        <v>8780</v>
      </c>
      <c r="AZ39" s="16">
        <v>8114</v>
      </c>
      <c r="BA39" s="16">
        <v>9333</v>
      </c>
      <c r="BB39" s="16">
        <v>13390</v>
      </c>
      <c r="BC39" s="16">
        <v>2349</v>
      </c>
      <c r="BD39" s="16">
        <v>2605</v>
      </c>
      <c r="BE39" s="16">
        <v>2076</v>
      </c>
    </row>
    <row x14ac:dyDescent="0.25" r="40" customHeight="1" ht="18.75">
      <c r="A40" s="18">
        <v>44616</v>
      </c>
      <c r="B40" s="16">
        <v>6.3288</v>
      </c>
      <c r="C40" s="16">
        <v>7.8085</v>
      </c>
      <c r="D40" s="16">
        <v>4529.3189</v>
      </c>
      <c r="E40" s="16">
        <v>811</v>
      </c>
      <c r="F40" s="16">
        <v>21450</v>
      </c>
      <c r="G40" s="16">
        <v>3391.5</v>
      </c>
      <c r="H40" s="16">
        <v>2635</v>
      </c>
      <c r="I40" s="16">
        <v>703</v>
      </c>
      <c r="J40" s="16">
        <v>6230</v>
      </c>
      <c r="K40" s="16">
        <v>620.8</v>
      </c>
      <c r="L40" s="16">
        <v>18370</v>
      </c>
      <c r="M40" s="16">
        <v>70970</v>
      </c>
      <c r="N40" s="16">
        <v>22950</v>
      </c>
      <c r="O40" s="16">
        <v>24740</v>
      </c>
      <c r="P40" s="16">
        <v>15540</v>
      </c>
      <c r="Q40" s="16">
        <v>179540</v>
      </c>
      <c r="R40" s="16">
        <v>338500</v>
      </c>
      <c r="S40" s="16">
        <v>396.04</v>
      </c>
      <c r="T40" s="16">
        <v>5119</v>
      </c>
      <c r="U40" s="16">
        <v>4637</v>
      </c>
      <c r="V40" s="16">
        <v>4956</v>
      </c>
      <c r="W40" s="16">
        <v>4804</v>
      </c>
      <c r="X40" s="16">
        <v>3479</v>
      </c>
      <c r="Y40" s="16">
        <v>3562</v>
      </c>
      <c r="Z40" s="16">
        <v>14070</v>
      </c>
      <c r="AA40" s="16">
        <v>6634</v>
      </c>
      <c r="AB40" s="16">
        <v>4062</v>
      </c>
      <c r="AC40" s="16">
        <v>10724</v>
      </c>
      <c r="AD40" s="16">
        <v>6164</v>
      </c>
      <c r="AE40" s="16">
        <v>5608</v>
      </c>
      <c r="AF40" s="16">
        <v>11596</v>
      </c>
      <c r="AG40" s="16">
        <v>2837</v>
      </c>
      <c r="AH40" s="16">
        <v>3313</v>
      </c>
      <c r="AI40" s="16">
        <v>14195</v>
      </c>
      <c r="AJ40" s="16">
        <v>4304</v>
      </c>
      <c r="AK40" s="16">
        <v>8839</v>
      </c>
      <c r="AL40" s="16">
        <v>8566</v>
      </c>
      <c r="AM40" s="16">
        <v>8503</v>
      </c>
      <c r="AN40" s="16">
        <v>5128</v>
      </c>
      <c r="AO40" s="16">
        <v>3473</v>
      </c>
      <c r="AP40" s="16">
        <v>9346</v>
      </c>
      <c r="AQ40" s="16">
        <v>5772</v>
      </c>
      <c r="AR40" s="16">
        <v>1970</v>
      </c>
      <c r="AS40" s="16">
        <v>5794</v>
      </c>
      <c r="AT40" s="16">
        <v>7688</v>
      </c>
      <c r="AU40" s="16">
        <v>2828</v>
      </c>
      <c r="AV40" s="16">
        <v>13323</v>
      </c>
      <c r="AW40" s="16">
        <v>3825</v>
      </c>
      <c r="AX40" s="16">
        <v>8286</v>
      </c>
      <c r="AY40" s="16">
        <v>9322</v>
      </c>
      <c r="AZ40" s="16">
        <v>8404</v>
      </c>
      <c r="BA40" s="16">
        <v>9441</v>
      </c>
      <c r="BB40" s="16">
        <v>13795</v>
      </c>
      <c r="BC40" s="16">
        <v>2443</v>
      </c>
      <c r="BD40" s="16">
        <v>2787</v>
      </c>
      <c r="BE40" s="16">
        <v>2187</v>
      </c>
    </row>
    <row x14ac:dyDescent="0.25" r="41" customHeight="1" ht="18.75">
      <c r="A41" s="18">
        <v>44615</v>
      </c>
      <c r="B41" s="16">
        <v>6.3139</v>
      </c>
      <c r="C41" s="16">
        <v>7.805</v>
      </c>
      <c r="D41" s="16">
        <v>4623.0465</v>
      </c>
      <c r="E41" s="16">
        <v>831</v>
      </c>
      <c r="F41" s="16">
        <v>21315</v>
      </c>
      <c r="G41" s="16">
        <v>3445</v>
      </c>
      <c r="H41" s="16">
        <v>2682</v>
      </c>
      <c r="I41" s="16">
        <v>700</v>
      </c>
      <c r="J41" s="16">
        <v>4961</v>
      </c>
      <c r="K41" s="16">
        <v>590</v>
      </c>
      <c r="L41" s="16">
        <v>18245</v>
      </c>
      <c r="M41" s="16">
        <v>71300</v>
      </c>
      <c r="N41" s="16">
        <v>22805</v>
      </c>
      <c r="O41" s="16">
        <v>25095</v>
      </c>
      <c r="P41" s="16">
        <v>15565</v>
      </c>
      <c r="Q41" s="16">
        <v>175300</v>
      </c>
      <c r="R41" s="16">
        <v>337220</v>
      </c>
      <c r="S41" s="16">
        <v>387.58</v>
      </c>
      <c r="T41" s="16">
        <v>4962</v>
      </c>
      <c r="U41" s="16">
        <v>4786</v>
      </c>
      <c r="V41" s="16">
        <v>5092</v>
      </c>
      <c r="W41" s="16">
        <v>4917</v>
      </c>
      <c r="X41" s="16">
        <v>3317</v>
      </c>
      <c r="Y41" s="16">
        <v>3642</v>
      </c>
      <c r="Z41" s="16">
        <v>14015</v>
      </c>
      <c r="AA41" s="16">
        <v>6622</v>
      </c>
      <c r="AB41" s="16">
        <v>3906</v>
      </c>
      <c r="AC41" s="16">
        <v>10296</v>
      </c>
      <c r="AD41" s="16">
        <v>6098</v>
      </c>
      <c r="AE41" s="16">
        <v>5300</v>
      </c>
      <c r="AF41" s="16">
        <v>11178</v>
      </c>
      <c r="AG41" s="16">
        <v>2805</v>
      </c>
      <c r="AH41" s="16">
        <v>3277</v>
      </c>
      <c r="AI41" s="16">
        <v>13950</v>
      </c>
      <c r="AJ41" s="16">
        <v>4268</v>
      </c>
      <c r="AK41" s="16">
        <v>8799</v>
      </c>
      <c r="AL41" s="16">
        <v>8543</v>
      </c>
      <c r="AM41" s="16">
        <v>8427</v>
      </c>
      <c r="AN41" s="16">
        <v>5024</v>
      </c>
      <c r="AO41" s="16">
        <v>3444</v>
      </c>
      <c r="AP41" s="16">
        <v>9158</v>
      </c>
      <c r="AQ41" s="16">
        <v>5748</v>
      </c>
      <c r="AR41" s="16">
        <v>2023</v>
      </c>
      <c r="AS41" s="16">
        <v>5488</v>
      </c>
      <c r="AT41" s="16">
        <v>7370</v>
      </c>
      <c r="AU41" s="16">
        <v>2825</v>
      </c>
      <c r="AV41" s="16">
        <v>12577</v>
      </c>
      <c r="AW41" s="16">
        <v>3641</v>
      </c>
      <c r="AX41" s="16">
        <v>7976</v>
      </c>
      <c r="AY41" s="16">
        <v>9372</v>
      </c>
      <c r="AZ41" s="16">
        <v>8462</v>
      </c>
      <c r="BA41" s="16">
        <v>9375</v>
      </c>
      <c r="BB41" s="16">
        <v>13750</v>
      </c>
      <c r="BC41" s="16">
        <v>2398</v>
      </c>
      <c r="BD41" s="16">
        <v>2876</v>
      </c>
      <c r="BE41" s="16">
        <v>2244</v>
      </c>
    </row>
    <row x14ac:dyDescent="0.25" r="42" customHeight="1" ht="18.75">
      <c r="A42" s="18">
        <v>44614</v>
      </c>
      <c r="B42" s="16">
        <v>6.3263</v>
      </c>
      <c r="C42" s="16">
        <v>7.8013</v>
      </c>
      <c r="D42" s="16">
        <v>4574.1527</v>
      </c>
      <c r="E42" s="16">
        <v>810</v>
      </c>
      <c r="F42" s="16">
        <v>21300</v>
      </c>
      <c r="G42" s="16">
        <v>3356.5</v>
      </c>
      <c r="H42" s="16">
        <v>2593</v>
      </c>
      <c r="I42" s="16">
        <v>684.5</v>
      </c>
      <c r="J42" s="16">
        <v>4969</v>
      </c>
      <c r="K42" s="16">
        <v>596.9</v>
      </c>
      <c r="L42" s="16">
        <v>18785</v>
      </c>
      <c r="M42" s="16">
        <v>71030</v>
      </c>
      <c r="N42" s="16">
        <v>22930</v>
      </c>
      <c r="O42" s="16">
        <v>24860</v>
      </c>
      <c r="P42" s="16">
        <v>15530</v>
      </c>
      <c r="Q42" s="16">
        <v>179620</v>
      </c>
      <c r="R42" s="16">
        <v>338870</v>
      </c>
      <c r="S42" s="16">
        <v>390.72</v>
      </c>
      <c r="T42" s="16">
        <v>4976</v>
      </c>
      <c r="U42" s="16">
        <v>4734</v>
      </c>
      <c r="V42" s="16">
        <v>5060</v>
      </c>
      <c r="W42" s="16">
        <v>4850</v>
      </c>
      <c r="X42" s="16">
        <v>3364</v>
      </c>
      <c r="Y42" s="16">
        <v>3690</v>
      </c>
      <c r="Z42" s="16">
        <v>13990</v>
      </c>
      <c r="AA42" s="16">
        <v>6542</v>
      </c>
      <c r="AB42" s="16">
        <v>3877</v>
      </c>
      <c r="AC42" s="16">
        <v>10216</v>
      </c>
      <c r="AD42" s="16">
        <v>6083</v>
      </c>
      <c r="AE42" s="16">
        <v>5272</v>
      </c>
      <c r="AF42" s="16">
        <v>10770</v>
      </c>
      <c r="AG42" s="16">
        <v>2785</v>
      </c>
      <c r="AH42" s="16">
        <v>3238</v>
      </c>
      <c r="AI42" s="16">
        <v>13835</v>
      </c>
      <c r="AJ42" s="16">
        <v>4217</v>
      </c>
      <c r="AK42" s="16">
        <v>8685</v>
      </c>
      <c r="AL42" s="16">
        <v>8510</v>
      </c>
      <c r="AM42" s="16">
        <v>8358</v>
      </c>
      <c r="AN42" s="16">
        <v>5017</v>
      </c>
      <c r="AO42" s="16">
        <v>3463</v>
      </c>
      <c r="AP42" s="16">
        <v>9119</v>
      </c>
      <c r="AQ42" s="16">
        <v>5720</v>
      </c>
      <c r="AR42" s="16">
        <v>2005</v>
      </c>
      <c r="AS42" s="16">
        <v>5552</v>
      </c>
      <c r="AT42" s="16">
        <v>7442</v>
      </c>
      <c r="AU42" s="16">
        <v>2780</v>
      </c>
      <c r="AV42" s="16">
        <v>12431</v>
      </c>
      <c r="AW42" s="16">
        <v>3592</v>
      </c>
      <c r="AX42" s="16">
        <v>7962</v>
      </c>
      <c r="AY42" s="16">
        <v>9274</v>
      </c>
      <c r="AZ42" s="16">
        <v>8382</v>
      </c>
      <c r="BA42" s="16">
        <v>9408</v>
      </c>
      <c r="BB42" s="16">
        <v>13700</v>
      </c>
      <c r="BC42" s="16">
        <v>2408</v>
      </c>
      <c r="BD42" s="16">
        <v>2854</v>
      </c>
      <c r="BE42" s="16">
        <v>2148</v>
      </c>
    </row>
    <row x14ac:dyDescent="0.25" r="43" customHeight="1" ht="18.75">
      <c r="A43" s="18">
        <v>44613</v>
      </c>
      <c r="B43" s="16">
        <v>6.3353</v>
      </c>
      <c r="C43" s="16">
        <v>7.8009</v>
      </c>
      <c r="D43" s="16">
        <v>4634.3141</v>
      </c>
      <c r="E43" s="16">
        <v>841.2</v>
      </c>
      <c r="F43" s="16">
        <v>21270</v>
      </c>
      <c r="G43" s="16">
        <v>3389</v>
      </c>
      <c r="H43" s="16">
        <v>2646.5</v>
      </c>
      <c r="I43" s="16">
        <v>707</v>
      </c>
      <c r="J43" s="16">
        <v>4808</v>
      </c>
      <c r="K43" s="16">
        <v>569.5</v>
      </c>
      <c r="L43" s="16">
        <v>18760</v>
      </c>
      <c r="M43" s="16">
        <v>71460</v>
      </c>
      <c r="N43" s="16">
        <v>22595</v>
      </c>
      <c r="O43" s="16">
        <v>24845</v>
      </c>
      <c r="P43" s="16">
        <v>15385</v>
      </c>
      <c r="Q43" s="16">
        <v>179530</v>
      </c>
      <c r="R43" s="16">
        <v>338500</v>
      </c>
      <c r="S43" s="16">
        <v>386</v>
      </c>
      <c r="T43" s="16">
        <v>4876</v>
      </c>
      <c r="U43" s="16">
        <v>4845</v>
      </c>
      <c r="V43" s="16">
        <v>5122</v>
      </c>
      <c r="W43" s="16">
        <v>4959</v>
      </c>
      <c r="X43" s="16">
        <v>3200</v>
      </c>
      <c r="Y43" s="16">
        <v>3512</v>
      </c>
      <c r="Z43" s="16">
        <v>14275</v>
      </c>
      <c r="AA43" s="16">
        <v>6502</v>
      </c>
      <c r="AB43" s="16">
        <v>3803</v>
      </c>
      <c r="AC43" s="16">
        <v>10182</v>
      </c>
      <c r="AD43" s="16">
        <v>6047</v>
      </c>
      <c r="AE43" s="16">
        <v>5116</v>
      </c>
      <c r="AF43" s="16">
        <v>10530</v>
      </c>
      <c r="AG43" s="16">
        <v>2763</v>
      </c>
      <c r="AH43" s="16">
        <v>3209</v>
      </c>
      <c r="AI43" s="16">
        <v>13950</v>
      </c>
      <c r="AJ43" s="16">
        <v>4215</v>
      </c>
      <c r="AK43" s="16">
        <v>8693</v>
      </c>
      <c r="AL43" s="16">
        <v>8587</v>
      </c>
      <c r="AM43" s="16">
        <v>8347</v>
      </c>
      <c r="AN43" s="16">
        <v>5013</v>
      </c>
      <c r="AO43" s="16">
        <v>3457</v>
      </c>
      <c r="AP43" s="16">
        <v>8991</v>
      </c>
      <c r="AQ43" s="16">
        <v>5692</v>
      </c>
      <c r="AR43" s="16">
        <v>2053</v>
      </c>
      <c r="AS43" s="16">
        <v>5380</v>
      </c>
      <c r="AT43" s="16">
        <v>7330</v>
      </c>
      <c r="AU43" s="16">
        <v>2773</v>
      </c>
      <c r="AV43" s="16">
        <v>12314</v>
      </c>
      <c r="AW43" s="16">
        <v>3502</v>
      </c>
      <c r="AX43" s="16">
        <v>8108</v>
      </c>
      <c r="AY43" s="16">
        <v>9518</v>
      </c>
      <c r="AZ43" s="16">
        <v>8442</v>
      </c>
      <c r="BA43" s="16">
        <v>9375</v>
      </c>
      <c r="BB43" s="16">
        <v>13860</v>
      </c>
      <c r="BC43" s="16">
        <v>2471</v>
      </c>
      <c r="BD43" s="16">
        <v>2912</v>
      </c>
      <c r="BE43" s="16">
        <v>2045</v>
      </c>
    </row>
    <row x14ac:dyDescent="0.25" r="44" customHeight="1" ht="18.75">
      <c r="A44" s="18">
        <v>44610</v>
      </c>
      <c r="B44" s="16">
        <v>6.3256</v>
      </c>
      <c r="C44" s="16">
        <v>7.8002</v>
      </c>
      <c r="D44" s="16">
        <v>4651.2358</v>
      </c>
      <c r="E44" s="16">
        <v>812</v>
      </c>
      <c r="F44" s="16">
        <v>21285</v>
      </c>
      <c r="G44" s="16">
        <v>3315.5</v>
      </c>
      <c r="H44" s="16">
        <v>2558</v>
      </c>
      <c r="I44" s="16">
        <v>685</v>
      </c>
      <c r="J44" s="16">
        <v>4971</v>
      </c>
      <c r="K44" s="16">
        <v>567.3</v>
      </c>
      <c r="L44" s="16">
        <v>18870</v>
      </c>
      <c r="M44" s="16">
        <v>71890</v>
      </c>
      <c r="N44" s="16">
        <v>22840</v>
      </c>
      <c r="O44" s="16">
        <v>25275</v>
      </c>
      <c r="P44" s="16">
        <v>15470</v>
      </c>
      <c r="Q44" s="16">
        <v>177890</v>
      </c>
      <c r="R44" s="16">
        <v>340010</v>
      </c>
      <c r="S44" s="16">
        <v>386.64</v>
      </c>
      <c r="T44" s="16">
        <v>4915</v>
      </c>
      <c r="U44" s="16">
        <v>4779</v>
      </c>
      <c r="V44" s="16">
        <v>5063</v>
      </c>
      <c r="W44" s="16">
        <v>4907</v>
      </c>
      <c r="X44" s="16">
        <v>3148</v>
      </c>
      <c r="Y44" s="16">
        <v>3482</v>
      </c>
      <c r="Z44" s="16">
        <v>14310</v>
      </c>
      <c r="AA44" s="16">
        <v>6522</v>
      </c>
      <c r="AB44" s="16">
        <v>3781</v>
      </c>
      <c r="AC44" s="16">
        <v>10116</v>
      </c>
      <c r="AD44" s="16">
        <v>6087</v>
      </c>
      <c r="AE44" s="16">
        <v>5084</v>
      </c>
      <c r="AF44" s="16">
        <v>10424</v>
      </c>
      <c r="AG44" s="16">
        <v>2773</v>
      </c>
      <c r="AH44" s="16">
        <v>3064</v>
      </c>
      <c r="AI44" s="16">
        <v>14190</v>
      </c>
      <c r="AJ44" s="16">
        <v>4240</v>
      </c>
      <c r="AK44" s="16">
        <v>8732</v>
      </c>
      <c r="AL44" s="16">
        <v>8650</v>
      </c>
      <c r="AM44" s="16">
        <v>8362</v>
      </c>
      <c r="AN44" s="16">
        <v>5051</v>
      </c>
      <c r="AO44" s="16">
        <v>3473</v>
      </c>
      <c r="AP44" s="16">
        <v>8900</v>
      </c>
      <c r="AQ44" s="16">
        <v>5703</v>
      </c>
      <c r="AR44" s="16">
        <v>2053</v>
      </c>
      <c r="AS44" s="16">
        <v>5388</v>
      </c>
      <c r="AT44" s="16">
        <v>7356</v>
      </c>
      <c r="AU44" s="16">
        <v>2768</v>
      </c>
      <c r="AV44" s="16">
        <v>11937</v>
      </c>
      <c r="AW44" s="16">
        <v>3505</v>
      </c>
      <c r="AX44" s="16">
        <v>7976</v>
      </c>
      <c r="AY44" s="16">
        <v>9544</v>
      </c>
      <c r="AZ44" s="16">
        <v>8314</v>
      </c>
      <c r="BA44" s="16">
        <v>9506</v>
      </c>
      <c r="BB44" s="16">
        <v>13725</v>
      </c>
      <c r="BC44" s="16">
        <v>2476</v>
      </c>
      <c r="BD44" s="16">
        <v>2803</v>
      </c>
      <c r="BE44" s="16">
        <v>1964</v>
      </c>
    </row>
    <row x14ac:dyDescent="0.25" r="45" customHeight="1" ht="18.75">
      <c r="A45" s="18">
        <v>44609</v>
      </c>
      <c r="B45" s="16">
        <v>6.3384</v>
      </c>
      <c r="C45" s="16">
        <v>7.7991</v>
      </c>
      <c r="D45" s="16">
        <v>4629.1649</v>
      </c>
      <c r="E45" s="16">
        <v>770.6</v>
      </c>
      <c r="F45" s="16">
        <v>21320</v>
      </c>
      <c r="G45" s="16">
        <v>3210</v>
      </c>
      <c r="H45" s="16">
        <v>2438.5</v>
      </c>
      <c r="I45" s="16">
        <v>684.5</v>
      </c>
      <c r="J45" s="16">
        <v>5025</v>
      </c>
      <c r="K45" s="16">
        <v>565.9</v>
      </c>
      <c r="L45" s="16">
        <v>18720</v>
      </c>
      <c r="M45" s="16">
        <v>71160</v>
      </c>
      <c r="N45" s="16">
        <v>22585</v>
      </c>
      <c r="O45" s="16">
        <v>24905</v>
      </c>
      <c r="P45" s="16">
        <v>15490</v>
      </c>
      <c r="Q45" s="16">
        <v>173010</v>
      </c>
      <c r="R45" s="16">
        <v>332890</v>
      </c>
      <c r="S45" s="16">
        <v>383.54</v>
      </c>
      <c r="T45" s="16">
        <v>4835</v>
      </c>
      <c r="U45" s="16">
        <v>4686</v>
      </c>
      <c r="V45" s="16">
        <v>4981</v>
      </c>
      <c r="W45" s="16">
        <v>4823</v>
      </c>
      <c r="X45" s="16">
        <v>3194</v>
      </c>
      <c r="Y45" s="16">
        <v>3476</v>
      </c>
      <c r="Z45" s="16">
        <v>14050</v>
      </c>
      <c r="AA45" s="16">
        <v>6348</v>
      </c>
      <c r="AB45" s="16">
        <v>3769</v>
      </c>
      <c r="AC45" s="16">
        <v>9946</v>
      </c>
      <c r="AD45" s="16">
        <v>6135</v>
      </c>
      <c r="AE45" s="16">
        <v>4993</v>
      </c>
      <c r="AF45" s="16">
        <v>10134</v>
      </c>
      <c r="AG45" s="16">
        <v>2777</v>
      </c>
      <c r="AH45" s="16">
        <v>3085</v>
      </c>
      <c r="AI45" s="16">
        <v>14340</v>
      </c>
      <c r="AJ45" s="16">
        <v>4264</v>
      </c>
      <c r="AK45" s="16">
        <v>8685</v>
      </c>
      <c r="AL45" s="16">
        <v>8478</v>
      </c>
      <c r="AM45" s="16">
        <v>8338</v>
      </c>
      <c r="AN45" s="16">
        <v>5009</v>
      </c>
      <c r="AO45" s="16">
        <v>3467</v>
      </c>
      <c r="AP45" s="16">
        <v>8770</v>
      </c>
      <c r="AQ45" s="16">
        <v>5686</v>
      </c>
      <c r="AR45" s="16">
        <v>2075</v>
      </c>
      <c r="AS45" s="16">
        <v>5360</v>
      </c>
      <c r="AT45" s="16">
        <v>7320</v>
      </c>
      <c r="AU45" s="16">
        <v>2682</v>
      </c>
      <c r="AV45" s="16">
        <v>11851</v>
      </c>
      <c r="AW45" s="16">
        <v>3486</v>
      </c>
      <c r="AX45" s="16">
        <v>7976</v>
      </c>
      <c r="AY45" s="16">
        <v>9136</v>
      </c>
      <c r="AZ45" s="16">
        <v>8092</v>
      </c>
      <c r="BA45" s="16">
        <v>9274</v>
      </c>
      <c r="BB45" s="16">
        <v>13565</v>
      </c>
      <c r="BC45" s="16">
        <v>2477</v>
      </c>
      <c r="BD45" s="16">
        <v>2756</v>
      </c>
      <c r="BE45" s="16">
        <v>1886</v>
      </c>
    </row>
    <row x14ac:dyDescent="0.25" r="46" customHeight="1" ht="18.75">
      <c r="A46" s="18">
        <v>44608</v>
      </c>
      <c r="B46" s="16">
        <v>6.3337</v>
      </c>
      <c r="C46" s="16">
        <v>7.8011</v>
      </c>
      <c r="D46" s="16">
        <v>4617.9893</v>
      </c>
      <c r="E46" s="16">
        <v>780.6</v>
      </c>
      <c r="F46" s="16">
        <v>21190</v>
      </c>
      <c r="G46" s="16">
        <v>3192</v>
      </c>
      <c r="H46" s="16">
        <v>2437.5</v>
      </c>
      <c r="I46" s="16">
        <v>720</v>
      </c>
      <c r="J46" s="16">
        <v>5005</v>
      </c>
      <c r="K46" s="16">
        <v>562.1</v>
      </c>
      <c r="L46" s="16">
        <v>19295</v>
      </c>
      <c r="M46" s="16">
        <v>71510</v>
      </c>
      <c r="N46" s="16">
        <v>22615</v>
      </c>
      <c r="O46" s="16">
        <v>25035</v>
      </c>
      <c r="P46" s="16">
        <v>15310</v>
      </c>
      <c r="Q46" s="16">
        <v>173420</v>
      </c>
      <c r="R46" s="16">
        <v>333500</v>
      </c>
      <c r="S46" s="16">
        <v>379.84</v>
      </c>
      <c r="T46" s="16">
        <v>4824</v>
      </c>
      <c r="U46" s="16">
        <v>4832</v>
      </c>
      <c r="V46" s="16">
        <v>5131</v>
      </c>
      <c r="W46" s="16">
        <v>4939</v>
      </c>
      <c r="X46" s="16">
        <v>3203</v>
      </c>
      <c r="Y46" s="16">
        <v>3546</v>
      </c>
      <c r="Z46" s="16">
        <v>14285</v>
      </c>
      <c r="AA46" s="16">
        <v>6410</v>
      </c>
      <c r="AB46" s="16">
        <v>3708</v>
      </c>
      <c r="AC46" s="16">
        <v>9942</v>
      </c>
      <c r="AD46" s="16">
        <v>6146</v>
      </c>
      <c r="AE46" s="16">
        <v>4909</v>
      </c>
      <c r="AF46" s="16">
        <v>10182</v>
      </c>
      <c r="AG46" s="16">
        <v>2765</v>
      </c>
      <c r="AH46" s="16">
        <v>3080</v>
      </c>
      <c r="AI46" s="16">
        <v>14355</v>
      </c>
      <c r="AJ46" s="16">
        <v>4227</v>
      </c>
      <c r="AK46" s="16">
        <v>8876</v>
      </c>
      <c r="AL46" s="16">
        <v>8771</v>
      </c>
      <c r="AM46" s="16">
        <v>8470</v>
      </c>
      <c r="AN46" s="16">
        <v>5132</v>
      </c>
      <c r="AO46" s="16">
        <v>3478</v>
      </c>
      <c r="AP46" s="16">
        <v>8921</v>
      </c>
      <c r="AQ46" s="16">
        <v>5723</v>
      </c>
      <c r="AR46" s="16">
        <v>2182</v>
      </c>
      <c r="AS46" s="16">
        <v>5466</v>
      </c>
      <c r="AT46" s="16">
        <v>7442</v>
      </c>
      <c r="AU46" s="16">
        <v>2750</v>
      </c>
      <c r="AV46" s="16">
        <v>11930</v>
      </c>
      <c r="AW46" s="16">
        <v>3428</v>
      </c>
      <c r="AX46" s="16">
        <v>7972</v>
      </c>
      <c r="AY46" s="16">
        <v>9148</v>
      </c>
      <c r="AZ46" s="16">
        <v>8170</v>
      </c>
      <c r="BA46" s="16">
        <v>9288</v>
      </c>
      <c r="BB46" s="16">
        <v>13860</v>
      </c>
      <c r="BC46" s="16">
        <v>2503</v>
      </c>
      <c r="BD46" s="16">
        <v>2912</v>
      </c>
      <c r="BE46" s="16">
        <v>1896</v>
      </c>
    </row>
    <row x14ac:dyDescent="0.25" r="47" customHeight="1" ht="18.75">
      <c r="A47" s="18">
        <v>44607</v>
      </c>
      <c r="B47" s="16">
        <v>6.3393</v>
      </c>
      <c r="C47" s="16">
        <v>7.8012</v>
      </c>
      <c r="D47" s="16">
        <v>4600.1025</v>
      </c>
      <c r="E47" s="16">
        <v>775</v>
      </c>
      <c r="F47" s="16">
        <v>21415</v>
      </c>
      <c r="G47" s="16">
        <v>3139</v>
      </c>
      <c r="H47" s="16">
        <v>2413.5</v>
      </c>
      <c r="I47" s="16">
        <v>699</v>
      </c>
      <c r="J47" s="16">
        <v>5039</v>
      </c>
      <c r="K47" s="16">
        <v>577.7</v>
      </c>
      <c r="L47" s="16">
        <v>18795</v>
      </c>
      <c r="M47" s="16">
        <v>71060</v>
      </c>
      <c r="N47" s="16">
        <v>22685</v>
      </c>
      <c r="O47" s="16">
        <v>25140</v>
      </c>
      <c r="P47" s="16">
        <v>15360</v>
      </c>
      <c r="Q47" s="16">
        <v>172860</v>
      </c>
      <c r="R47" s="16">
        <v>333870</v>
      </c>
      <c r="S47" s="16">
        <v>385.58</v>
      </c>
      <c r="T47" s="16">
        <v>4918</v>
      </c>
      <c r="U47" s="16">
        <v>4728</v>
      </c>
      <c r="V47" s="16">
        <v>5125</v>
      </c>
      <c r="W47" s="16">
        <v>4843</v>
      </c>
      <c r="X47" s="16">
        <v>3326</v>
      </c>
      <c r="Y47" s="16">
        <v>3636</v>
      </c>
      <c r="Z47" s="16">
        <v>14355</v>
      </c>
      <c r="AA47" s="16">
        <v>6426</v>
      </c>
      <c r="AB47" s="16">
        <v>3687</v>
      </c>
      <c r="AC47" s="16">
        <v>9950</v>
      </c>
      <c r="AD47" s="16">
        <v>6236</v>
      </c>
      <c r="AE47" s="16">
        <v>4918</v>
      </c>
      <c r="AF47" s="16">
        <v>10218</v>
      </c>
      <c r="AG47" s="16">
        <v>2770</v>
      </c>
      <c r="AH47" s="16">
        <v>3106</v>
      </c>
      <c r="AI47" s="16">
        <v>14175</v>
      </c>
      <c r="AJ47" s="16">
        <v>4240</v>
      </c>
      <c r="AK47" s="16">
        <v>8943</v>
      </c>
      <c r="AL47" s="16">
        <v>8715</v>
      </c>
      <c r="AM47" s="16">
        <v>8512</v>
      </c>
      <c r="AN47" s="16">
        <v>5272</v>
      </c>
      <c r="AO47" s="16">
        <v>3498</v>
      </c>
      <c r="AP47" s="16">
        <v>9126</v>
      </c>
      <c r="AQ47" s="16">
        <v>5720</v>
      </c>
      <c r="AR47" s="16">
        <v>2178</v>
      </c>
      <c r="AS47" s="16">
        <v>5696</v>
      </c>
      <c r="AT47" s="16">
        <v>7708</v>
      </c>
      <c r="AU47" s="16">
        <v>2758</v>
      </c>
      <c r="AV47" s="16">
        <v>11916</v>
      </c>
      <c r="AW47" s="16">
        <v>3416</v>
      </c>
      <c r="AX47" s="16">
        <v>8022</v>
      </c>
      <c r="AY47" s="16">
        <v>8920</v>
      </c>
      <c r="AZ47" s="16">
        <v>8094</v>
      </c>
      <c r="BA47" s="16">
        <v>9204</v>
      </c>
      <c r="BB47" s="16">
        <v>14230</v>
      </c>
      <c r="BC47" s="16">
        <v>2471</v>
      </c>
      <c r="BD47" s="16">
        <v>2867</v>
      </c>
      <c r="BE47" s="16">
        <v>1968</v>
      </c>
    </row>
    <row x14ac:dyDescent="0.25" r="48" customHeight="1" ht="18.75">
      <c r="A48" s="18">
        <v>44606</v>
      </c>
      <c r="B48" s="16">
        <v>6.3572</v>
      </c>
      <c r="C48" s="16">
        <v>7.8022</v>
      </c>
      <c r="D48" s="16">
        <v>4551.6878</v>
      </c>
      <c r="E48" s="16">
        <v>819.2</v>
      </c>
      <c r="F48" s="16">
        <v>21760</v>
      </c>
      <c r="G48" s="16">
        <v>3169.5</v>
      </c>
      <c r="H48" s="16">
        <v>2425.5</v>
      </c>
      <c r="I48" s="16">
        <v>776.5</v>
      </c>
      <c r="J48" s="16">
        <v>5030</v>
      </c>
      <c r="K48" s="16">
        <v>576.8</v>
      </c>
      <c r="L48" s="16">
        <v>18790</v>
      </c>
      <c r="M48" s="16">
        <v>71360</v>
      </c>
      <c r="N48" s="16">
        <v>22715</v>
      </c>
      <c r="O48" s="16">
        <v>25450</v>
      </c>
      <c r="P48" s="16">
        <v>15385</v>
      </c>
      <c r="Q48" s="16">
        <v>176520</v>
      </c>
      <c r="R48" s="16">
        <v>331960</v>
      </c>
      <c r="S48" s="16">
        <v>381.7</v>
      </c>
      <c r="T48" s="16">
        <v>4905</v>
      </c>
      <c r="U48" s="16">
        <v>4817</v>
      </c>
      <c r="V48" s="16">
        <v>5199</v>
      </c>
      <c r="W48" s="16">
        <v>4928</v>
      </c>
      <c r="X48" s="16">
        <v>3310</v>
      </c>
      <c r="Y48" s="16">
        <v>3662</v>
      </c>
      <c r="Z48" s="16">
        <v>14615</v>
      </c>
      <c r="AA48" s="16">
        <v>6446</v>
      </c>
      <c r="AB48" s="16">
        <v>3724</v>
      </c>
      <c r="AC48" s="16">
        <v>9894</v>
      </c>
      <c r="AD48" s="16">
        <v>6260</v>
      </c>
      <c r="AE48" s="16">
        <v>4991</v>
      </c>
      <c r="AF48" s="16">
        <v>10086</v>
      </c>
      <c r="AG48" s="16">
        <v>2774</v>
      </c>
      <c r="AH48" s="16">
        <v>3084</v>
      </c>
      <c r="AI48" s="16">
        <v>14485</v>
      </c>
      <c r="AJ48" s="16">
        <v>4280</v>
      </c>
      <c r="AK48" s="16">
        <v>8934</v>
      </c>
      <c r="AL48" s="16">
        <v>8927</v>
      </c>
      <c r="AM48" s="16">
        <v>8492</v>
      </c>
      <c r="AN48" s="16">
        <v>5233</v>
      </c>
      <c r="AO48" s="16">
        <v>3512</v>
      </c>
      <c r="AP48" s="16">
        <v>9081</v>
      </c>
      <c r="AQ48" s="16">
        <v>5731</v>
      </c>
      <c r="AR48" s="16">
        <v>2243</v>
      </c>
      <c r="AS48" s="16">
        <v>5724</v>
      </c>
      <c r="AT48" s="16">
        <v>7774</v>
      </c>
      <c r="AU48" s="16">
        <v>2752</v>
      </c>
      <c r="AV48" s="16">
        <v>11988</v>
      </c>
      <c r="AW48" s="16">
        <v>3423</v>
      </c>
      <c r="AX48" s="16">
        <v>7990</v>
      </c>
      <c r="AY48" s="16">
        <v>8990</v>
      </c>
      <c r="AZ48" s="16">
        <v>8050</v>
      </c>
      <c r="BA48" s="16">
        <v>9133</v>
      </c>
      <c r="BB48" s="16">
        <v>14120</v>
      </c>
      <c r="BC48" s="16">
        <v>2512</v>
      </c>
      <c r="BD48" s="16">
        <v>2954</v>
      </c>
      <c r="BE48" s="16">
        <v>1984</v>
      </c>
    </row>
    <row x14ac:dyDescent="0.25" r="49" customHeight="1" ht="18.75">
      <c r="A49" s="18">
        <v>44603</v>
      </c>
      <c r="B49" s="16">
        <v>6.3546</v>
      </c>
      <c r="C49" s="16">
        <v>7.8003</v>
      </c>
      <c r="D49" s="16">
        <v>4601.3953</v>
      </c>
      <c r="E49" s="16">
        <v>822.6</v>
      </c>
      <c r="F49" s="16">
        <v>21755</v>
      </c>
      <c r="G49" s="16">
        <v>3095</v>
      </c>
      <c r="H49" s="16">
        <v>2352</v>
      </c>
      <c r="I49" s="16">
        <v>805</v>
      </c>
      <c r="J49" s="16">
        <v>4974</v>
      </c>
      <c r="K49" s="16">
        <v>546.1</v>
      </c>
      <c r="L49" s="16">
        <v>18300</v>
      </c>
      <c r="M49" s="16">
        <v>71480</v>
      </c>
      <c r="N49" s="16">
        <v>22670</v>
      </c>
      <c r="O49" s="16">
        <v>25550</v>
      </c>
      <c r="P49" s="16">
        <v>15230</v>
      </c>
      <c r="Q49" s="16">
        <v>172070</v>
      </c>
      <c r="R49" s="16">
        <v>335120</v>
      </c>
      <c r="S49" s="16">
        <v>375.24</v>
      </c>
      <c r="T49" s="16">
        <v>4750</v>
      </c>
      <c r="U49" s="16">
        <v>4905</v>
      </c>
      <c r="V49" s="16">
        <v>5270</v>
      </c>
      <c r="W49" s="16">
        <v>5033</v>
      </c>
      <c r="X49" s="16">
        <v>3151</v>
      </c>
      <c r="Y49" s="16">
        <v>3582</v>
      </c>
      <c r="Z49" s="16">
        <v>14485</v>
      </c>
      <c r="AA49" s="16">
        <v>6344</v>
      </c>
      <c r="AB49" s="16">
        <v>3745</v>
      </c>
      <c r="AC49" s="16">
        <v>9754</v>
      </c>
      <c r="AD49" s="16">
        <v>6320</v>
      </c>
      <c r="AE49" s="16">
        <v>4921</v>
      </c>
      <c r="AF49" s="16">
        <v>9932</v>
      </c>
      <c r="AG49" s="16">
        <v>2766</v>
      </c>
      <c r="AH49" s="16">
        <v>3095</v>
      </c>
      <c r="AI49" s="16">
        <v>14715</v>
      </c>
      <c r="AJ49" s="16">
        <v>4269</v>
      </c>
      <c r="AK49" s="16">
        <v>8957</v>
      </c>
      <c r="AL49" s="16">
        <v>9070</v>
      </c>
      <c r="AM49" s="16">
        <v>8458</v>
      </c>
      <c r="AN49" s="16">
        <v>5137</v>
      </c>
      <c r="AO49" s="16">
        <v>3354</v>
      </c>
      <c r="AP49" s="16">
        <v>9000</v>
      </c>
      <c r="AQ49" s="16">
        <v>5699</v>
      </c>
      <c r="AR49" s="16">
        <v>2169</v>
      </c>
      <c r="AS49" s="16">
        <v>5576</v>
      </c>
      <c r="AT49" s="16">
        <v>7604</v>
      </c>
      <c r="AU49" s="16">
        <v>2706</v>
      </c>
      <c r="AV49" s="16">
        <v>11933</v>
      </c>
      <c r="AW49" s="16">
        <v>3423</v>
      </c>
      <c r="AX49" s="16">
        <v>7982</v>
      </c>
      <c r="AY49" s="16">
        <v>8988</v>
      </c>
      <c r="AZ49" s="16">
        <v>8058</v>
      </c>
      <c r="BA49" s="16">
        <v>8958</v>
      </c>
      <c r="BB49" s="16">
        <v>14095</v>
      </c>
      <c r="BC49" s="16">
        <v>2568</v>
      </c>
      <c r="BD49" s="16">
        <v>2973</v>
      </c>
      <c r="BE49" s="16">
        <v>1977</v>
      </c>
    </row>
    <row x14ac:dyDescent="0.25" r="50" customHeight="1" ht="18.75">
      <c r="A50" s="18">
        <v>44602</v>
      </c>
      <c r="B50" s="16">
        <v>6.3531</v>
      </c>
      <c r="C50" s="16">
        <v>7.795</v>
      </c>
      <c r="D50" s="16">
        <v>4639.8625</v>
      </c>
      <c r="E50" s="16">
        <v>843.6</v>
      </c>
      <c r="F50" s="16">
        <v>21685</v>
      </c>
      <c r="G50" s="16">
        <v>3083</v>
      </c>
      <c r="H50" s="16">
        <v>2341.5</v>
      </c>
      <c r="I50" s="16">
        <v>821.5</v>
      </c>
      <c r="J50" s="16">
        <v>5064</v>
      </c>
      <c r="K50" s="16">
        <v>549.7</v>
      </c>
      <c r="L50" s="16">
        <v>18385</v>
      </c>
      <c r="M50" s="16">
        <v>73030</v>
      </c>
      <c r="N50" s="16">
        <v>23290</v>
      </c>
      <c r="O50" s="16">
        <v>25775</v>
      </c>
      <c r="P50" s="16">
        <v>15230</v>
      </c>
      <c r="Q50" s="16">
        <v>173890</v>
      </c>
      <c r="R50" s="16">
        <v>338380</v>
      </c>
      <c r="S50" s="16">
        <v>377.4</v>
      </c>
      <c r="T50" s="16">
        <v>4836</v>
      </c>
      <c r="U50" s="16">
        <v>4955</v>
      </c>
      <c r="V50" s="16">
        <v>5276</v>
      </c>
      <c r="W50" s="16">
        <v>5069</v>
      </c>
      <c r="X50" s="16">
        <v>3187</v>
      </c>
      <c r="Y50" s="16">
        <v>3622</v>
      </c>
      <c r="Z50" s="16">
        <v>14775</v>
      </c>
      <c r="AA50" s="16">
        <v>6472</v>
      </c>
      <c r="AB50" s="16">
        <v>3814</v>
      </c>
      <c r="AC50" s="16">
        <v>9870</v>
      </c>
      <c r="AD50" s="16">
        <v>6336</v>
      </c>
      <c r="AE50" s="16">
        <v>4970</v>
      </c>
      <c r="AF50" s="16">
        <v>9960</v>
      </c>
      <c r="AG50" s="16">
        <v>2788</v>
      </c>
      <c r="AH50" s="16">
        <v>3138</v>
      </c>
      <c r="AI50" s="16">
        <v>14630</v>
      </c>
      <c r="AJ50" s="16">
        <v>4289</v>
      </c>
      <c r="AK50" s="16">
        <v>9064</v>
      </c>
      <c r="AL50" s="16">
        <v>9339</v>
      </c>
      <c r="AM50" s="16">
        <v>8602</v>
      </c>
      <c r="AN50" s="16">
        <v>5266</v>
      </c>
      <c r="AO50" s="16">
        <v>3348</v>
      </c>
      <c r="AP50" s="16">
        <v>8978</v>
      </c>
      <c r="AQ50" s="16">
        <v>5779</v>
      </c>
      <c r="AR50" s="16">
        <v>2359</v>
      </c>
      <c r="AS50" s="16">
        <v>5690</v>
      </c>
      <c r="AT50" s="16">
        <v>7730</v>
      </c>
      <c r="AU50" s="16">
        <v>2799</v>
      </c>
      <c r="AV50" s="16">
        <v>12012</v>
      </c>
      <c r="AW50" s="16">
        <v>3444</v>
      </c>
      <c r="AX50" s="16">
        <v>8098</v>
      </c>
      <c r="AY50" s="16">
        <v>9258</v>
      </c>
      <c r="AZ50" s="16">
        <v>8334</v>
      </c>
      <c r="BA50" s="16">
        <v>8979</v>
      </c>
      <c r="BB50" s="16">
        <v>13755</v>
      </c>
      <c r="BC50" s="16">
        <v>2689</v>
      </c>
      <c r="BD50" s="16">
        <v>3125</v>
      </c>
      <c r="BE50" s="16">
        <v>1940</v>
      </c>
    </row>
    <row x14ac:dyDescent="0.25" r="51" customHeight="1" ht="18.75">
      <c r="A51" s="18">
        <v>44601</v>
      </c>
      <c r="B51" s="16">
        <v>6.3627</v>
      </c>
      <c r="C51" s="16">
        <v>7.7906</v>
      </c>
      <c r="D51" s="16">
        <v>4652.0609</v>
      </c>
      <c r="E51" s="16">
        <v>836.6</v>
      </c>
      <c r="F51" s="16">
        <v>21735</v>
      </c>
      <c r="G51" s="16">
        <v>3026</v>
      </c>
      <c r="H51" s="16">
        <v>2320</v>
      </c>
      <c r="I51" s="16">
        <v>781</v>
      </c>
      <c r="J51" s="16">
        <v>5076</v>
      </c>
      <c r="K51" s="16">
        <v>544.4</v>
      </c>
      <c r="L51" s="16">
        <v>18210</v>
      </c>
      <c r="M51" s="16">
        <v>70450</v>
      </c>
      <c r="N51" s="16">
        <v>22870</v>
      </c>
      <c r="O51" s="16">
        <v>25245</v>
      </c>
      <c r="P51" s="16">
        <v>14995</v>
      </c>
      <c r="Q51" s="16">
        <v>170050</v>
      </c>
      <c r="R51" s="16">
        <v>330700</v>
      </c>
      <c r="S51" s="16">
        <v>376.58</v>
      </c>
      <c r="T51" s="16">
        <v>4820</v>
      </c>
      <c r="U51" s="16">
        <v>4843</v>
      </c>
      <c r="V51" s="16">
        <v>5175</v>
      </c>
      <c r="W51" s="16">
        <v>4980</v>
      </c>
      <c r="X51" s="16">
        <v>3150</v>
      </c>
      <c r="Y51" s="16">
        <v>3612</v>
      </c>
      <c r="Z51" s="16">
        <v>14655</v>
      </c>
      <c r="AA51" s="16">
        <v>6380</v>
      </c>
      <c r="AB51" s="16">
        <v>3748</v>
      </c>
      <c r="AC51" s="16">
        <v>9864</v>
      </c>
      <c r="AD51" s="16">
        <v>6349</v>
      </c>
      <c r="AE51" s="16">
        <v>4881</v>
      </c>
      <c r="AF51" s="16">
        <v>9872</v>
      </c>
      <c r="AG51" s="16">
        <v>2775</v>
      </c>
      <c r="AH51" s="16">
        <v>3115</v>
      </c>
      <c r="AI51" s="16">
        <v>14575</v>
      </c>
      <c r="AJ51" s="16">
        <v>4240</v>
      </c>
      <c r="AK51" s="16">
        <v>9031</v>
      </c>
      <c r="AL51" s="16">
        <v>9128</v>
      </c>
      <c r="AM51" s="16">
        <v>8582</v>
      </c>
      <c r="AN51" s="16">
        <v>5285</v>
      </c>
      <c r="AO51" s="16">
        <v>3364</v>
      </c>
      <c r="AP51" s="16">
        <v>9023</v>
      </c>
      <c r="AQ51" s="16">
        <v>5716</v>
      </c>
      <c r="AR51" s="16">
        <v>2274</v>
      </c>
      <c r="AS51" s="16">
        <v>5694</v>
      </c>
      <c r="AT51" s="16">
        <v>7750</v>
      </c>
      <c r="AU51" s="16">
        <v>2823</v>
      </c>
      <c r="AV51" s="16">
        <v>12045</v>
      </c>
      <c r="AW51" s="16">
        <v>3420</v>
      </c>
      <c r="AX51" s="16">
        <v>8124</v>
      </c>
      <c r="AY51" s="16">
        <v>9090</v>
      </c>
      <c r="AZ51" s="16">
        <v>8320</v>
      </c>
      <c r="BA51" s="16">
        <v>9008</v>
      </c>
      <c r="BB51" s="16">
        <v>13765</v>
      </c>
      <c r="BC51" s="16">
        <v>2644</v>
      </c>
      <c r="BD51" s="16">
        <v>2957</v>
      </c>
      <c r="BE51" s="16">
        <v>1711</v>
      </c>
    </row>
    <row x14ac:dyDescent="0.25" r="52" customHeight="1" ht="18.75">
      <c r="A52" s="18">
        <v>44600</v>
      </c>
      <c r="B52" s="16">
        <v>6.3666</v>
      </c>
      <c r="C52" s="16">
        <v>7.794</v>
      </c>
      <c r="D52" s="16">
        <v>4608.7729</v>
      </c>
      <c r="E52" s="16">
        <v>876.8</v>
      </c>
      <c r="F52" s="16">
        <v>21795</v>
      </c>
      <c r="G52" s="16">
        <v>3133</v>
      </c>
      <c r="H52" s="16">
        <v>2470</v>
      </c>
      <c r="I52" s="16">
        <v>821</v>
      </c>
      <c r="J52" s="16">
        <v>5161</v>
      </c>
      <c r="K52" s="16">
        <v>558.4</v>
      </c>
      <c r="L52" s="16">
        <v>18105</v>
      </c>
      <c r="M52" s="16">
        <v>70590</v>
      </c>
      <c r="N52" s="16">
        <v>22685</v>
      </c>
      <c r="O52" s="16">
        <v>25505</v>
      </c>
      <c r="P52" s="16">
        <v>14840</v>
      </c>
      <c r="Q52" s="16">
        <v>172280</v>
      </c>
      <c r="R52" s="16">
        <v>333300</v>
      </c>
      <c r="S52" s="16">
        <v>374.8</v>
      </c>
      <c r="T52" s="16">
        <v>4766</v>
      </c>
      <c r="U52" s="16">
        <v>4912</v>
      </c>
      <c r="V52" s="16">
        <v>5279</v>
      </c>
      <c r="W52" s="16">
        <v>5061</v>
      </c>
      <c r="X52" s="16">
        <v>3275</v>
      </c>
      <c r="Y52" s="16">
        <v>3782</v>
      </c>
      <c r="Z52" s="16">
        <v>14650</v>
      </c>
      <c r="AA52" s="16">
        <v>6412</v>
      </c>
      <c r="AB52" s="16">
        <v>3695</v>
      </c>
      <c r="AC52" s="16">
        <v>9930</v>
      </c>
      <c r="AD52" s="16">
        <v>6273</v>
      </c>
      <c r="AE52" s="16">
        <v>4828</v>
      </c>
      <c r="AF52" s="16">
        <v>9988</v>
      </c>
      <c r="AG52" s="16">
        <v>2791</v>
      </c>
      <c r="AH52" s="16">
        <v>3161</v>
      </c>
      <c r="AI52" s="16">
        <v>14790</v>
      </c>
      <c r="AJ52" s="16">
        <v>4258</v>
      </c>
      <c r="AK52" s="16">
        <v>9330</v>
      </c>
      <c r="AL52" s="16">
        <v>9245</v>
      </c>
      <c r="AM52" s="16">
        <v>8837</v>
      </c>
      <c r="AN52" s="16">
        <v>5489</v>
      </c>
      <c r="AO52" s="16">
        <v>3369</v>
      </c>
      <c r="AP52" s="16">
        <v>9292</v>
      </c>
      <c r="AQ52" s="16">
        <v>5720</v>
      </c>
      <c r="AR52" s="16">
        <v>2324</v>
      </c>
      <c r="AS52" s="16">
        <v>5822</v>
      </c>
      <c r="AT52" s="16">
        <v>7954</v>
      </c>
      <c r="AU52" s="16">
        <v>2935</v>
      </c>
      <c r="AV52" s="16">
        <v>12273</v>
      </c>
      <c r="AW52" s="16">
        <v>3390</v>
      </c>
      <c r="AX52" s="16">
        <v>8148</v>
      </c>
      <c r="AY52" s="16">
        <v>9336</v>
      </c>
      <c r="AZ52" s="16">
        <v>8438</v>
      </c>
      <c r="BA52" s="16">
        <v>9080</v>
      </c>
      <c r="BB52" s="16">
        <v>13880</v>
      </c>
      <c r="BC52" s="16">
        <v>2700</v>
      </c>
      <c r="BD52" s="16">
        <v>2987</v>
      </c>
      <c r="BE52" s="16">
        <v>1503</v>
      </c>
    </row>
    <row x14ac:dyDescent="0.25" r="53" customHeight="1" ht="18.75">
      <c r="A53" s="18">
        <v>44599</v>
      </c>
      <c r="B53" s="16">
        <v>6.3588</v>
      </c>
      <c r="C53" s="16">
        <v>7.7919</v>
      </c>
      <c r="D53" s="16">
        <v>4634.0899</v>
      </c>
      <c r="E53" s="16">
        <v>822.6</v>
      </c>
      <c r="F53" s="16">
        <v>22005</v>
      </c>
      <c r="G53" s="16">
        <v>2990</v>
      </c>
      <c r="H53" s="16">
        <v>2311.5</v>
      </c>
      <c r="I53" s="16">
        <v>817</v>
      </c>
      <c r="J53" s="16">
        <v>5126</v>
      </c>
      <c r="K53" s="16">
        <v>566.9</v>
      </c>
      <c r="L53" s="16">
        <v>17875</v>
      </c>
      <c r="M53" s="16">
        <v>70430</v>
      </c>
      <c r="N53" s="16">
        <v>22290</v>
      </c>
      <c r="O53" s="16">
        <v>25075</v>
      </c>
      <c r="P53" s="16">
        <v>14820</v>
      </c>
      <c r="Q53" s="16">
        <v>170470</v>
      </c>
      <c r="R53" s="16">
        <v>332000</v>
      </c>
      <c r="S53" s="16">
        <v>372.14</v>
      </c>
      <c r="T53" s="16">
        <v>4737</v>
      </c>
      <c r="U53" s="16">
        <v>4847</v>
      </c>
      <c r="V53" s="16">
        <v>5240</v>
      </c>
      <c r="W53" s="16">
        <v>4980</v>
      </c>
      <c r="X53" s="16">
        <v>3324</v>
      </c>
      <c r="Y53" s="16">
        <v>3840</v>
      </c>
      <c r="Z53" s="16">
        <v>14470</v>
      </c>
      <c r="AA53" s="16">
        <v>6322</v>
      </c>
      <c r="AB53" s="16">
        <v>3636</v>
      </c>
      <c r="AC53" s="16">
        <v>10042</v>
      </c>
      <c r="AD53" s="16">
        <v>6204</v>
      </c>
      <c r="AE53" s="16">
        <v>4748</v>
      </c>
      <c r="AF53" s="16">
        <v>10162</v>
      </c>
      <c r="AG53" s="16">
        <v>2749</v>
      </c>
      <c r="AH53" s="16">
        <v>3120</v>
      </c>
      <c r="AI53" s="16">
        <v>13705</v>
      </c>
      <c r="AJ53" s="16">
        <v>4237</v>
      </c>
      <c r="AK53" s="16">
        <v>9448</v>
      </c>
      <c r="AL53" s="16">
        <v>9267</v>
      </c>
      <c r="AM53" s="16">
        <v>8952</v>
      </c>
      <c r="AN53" s="16">
        <v>5533</v>
      </c>
      <c r="AO53" s="16">
        <v>3365</v>
      </c>
      <c r="AP53" s="16">
        <v>9289</v>
      </c>
      <c r="AQ53" s="16">
        <v>5666</v>
      </c>
      <c r="AR53" s="16">
        <v>2343</v>
      </c>
      <c r="AS53" s="16">
        <v>5820</v>
      </c>
      <c r="AT53" s="16">
        <v>7946</v>
      </c>
      <c r="AU53" s="16">
        <v>2952</v>
      </c>
      <c r="AV53" s="16">
        <v>12562</v>
      </c>
      <c r="AW53" s="16">
        <v>3425</v>
      </c>
      <c r="AX53" s="16">
        <v>8166</v>
      </c>
      <c r="AY53" s="16">
        <v>9336</v>
      </c>
      <c r="AZ53" s="16">
        <v>8440</v>
      </c>
      <c r="BA53" s="16">
        <v>9281</v>
      </c>
      <c r="BB53" s="16">
        <v>13230</v>
      </c>
      <c r="BC53" s="16">
        <v>2684</v>
      </c>
      <c r="BD53" s="16">
        <v>2968</v>
      </c>
      <c r="BE53" s="16">
        <v>1422</v>
      </c>
    </row>
    <row x14ac:dyDescent="0.25" r="54" customHeight="1" ht="18.75">
      <c r="A54" s="18">
        <v>44596</v>
      </c>
      <c r="B54" s="16">
        <v>6.3577</v>
      </c>
      <c r="C54" s="16">
        <v>7.7883</v>
      </c>
      <c r="D54" s="16">
        <v>4563.772</v>
      </c>
      <c r="E54" s="16">
        <v>756.2</v>
      </c>
      <c r="F54" s="16">
        <v>21495</v>
      </c>
      <c r="G54" s="16">
        <v>3100</v>
      </c>
      <c r="H54" s="16">
        <v>2281.5</v>
      </c>
      <c r="I54" s="16">
        <v>829</v>
      </c>
      <c r="J54" s="16">
        <v>4690</v>
      </c>
      <c r="K54" s="16">
        <v>534.5</v>
      </c>
      <c r="L54" s="16">
        <v>17440</v>
      </c>
      <c r="M54" s="16">
        <v>70290</v>
      </c>
      <c r="N54" s="16">
        <v>21950</v>
      </c>
      <c r="O54" s="16">
        <v>25295</v>
      </c>
      <c r="P54" s="16">
        <v>15210</v>
      </c>
      <c r="Q54" s="16">
        <v>163750</v>
      </c>
      <c r="R54" s="16">
        <v>329600</v>
      </c>
      <c r="S54" s="16">
        <v>370.1</v>
      </c>
      <c r="T54" s="16">
        <v>4703</v>
      </c>
      <c r="U54" s="16">
        <v>4829</v>
      </c>
      <c r="V54" s="16">
        <v>5043</v>
      </c>
      <c r="W54" s="16">
        <v>4945</v>
      </c>
      <c r="X54" s="16">
        <v>3199</v>
      </c>
      <c r="Y54" s="16">
        <v>3668</v>
      </c>
      <c r="Z54" s="16">
        <v>14150</v>
      </c>
      <c r="AA54" s="16">
        <v>6296</v>
      </c>
      <c r="AB54" s="16">
        <v>3378</v>
      </c>
      <c r="AC54" s="16">
        <v>9836</v>
      </c>
      <c r="AD54" s="16">
        <v>6216</v>
      </c>
      <c r="AE54" s="16">
        <v>4530</v>
      </c>
      <c r="AF54" s="16">
        <v>9934</v>
      </c>
      <c r="AG54" s="16">
        <v>2763</v>
      </c>
      <c r="AH54" s="16">
        <v>3188</v>
      </c>
      <c r="AI54" s="16">
        <v>13425</v>
      </c>
      <c r="AJ54" s="16">
        <v>4185</v>
      </c>
      <c r="AK54" s="16">
        <v>8890</v>
      </c>
      <c r="AL54" s="16">
        <v>8738</v>
      </c>
      <c r="AM54" s="16">
        <v>8469</v>
      </c>
      <c r="AN54" s="16">
        <v>5437</v>
      </c>
      <c r="AO54" s="16">
        <v>3352</v>
      </c>
      <c r="AP54" s="16">
        <v>9093</v>
      </c>
      <c r="AQ54" s="16">
        <v>5706</v>
      </c>
      <c r="AR54" s="16">
        <v>2240</v>
      </c>
      <c r="AS54" s="16">
        <v>5478</v>
      </c>
      <c r="AT54" s="16">
        <v>7606</v>
      </c>
      <c r="AU54" s="16">
        <v>2823</v>
      </c>
      <c r="AV54" s="16">
        <v>12478</v>
      </c>
      <c r="AW54" s="16">
        <v>3161</v>
      </c>
      <c r="AX54" s="16">
        <v>8016</v>
      </c>
      <c r="AY54" s="16">
        <v>9046</v>
      </c>
      <c r="AZ54" s="16">
        <v>8354</v>
      </c>
      <c r="BA54" s="16">
        <v>8921</v>
      </c>
      <c r="BB54" s="16">
        <v>12930</v>
      </c>
      <c r="BC54" s="16">
        <v>2562</v>
      </c>
      <c r="BD54" s="16">
        <v>2880</v>
      </c>
      <c r="BE54" s="16">
        <v>1423</v>
      </c>
    </row>
    <row x14ac:dyDescent="0.25" r="55" customHeight="1" ht="18.75">
      <c r="A55" s="18">
        <v>44595</v>
      </c>
      <c r="B55" s="16">
        <v>6.3648</v>
      </c>
      <c r="C55" s="16">
        <v>7.7932</v>
      </c>
      <c r="D55" s="16">
        <v>4563.772</v>
      </c>
      <c r="E55" s="16">
        <v>756.2</v>
      </c>
      <c r="F55" s="16">
        <v>21495</v>
      </c>
      <c r="G55" s="16">
        <v>3100</v>
      </c>
      <c r="H55" s="16">
        <v>2281.5</v>
      </c>
      <c r="I55" s="16">
        <v>829</v>
      </c>
      <c r="J55" s="16">
        <v>4690</v>
      </c>
      <c r="K55" s="16">
        <v>534.5</v>
      </c>
      <c r="L55" s="16">
        <v>17440</v>
      </c>
      <c r="M55" s="16">
        <v>70290</v>
      </c>
      <c r="N55" s="16">
        <v>21950</v>
      </c>
      <c r="O55" s="16">
        <v>25295</v>
      </c>
      <c r="P55" s="16">
        <v>15210</v>
      </c>
      <c r="Q55" s="16">
        <v>163750</v>
      </c>
      <c r="R55" s="16">
        <v>329600</v>
      </c>
      <c r="S55" s="16">
        <v>370.1</v>
      </c>
      <c r="T55" s="16">
        <v>4703</v>
      </c>
      <c r="U55" s="16">
        <v>4829</v>
      </c>
      <c r="V55" s="16">
        <v>5043</v>
      </c>
      <c r="W55" s="16">
        <v>4945</v>
      </c>
      <c r="X55" s="16">
        <v>3199</v>
      </c>
      <c r="Y55" s="16">
        <v>3668</v>
      </c>
      <c r="Z55" s="16">
        <v>14150</v>
      </c>
      <c r="AA55" s="16">
        <v>6296</v>
      </c>
      <c r="AB55" s="16">
        <v>3378</v>
      </c>
      <c r="AC55" s="16">
        <v>9836</v>
      </c>
      <c r="AD55" s="16">
        <v>6216</v>
      </c>
      <c r="AE55" s="16">
        <v>4530</v>
      </c>
      <c r="AF55" s="16">
        <v>9934</v>
      </c>
      <c r="AG55" s="16">
        <v>2763</v>
      </c>
      <c r="AH55" s="16">
        <v>3188</v>
      </c>
      <c r="AI55" s="16">
        <v>13425</v>
      </c>
      <c r="AJ55" s="16">
        <v>4185</v>
      </c>
      <c r="AK55" s="16">
        <v>8890</v>
      </c>
      <c r="AL55" s="16">
        <v>8738</v>
      </c>
      <c r="AM55" s="16">
        <v>8469</v>
      </c>
      <c r="AN55" s="16">
        <v>5437</v>
      </c>
      <c r="AO55" s="16">
        <v>3352</v>
      </c>
      <c r="AP55" s="16">
        <v>9093</v>
      </c>
      <c r="AQ55" s="16">
        <v>5706</v>
      </c>
      <c r="AR55" s="16">
        <v>2240</v>
      </c>
      <c r="AS55" s="16">
        <v>5478</v>
      </c>
      <c r="AT55" s="16">
        <v>7606</v>
      </c>
      <c r="AU55" s="16">
        <v>2823</v>
      </c>
      <c r="AV55" s="16">
        <v>12478</v>
      </c>
      <c r="AW55" s="16">
        <v>3161</v>
      </c>
      <c r="AX55" s="16">
        <v>8016</v>
      </c>
      <c r="AY55" s="16">
        <v>9046</v>
      </c>
      <c r="AZ55" s="16">
        <v>8354</v>
      </c>
      <c r="BA55" s="16">
        <v>8921</v>
      </c>
      <c r="BB55" s="16">
        <v>12930</v>
      </c>
      <c r="BC55" s="16">
        <v>2562</v>
      </c>
      <c r="BD55" s="16">
        <v>2880</v>
      </c>
      <c r="BE55" s="16">
        <v>1425</v>
      </c>
    </row>
    <row x14ac:dyDescent="0.25" r="56" customHeight="1" ht="18.75">
      <c r="A56" s="18">
        <v>44594</v>
      </c>
      <c r="B56" s="16">
        <v>6.3577</v>
      </c>
      <c r="C56" s="16">
        <v>7.7961</v>
      </c>
      <c r="D56" s="16">
        <v>4563.772</v>
      </c>
      <c r="E56" s="16">
        <v>756.2</v>
      </c>
      <c r="F56" s="16">
        <v>21495</v>
      </c>
      <c r="G56" s="16">
        <v>3100</v>
      </c>
      <c r="H56" s="16">
        <v>2281.5</v>
      </c>
      <c r="I56" s="16">
        <v>829</v>
      </c>
      <c r="J56" s="16">
        <v>4690</v>
      </c>
      <c r="K56" s="16">
        <v>534.5</v>
      </c>
      <c r="L56" s="16">
        <v>17440</v>
      </c>
      <c r="M56" s="16">
        <v>70290</v>
      </c>
      <c r="N56" s="16">
        <v>21950</v>
      </c>
      <c r="O56" s="16">
        <v>25295</v>
      </c>
      <c r="P56" s="16">
        <v>15210</v>
      </c>
      <c r="Q56" s="16">
        <v>163750</v>
      </c>
      <c r="R56" s="16">
        <v>329600</v>
      </c>
      <c r="S56" s="16">
        <v>370.1</v>
      </c>
      <c r="T56" s="16">
        <v>4703</v>
      </c>
      <c r="U56" s="16">
        <v>4829</v>
      </c>
      <c r="V56" s="16">
        <v>5043</v>
      </c>
      <c r="W56" s="16">
        <v>4945</v>
      </c>
      <c r="X56" s="16">
        <v>3199</v>
      </c>
      <c r="Y56" s="16">
        <v>3668</v>
      </c>
      <c r="Z56" s="16">
        <v>14150</v>
      </c>
      <c r="AA56" s="16">
        <v>6296</v>
      </c>
      <c r="AB56" s="16">
        <v>3378</v>
      </c>
      <c r="AC56" s="16">
        <v>9836</v>
      </c>
      <c r="AD56" s="16">
        <v>6216</v>
      </c>
      <c r="AE56" s="16">
        <v>4530</v>
      </c>
      <c r="AF56" s="16">
        <v>9934</v>
      </c>
      <c r="AG56" s="16">
        <v>2763</v>
      </c>
      <c r="AH56" s="16">
        <v>3188</v>
      </c>
      <c r="AI56" s="16">
        <v>13425</v>
      </c>
      <c r="AJ56" s="16">
        <v>4185</v>
      </c>
      <c r="AK56" s="16">
        <v>8890</v>
      </c>
      <c r="AL56" s="16">
        <v>8738</v>
      </c>
      <c r="AM56" s="16">
        <v>8469</v>
      </c>
      <c r="AN56" s="16">
        <v>5437</v>
      </c>
      <c r="AO56" s="16">
        <v>3352</v>
      </c>
      <c r="AP56" s="16">
        <v>9093</v>
      </c>
      <c r="AQ56" s="16">
        <v>5706</v>
      </c>
      <c r="AR56" s="16">
        <v>2240</v>
      </c>
      <c r="AS56" s="16">
        <v>5478</v>
      </c>
      <c r="AT56" s="16">
        <v>7606</v>
      </c>
      <c r="AU56" s="16">
        <v>2823</v>
      </c>
      <c r="AV56" s="16">
        <v>12478</v>
      </c>
      <c r="AW56" s="16">
        <v>3161</v>
      </c>
      <c r="AX56" s="16">
        <v>8016</v>
      </c>
      <c r="AY56" s="16">
        <v>9046</v>
      </c>
      <c r="AZ56" s="16">
        <v>8354</v>
      </c>
      <c r="BA56" s="16">
        <v>8921</v>
      </c>
      <c r="BB56" s="16">
        <v>12930</v>
      </c>
      <c r="BC56" s="16">
        <v>2562</v>
      </c>
      <c r="BD56" s="16">
        <v>2880</v>
      </c>
      <c r="BE56" s="16">
        <v>1419</v>
      </c>
    </row>
    <row x14ac:dyDescent="0.25" r="57" customHeight="1" ht="18.75">
      <c r="A57" s="18">
        <v>44593</v>
      </c>
      <c r="B57" s="16">
        <v>6.3577</v>
      </c>
      <c r="C57" s="16">
        <v>7.7941</v>
      </c>
      <c r="D57" s="16">
        <v>4563.772</v>
      </c>
      <c r="E57" s="16">
        <v>756.2</v>
      </c>
      <c r="F57" s="16">
        <v>21495</v>
      </c>
      <c r="G57" s="16">
        <v>3100</v>
      </c>
      <c r="H57" s="16">
        <v>2281.5</v>
      </c>
      <c r="I57" s="16">
        <v>829</v>
      </c>
      <c r="J57" s="16">
        <v>4690</v>
      </c>
      <c r="K57" s="16">
        <v>534.5</v>
      </c>
      <c r="L57" s="16">
        <v>17440</v>
      </c>
      <c r="M57" s="16">
        <v>70290</v>
      </c>
      <c r="N57" s="16">
        <v>21950</v>
      </c>
      <c r="O57" s="16">
        <v>25295</v>
      </c>
      <c r="P57" s="16">
        <v>15210</v>
      </c>
      <c r="Q57" s="16">
        <v>163750</v>
      </c>
      <c r="R57" s="16">
        <v>329600</v>
      </c>
      <c r="S57" s="16">
        <v>370.1</v>
      </c>
      <c r="T57" s="16">
        <v>4703</v>
      </c>
      <c r="U57" s="16">
        <v>4829</v>
      </c>
      <c r="V57" s="16">
        <v>5043</v>
      </c>
      <c r="W57" s="16">
        <v>4945</v>
      </c>
      <c r="X57" s="16">
        <v>3199</v>
      </c>
      <c r="Y57" s="16">
        <v>3668</v>
      </c>
      <c r="Z57" s="16">
        <v>14150</v>
      </c>
      <c r="AA57" s="16">
        <v>6296</v>
      </c>
      <c r="AB57" s="16">
        <v>3378</v>
      </c>
      <c r="AC57" s="16">
        <v>9836</v>
      </c>
      <c r="AD57" s="16">
        <v>6216</v>
      </c>
      <c r="AE57" s="16">
        <v>4530</v>
      </c>
      <c r="AF57" s="16">
        <v>9934</v>
      </c>
      <c r="AG57" s="16">
        <v>2763</v>
      </c>
      <c r="AH57" s="16">
        <v>3188</v>
      </c>
      <c r="AI57" s="16">
        <v>13425</v>
      </c>
      <c r="AJ57" s="16">
        <v>4185</v>
      </c>
      <c r="AK57" s="16">
        <v>8890</v>
      </c>
      <c r="AL57" s="16">
        <v>8738</v>
      </c>
      <c r="AM57" s="16">
        <v>8469</v>
      </c>
      <c r="AN57" s="16">
        <v>5437</v>
      </c>
      <c r="AO57" s="16">
        <v>3352</v>
      </c>
      <c r="AP57" s="16">
        <v>9093</v>
      </c>
      <c r="AQ57" s="16">
        <v>5706</v>
      </c>
      <c r="AR57" s="16">
        <v>2240</v>
      </c>
      <c r="AS57" s="16">
        <v>5478</v>
      </c>
      <c r="AT57" s="16">
        <v>7606</v>
      </c>
      <c r="AU57" s="16">
        <v>2823</v>
      </c>
      <c r="AV57" s="16">
        <v>12478</v>
      </c>
      <c r="AW57" s="16">
        <v>3161</v>
      </c>
      <c r="AX57" s="16">
        <v>8016</v>
      </c>
      <c r="AY57" s="16">
        <v>9046</v>
      </c>
      <c r="AZ57" s="16">
        <v>8354</v>
      </c>
      <c r="BA57" s="16">
        <v>8921</v>
      </c>
      <c r="BB57" s="16">
        <v>12930</v>
      </c>
      <c r="BC57" s="16">
        <v>2562</v>
      </c>
      <c r="BD57" s="16">
        <v>2880</v>
      </c>
      <c r="BE57" s="16">
        <v>1440</v>
      </c>
    </row>
    <row x14ac:dyDescent="0.25" r="58" customHeight="1" ht="18.75">
      <c r="A58" s="18">
        <v>44592</v>
      </c>
      <c r="B58" s="16">
        <v>6.3577</v>
      </c>
      <c r="C58" s="16">
        <v>7.7975</v>
      </c>
      <c r="D58" s="16">
        <v>4563.772</v>
      </c>
      <c r="E58" s="16">
        <v>756.2</v>
      </c>
      <c r="F58" s="16">
        <v>21495</v>
      </c>
      <c r="G58" s="16">
        <v>3100</v>
      </c>
      <c r="H58" s="16">
        <v>2281.5</v>
      </c>
      <c r="I58" s="16">
        <v>829</v>
      </c>
      <c r="J58" s="16">
        <v>4690</v>
      </c>
      <c r="K58" s="16">
        <v>534.5</v>
      </c>
      <c r="L58" s="16">
        <v>17440</v>
      </c>
      <c r="M58" s="16">
        <v>70290</v>
      </c>
      <c r="N58" s="16">
        <v>21950</v>
      </c>
      <c r="O58" s="16">
        <v>25295</v>
      </c>
      <c r="P58" s="16">
        <v>15210</v>
      </c>
      <c r="Q58" s="16">
        <v>163750</v>
      </c>
      <c r="R58" s="16">
        <v>329600</v>
      </c>
      <c r="S58" s="16">
        <v>370.1</v>
      </c>
      <c r="T58" s="16">
        <v>4703</v>
      </c>
      <c r="U58" s="16">
        <v>4829</v>
      </c>
      <c r="V58" s="16">
        <v>5043</v>
      </c>
      <c r="W58" s="16">
        <v>4945</v>
      </c>
      <c r="X58" s="16">
        <v>3199</v>
      </c>
      <c r="Y58" s="16">
        <v>3668</v>
      </c>
      <c r="Z58" s="16">
        <v>14150</v>
      </c>
      <c r="AA58" s="16">
        <v>6296</v>
      </c>
      <c r="AB58" s="16">
        <v>3378</v>
      </c>
      <c r="AC58" s="16">
        <v>9836</v>
      </c>
      <c r="AD58" s="16">
        <v>6216</v>
      </c>
      <c r="AE58" s="16">
        <v>4530</v>
      </c>
      <c r="AF58" s="16">
        <v>9934</v>
      </c>
      <c r="AG58" s="16">
        <v>2763</v>
      </c>
      <c r="AH58" s="16">
        <v>3188</v>
      </c>
      <c r="AI58" s="16">
        <v>13425</v>
      </c>
      <c r="AJ58" s="16">
        <v>4185</v>
      </c>
      <c r="AK58" s="16">
        <v>8890</v>
      </c>
      <c r="AL58" s="16">
        <v>8738</v>
      </c>
      <c r="AM58" s="16">
        <v>8469</v>
      </c>
      <c r="AN58" s="16">
        <v>5437</v>
      </c>
      <c r="AO58" s="16">
        <v>3352</v>
      </c>
      <c r="AP58" s="16">
        <v>9093</v>
      </c>
      <c r="AQ58" s="16">
        <v>5706</v>
      </c>
      <c r="AR58" s="16">
        <v>2240</v>
      </c>
      <c r="AS58" s="16">
        <v>5478</v>
      </c>
      <c r="AT58" s="16">
        <v>7606</v>
      </c>
      <c r="AU58" s="16">
        <v>2823</v>
      </c>
      <c r="AV58" s="16">
        <v>12478</v>
      </c>
      <c r="AW58" s="16">
        <v>3161</v>
      </c>
      <c r="AX58" s="16">
        <v>8016</v>
      </c>
      <c r="AY58" s="16">
        <v>9046</v>
      </c>
      <c r="AZ58" s="16">
        <v>8354</v>
      </c>
      <c r="BA58" s="16">
        <v>8921</v>
      </c>
      <c r="BB58" s="16">
        <v>12930</v>
      </c>
      <c r="BC58" s="16">
        <v>2562</v>
      </c>
      <c r="BD58" s="16">
        <v>2880</v>
      </c>
      <c r="BE58" s="16">
        <v>1418</v>
      </c>
    </row>
    <row x14ac:dyDescent="0.25" r="59" customHeight="1" ht="18.75">
      <c r="A59" s="18">
        <v>44589</v>
      </c>
      <c r="B59" s="16">
        <v>6.3577</v>
      </c>
      <c r="C59" s="16">
        <v>7.7925</v>
      </c>
      <c r="D59" s="16">
        <v>4563.772</v>
      </c>
      <c r="E59" s="16">
        <v>756.2</v>
      </c>
      <c r="F59" s="16">
        <v>21495</v>
      </c>
      <c r="G59" s="16">
        <v>3100</v>
      </c>
      <c r="H59" s="16">
        <v>2281.5</v>
      </c>
      <c r="I59" s="16">
        <v>829</v>
      </c>
      <c r="J59" s="16">
        <v>4690</v>
      </c>
      <c r="K59" s="16">
        <v>534.5</v>
      </c>
      <c r="L59" s="16">
        <v>17440</v>
      </c>
      <c r="M59" s="16">
        <v>70290</v>
      </c>
      <c r="N59" s="16">
        <v>21950</v>
      </c>
      <c r="O59" s="16">
        <v>25295</v>
      </c>
      <c r="P59" s="16">
        <v>15210</v>
      </c>
      <c r="Q59" s="16">
        <v>163750</v>
      </c>
      <c r="R59" s="16">
        <v>329600</v>
      </c>
      <c r="S59" s="16">
        <v>370.1</v>
      </c>
      <c r="T59" s="16">
        <v>4703</v>
      </c>
      <c r="U59" s="16">
        <v>4829</v>
      </c>
      <c r="V59" s="16">
        <v>5043</v>
      </c>
      <c r="W59" s="16">
        <v>4945</v>
      </c>
      <c r="X59" s="16">
        <v>3199</v>
      </c>
      <c r="Y59" s="16">
        <v>3668</v>
      </c>
      <c r="Z59" s="16">
        <v>14150</v>
      </c>
      <c r="AA59" s="16">
        <v>6296</v>
      </c>
      <c r="AB59" s="16">
        <v>3378</v>
      </c>
      <c r="AC59" s="16">
        <v>9836</v>
      </c>
      <c r="AD59" s="16">
        <v>6216</v>
      </c>
      <c r="AE59" s="16">
        <v>4530</v>
      </c>
      <c r="AF59" s="16">
        <v>9934</v>
      </c>
      <c r="AG59" s="16">
        <v>2763</v>
      </c>
      <c r="AH59" s="16">
        <v>3188</v>
      </c>
      <c r="AI59" s="16">
        <v>13425</v>
      </c>
      <c r="AJ59" s="16">
        <v>4185</v>
      </c>
      <c r="AK59" s="16">
        <v>8890</v>
      </c>
      <c r="AL59" s="16">
        <v>8738</v>
      </c>
      <c r="AM59" s="16">
        <v>8469</v>
      </c>
      <c r="AN59" s="16">
        <v>5437</v>
      </c>
      <c r="AO59" s="16">
        <v>3352</v>
      </c>
      <c r="AP59" s="16">
        <v>9093</v>
      </c>
      <c r="AQ59" s="16">
        <v>5706</v>
      </c>
      <c r="AR59" s="16">
        <v>2240</v>
      </c>
      <c r="AS59" s="16">
        <v>5478</v>
      </c>
      <c r="AT59" s="16">
        <v>7606</v>
      </c>
      <c r="AU59" s="16">
        <v>2823</v>
      </c>
      <c r="AV59" s="16">
        <v>12478</v>
      </c>
      <c r="AW59" s="16">
        <v>3161</v>
      </c>
      <c r="AX59" s="16">
        <v>8016</v>
      </c>
      <c r="AY59" s="16">
        <v>9046</v>
      </c>
      <c r="AZ59" s="16">
        <v>8354</v>
      </c>
      <c r="BA59" s="16">
        <v>8921</v>
      </c>
      <c r="BB59" s="16">
        <v>12930</v>
      </c>
      <c r="BC59" s="16">
        <v>2562</v>
      </c>
      <c r="BD59" s="16">
        <v>2880</v>
      </c>
      <c r="BE59" s="16">
        <v>1381</v>
      </c>
    </row>
    <row x14ac:dyDescent="0.25" r="60" customHeight="1" ht="18.75">
      <c r="A60" s="18">
        <v>44588</v>
      </c>
      <c r="B60" s="16">
        <v>6.3648</v>
      </c>
      <c r="C60" s="16">
        <v>7.7901</v>
      </c>
      <c r="D60" s="16">
        <v>4619.8765</v>
      </c>
      <c r="E60" s="16">
        <v>808</v>
      </c>
      <c r="F60" s="16">
        <v>21760</v>
      </c>
      <c r="G60" s="16">
        <v>2962</v>
      </c>
      <c r="H60" s="16">
        <v>2278</v>
      </c>
      <c r="I60" s="16">
        <v>769</v>
      </c>
      <c r="J60" s="16">
        <v>4530</v>
      </c>
      <c r="K60" s="16">
        <v>542.6</v>
      </c>
      <c r="L60" s="16">
        <v>17225</v>
      </c>
      <c r="M60" s="16">
        <v>69780</v>
      </c>
      <c r="N60" s="16">
        <v>21540</v>
      </c>
      <c r="O60" s="16">
        <v>24820</v>
      </c>
      <c r="P60" s="16">
        <v>15395</v>
      </c>
      <c r="Q60" s="16">
        <v>163880</v>
      </c>
      <c r="R60" s="16">
        <v>326760</v>
      </c>
      <c r="S60" s="16">
        <v>371.58</v>
      </c>
      <c r="T60" s="16">
        <v>4777</v>
      </c>
      <c r="U60" s="16">
        <v>4673</v>
      </c>
      <c r="V60" s="16">
        <v>5172</v>
      </c>
      <c r="W60" s="16">
        <v>4795</v>
      </c>
      <c r="X60" s="16">
        <v>3211</v>
      </c>
      <c r="Y60" s="16">
        <v>3618</v>
      </c>
      <c r="Z60" s="16">
        <v>14105</v>
      </c>
      <c r="AA60" s="16">
        <v>5910</v>
      </c>
      <c r="AB60" s="16">
        <v>3338</v>
      </c>
      <c r="AC60" s="16">
        <v>9556</v>
      </c>
      <c r="AD60" s="16">
        <v>6206</v>
      </c>
      <c r="AE60" s="16">
        <v>4485</v>
      </c>
      <c r="AF60" s="16">
        <v>9752</v>
      </c>
      <c r="AG60" s="16">
        <v>2768</v>
      </c>
      <c r="AH60" s="16">
        <v>3144</v>
      </c>
      <c r="AI60" s="16">
        <v>13240</v>
      </c>
      <c r="AJ60" s="16">
        <v>4186</v>
      </c>
      <c r="AK60" s="16">
        <v>9044</v>
      </c>
      <c r="AL60" s="16">
        <v>8845</v>
      </c>
      <c r="AM60" s="16">
        <v>8608</v>
      </c>
      <c r="AN60" s="16">
        <v>5508</v>
      </c>
      <c r="AO60" s="16">
        <v>3348</v>
      </c>
      <c r="AP60" s="16">
        <v>9069</v>
      </c>
      <c r="AQ60" s="16">
        <v>5692</v>
      </c>
      <c r="AR60" s="16">
        <v>2218</v>
      </c>
      <c r="AS60" s="16">
        <v>5496</v>
      </c>
      <c r="AT60" s="16">
        <v>7644</v>
      </c>
      <c r="AU60" s="16">
        <v>2821</v>
      </c>
      <c r="AV60" s="16">
        <v>12248</v>
      </c>
      <c r="AW60" s="16">
        <v>3153</v>
      </c>
      <c r="AX60" s="16">
        <v>7956</v>
      </c>
      <c r="AY60" s="16">
        <v>8678</v>
      </c>
      <c r="AZ60" s="16">
        <v>8036</v>
      </c>
      <c r="BA60" s="16">
        <v>9054</v>
      </c>
      <c r="BB60" s="16">
        <v>13135</v>
      </c>
      <c r="BC60" s="16">
        <v>2602</v>
      </c>
      <c r="BD60" s="16">
        <v>2849</v>
      </c>
      <c r="BE60" s="16">
        <v>1302</v>
      </c>
    </row>
    <row x14ac:dyDescent="0.25" r="61" customHeight="1" ht="18.75">
      <c r="A61" s="18">
        <v>44587</v>
      </c>
      <c r="B61" s="16">
        <v>6.3209</v>
      </c>
      <c r="C61" s="16">
        <v>7.7872</v>
      </c>
      <c r="D61" s="16">
        <v>4712.3109</v>
      </c>
      <c r="E61" s="16">
        <v>788</v>
      </c>
      <c r="F61" s="16">
        <v>21680</v>
      </c>
      <c r="G61" s="16">
        <v>2980</v>
      </c>
      <c r="H61" s="16">
        <v>2204</v>
      </c>
      <c r="I61" s="16">
        <v>776</v>
      </c>
      <c r="J61" s="16">
        <v>4423</v>
      </c>
      <c r="K61" s="16">
        <v>539.1</v>
      </c>
      <c r="L61" s="16">
        <v>17265</v>
      </c>
      <c r="M61" s="16">
        <v>70730</v>
      </c>
      <c r="N61" s="16">
        <v>21525</v>
      </c>
      <c r="O61" s="16">
        <v>24955</v>
      </c>
      <c r="P61" s="16">
        <v>15440</v>
      </c>
      <c r="Q61" s="16">
        <v>165240</v>
      </c>
      <c r="R61" s="16">
        <v>320380</v>
      </c>
      <c r="S61" s="16">
        <v>378.58</v>
      </c>
      <c r="T61" s="16">
        <v>4903</v>
      </c>
      <c r="U61" s="16">
        <v>4694</v>
      </c>
      <c r="V61" s="16">
        <v>5219</v>
      </c>
      <c r="W61" s="16">
        <v>4805</v>
      </c>
      <c r="X61" s="16">
        <v>3165</v>
      </c>
      <c r="Y61" s="16">
        <v>3598</v>
      </c>
      <c r="Z61" s="16">
        <v>14360</v>
      </c>
      <c r="AA61" s="16">
        <v>6014</v>
      </c>
      <c r="AB61" s="16">
        <v>3260</v>
      </c>
      <c r="AC61" s="16">
        <v>9388</v>
      </c>
      <c r="AD61" s="16">
        <v>6238</v>
      </c>
      <c r="AE61" s="16">
        <v>4350</v>
      </c>
      <c r="AF61" s="16">
        <v>9574</v>
      </c>
      <c r="AG61" s="16">
        <v>2775</v>
      </c>
      <c r="AH61" s="16">
        <v>3187</v>
      </c>
      <c r="AI61" s="16">
        <v>13465</v>
      </c>
      <c r="AJ61" s="16">
        <v>4138</v>
      </c>
      <c r="AK61" s="16">
        <v>9064</v>
      </c>
      <c r="AL61" s="16">
        <v>8825</v>
      </c>
      <c r="AM61" s="16">
        <v>8641</v>
      </c>
      <c r="AN61" s="16">
        <v>5369</v>
      </c>
      <c r="AO61" s="16">
        <v>3360</v>
      </c>
      <c r="AP61" s="16">
        <v>8925</v>
      </c>
      <c r="AQ61" s="16">
        <v>5722</v>
      </c>
      <c r="AR61" s="16">
        <v>2135</v>
      </c>
      <c r="AS61" s="16">
        <v>5410</v>
      </c>
      <c r="AT61" s="16">
        <v>7558</v>
      </c>
      <c r="AU61" s="16">
        <v>2821</v>
      </c>
      <c r="AV61" s="16">
        <v>12145</v>
      </c>
      <c r="AW61" s="16">
        <v>3055</v>
      </c>
      <c r="AX61" s="16">
        <v>7902</v>
      </c>
      <c r="AY61" s="16">
        <v>8706</v>
      </c>
      <c r="AZ61" s="16">
        <v>8014</v>
      </c>
      <c r="BA61" s="16">
        <v>8884</v>
      </c>
      <c r="BB61" s="16">
        <v>13225</v>
      </c>
      <c r="BC61" s="16">
        <v>2614</v>
      </c>
      <c r="BD61" s="16">
        <v>2768</v>
      </c>
      <c r="BE61" s="16">
        <v>1296</v>
      </c>
    </row>
    <row x14ac:dyDescent="0.25" r="62" customHeight="1" ht="18.75">
      <c r="A62" s="18">
        <v>44586</v>
      </c>
      <c r="B62" s="16">
        <v>6.3262</v>
      </c>
      <c r="C62" s="16">
        <v>7.7861</v>
      </c>
      <c r="D62" s="16">
        <v>4678.4511</v>
      </c>
      <c r="E62" s="16">
        <v>778</v>
      </c>
      <c r="F62" s="16">
        <v>21670</v>
      </c>
      <c r="G62" s="16">
        <v>2962.5</v>
      </c>
      <c r="H62" s="16">
        <v>2211</v>
      </c>
      <c r="I62" s="16">
        <v>766.5</v>
      </c>
      <c r="J62" s="16">
        <v>4410</v>
      </c>
      <c r="K62" s="16">
        <v>533.8</v>
      </c>
      <c r="L62" s="16">
        <v>17080</v>
      </c>
      <c r="M62" s="16">
        <v>69570</v>
      </c>
      <c r="N62" s="16">
        <v>21055</v>
      </c>
      <c r="O62" s="16">
        <v>24740</v>
      </c>
      <c r="P62" s="16">
        <v>15455</v>
      </c>
      <c r="Q62" s="16">
        <v>163460</v>
      </c>
      <c r="R62" s="16">
        <v>316900</v>
      </c>
      <c r="S62" s="16">
        <v>377.92</v>
      </c>
      <c r="T62" s="16">
        <v>4926</v>
      </c>
      <c r="U62" s="16">
        <v>4722</v>
      </c>
      <c r="V62" s="16">
        <v>5130</v>
      </c>
      <c r="W62" s="16">
        <v>4844</v>
      </c>
      <c r="X62" s="16">
        <v>3109</v>
      </c>
      <c r="Y62" s="16">
        <v>3546</v>
      </c>
      <c r="Z62" s="16">
        <v>14310</v>
      </c>
      <c r="AA62" s="16">
        <v>6008</v>
      </c>
      <c r="AB62" s="16">
        <v>3248</v>
      </c>
      <c r="AC62" s="16">
        <v>9322</v>
      </c>
      <c r="AD62" s="16">
        <v>6137</v>
      </c>
      <c r="AE62" s="16">
        <v>4329</v>
      </c>
      <c r="AF62" s="16">
        <v>9432</v>
      </c>
      <c r="AG62" s="16">
        <v>2758</v>
      </c>
      <c r="AH62" s="16">
        <v>3156</v>
      </c>
      <c r="AI62" s="16">
        <v>13535</v>
      </c>
      <c r="AJ62" s="16">
        <v>4117</v>
      </c>
      <c r="AK62" s="16">
        <v>8891</v>
      </c>
      <c r="AL62" s="16">
        <v>8696</v>
      </c>
      <c r="AM62" s="16">
        <v>8463</v>
      </c>
      <c r="AN62" s="16">
        <v>5196</v>
      </c>
      <c r="AO62" s="16">
        <v>3358</v>
      </c>
      <c r="AP62" s="16">
        <v>8596</v>
      </c>
      <c r="AQ62" s="16">
        <v>5761</v>
      </c>
      <c r="AR62" s="16">
        <v>2119</v>
      </c>
      <c r="AS62" s="16">
        <v>5276</v>
      </c>
      <c r="AT62" s="16">
        <v>7376</v>
      </c>
      <c r="AU62" s="16">
        <v>2779</v>
      </c>
      <c r="AV62" s="16">
        <v>12105</v>
      </c>
      <c r="AW62" s="16">
        <v>3033</v>
      </c>
      <c r="AX62" s="16">
        <v>7880</v>
      </c>
      <c r="AY62" s="16">
        <v>8684</v>
      </c>
      <c r="AZ62" s="16">
        <v>8050</v>
      </c>
      <c r="BA62" s="16">
        <v>8878</v>
      </c>
      <c r="BB62" s="16">
        <v>13180</v>
      </c>
      <c r="BC62" s="16">
        <v>2574</v>
      </c>
      <c r="BD62" s="16">
        <v>2700</v>
      </c>
      <c r="BE62" s="16">
        <v>1343</v>
      </c>
    </row>
    <row x14ac:dyDescent="0.25" r="63" customHeight="1" ht="18.75">
      <c r="A63" s="18">
        <v>44585</v>
      </c>
      <c r="B63" s="16">
        <v>6.3308</v>
      </c>
      <c r="C63" s="16">
        <v>7.7862</v>
      </c>
      <c r="D63" s="16">
        <v>4786.7377</v>
      </c>
      <c r="E63" s="16">
        <v>739.6</v>
      </c>
      <c r="F63" s="16">
        <v>21610</v>
      </c>
      <c r="G63" s="16">
        <v>2900</v>
      </c>
      <c r="H63" s="16">
        <v>2166</v>
      </c>
      <c r="I63" s="16">
        <v>740</v>
      </c>
      <c r="J63" s="16">
        <v>4515</v>
      </c>
      <c r="K63" s="16">
        <v>543.8</v>
      </c>
      <c r="L63" s="16">
        <v>17740</v>
      </c>
      <c r="M63" s="16">
        <v>70480</v>
      </c>
      <c r="N63" s="16">
        <v>21025</v>
      </c>
      <c r="O63" s="16">
        <v>24860</v>
      </c>
      <c r="P63" s="16">
        <v>15700</v>
      </c>
      <c r="Q63" s="16">
        <v>174610</v>
      </c>
      <c r="R63" s="16">
        <v>328310</v>
      </c>
      <c r="S63" s="16">
        <v>377.2</v>
      </c>
      <c r="T63" s="16">
        <v>4985</v>
      </c>
      <c r="U63" s="16">
        <v>4665</v>
      </c>
      <c r="V63" s="16">
        <v>5298</v>
      </c>
      <c r="W63" s="16">
        <v>4773</v>
      </c>
      <c r="X63" s="16">
        <v>3152</v>
      </c>
      <c r="Y63" s="16">
        <v>3572</v>
      </c>
      <c r="Z63" s="16">
        <v>14340</v>
      </c>
      <c r="AA63" s="16">
        <v>6046</v>
      </c>
      <c r="AB63" s="16">
        <v>3253</v>
      </c>
      <c r="AC63" s="16">
        <v>9436</v>
      </c>
      <c r="AD63" s="16">
        <v>6091</v>
      </c>
      <c r="AE63" s="16">
        <v>4460</v>
      </c>
      <c r="AF63" s="16">
        <v>9470</v>
      </c>
      <c r="AG63" s="16">
        <v>2732</v>
      </c>
      <c r="AH63" s="16">
        <v>3149</v>
      </c>
      <c r="AI63" s="16">
        <v>13505</v>
      </c>
      <c r="AJ63" s="16">
        <v>4133</v>
      </c>
      <c r="AK63" s="16">
        <v>8888</v>
      </c>
      <c r="AL63" s="16">
        <v>8676</v>
      </c>
      <c r="AM63" s="16">
        <v>8461</v>
      </c>
      <c r="AN63" s="16">
        <v>5338</v>
      </c>
      <c r="AO63" s="16">
        <v>3337</v>
      </c>
      <c r="AP63" s="16">
        <v>8442</v>
      </c>
      <c r="AQ63" s="16">
        <v>5805</v>
      </c>
      <c r="AR63" s="16">
        <v>2135</v>
      </c>
      <c r="AS63" s="16">
        <v>5344</v>
      </c>
      <c r="AT63" s="16">
        <v>7494</v>
      </c>
      <c r="AU63" s="16">
        <v>2768</v>
      </c>
      <c r="AV63" s="16">
        <v>12265</v>
      </c>
      <c r="AW63" s="16">
        <v>3022</v>
      </c>
      <c r="AX63" s="16">
        <v>7984</v>
      </c>
      <c r="AY63" s="16">
        <v>8890</v>
      </c>
      <c r="AZ63" s="16">
        <v>8106</v>
      </c>
      <c r="BA63" s="16">
        <v>8881</v>
      </c>
      <c r="BB63" s="16">
        <v>13230</v>
      </c>
      <c r="BC63" s="16">
        <v>2594</v>
      </c>
      <c r="BD63" s="16">
        <v>2685</v>
      </c>
      <c r="BE63" s="16">
        <v>1391</v>
      </c>
    </row>
    <row x14ac:dyDescent="0.25" r="64" customHeight="1" ht="18.75">
      <c r="A64" s="18">
        <v>44582</v>
      </c>
      <c r="B64" s="16">
        <v>6.3388</v>
      </c>
      <c r="C64" s="16">
        <v>7.7873</v>
      </c>
      <c r="D64" s="16">
        <v>4779.3142</v>
      </c>
      <c r="E64" s="16">
        <v>767.2</v>
      </c>
      <c r="F64" s="16">
        <v>21660</v>
      </c>
      <c r="G64" s="16">
        <v>2907.5</v>
      </c>
      <c r="H64" s="16">
        <v>2206.5</v>
      </c>
      <c r="I64" s="16">
        <v>755.5</v>
      </c>
      <c r="J64" s="16">
        <v>4820</v>
      </c>
      <c r="K64" s="16">
        <v>536.4</v>
      </c>
      <c r="L64" s="16">
        <v>18500</v>
      </c>
      <c r="M64" s="16">
        <v>71290</v>
      </c>
      <c r="N64" s="16">
        <v>21430</v>
      </c>
      <c r="O64" s="16">
        <v>25215</v>
      </c>
      <c r="P64" s="16">
        <v>15675</v>
      </c>
      <c r="Q64" s="16">
        <v>178040</v>
      </c>
      <c r="R64" s="16">
        <v>333920</v>
      </c>
      <c r="S64" s="16">
        <v>378.22</v>
      </c>
      <c r="T64" s="16">
        <v>5081</v>
      </c>
      <c r="U64" s="16">
        <v>4711</v>
      </c>
      <c r="V64" s="16">
        <v>5062</v>
      </c>
      <c r="W64" s="16">
        <v>4822</v>
      </c>
      <c r="X64" s="16">
        <v>3126</v>
      </c>
      <c r="Y64" s="16">
        <v>3594</v>
      </c>
      <c r="Z64" s="16">
        <v>14615</v>
      </c>
      <c r="AA64" s="16">
        <v>6338</v>
      </c>
      <c r="AB64" s="16">
        <v>3270</v>
      </c>
      <c r="AC64" s="16">
        <v>9550</v>
      </c>
      <c r="AD64" s="16">
        <v>6000</v>
      </c>
      <c r="AE64" s="16">
        <v>4492</v>
      </c>
      <c r="AF64" s="16">
        <v>9526</v>
      </c>
      <c r="AG64" s="16">
        <v>2736</v>
      </c>
      <c r="AH64" s="16">
        <v>3126</v>
      </c>
      <c r="AI64" s="16">
        <v>13850</v>
      </c>
      <c r="AJ64" s="16">
        <v>4054</v>
      </c>
      <c r="AK64" s="16">
        <v>8967</v>
      </c>
      <c r="AL64" s="16">
        <v>8856</v>
      </c>
      <c r="AM64" s="16">
        <v>8535</v>
      </c>
      <c r="AN64" s="16">
        <v>5237</v>
      </c>
      <c r="AO64" s="16">
        <v>3337</v>
      </c>
      <c r="AP64" s="16">
        <v>8325</v>
      </c>
      <c r="AQ64" s="16">
        <v>5807</v>
      </c>
      <c r="AR64" s="16">
        <v>2190</v>
      </c>
      <c r="AS64" s="16">
        <v>5254</v>
      </c>
      <c r="AT64" s="16">
        <v>7344</v>
      </c>
      <c r="AU64" s="16">
        <v>2795</v>
      </c>
      <c r="AV64" s="16">
        <v>12424</v>
      </c>
      <c r="AW64" s="16">
        <v>3004</v>
      </c>
      <c r="AX64" s="16">
        <v>7992</v>
      </c>
      <c r="AY64" s="16">
        <v>9018</v>
      </c>
      <c r="AZ64" s="16">
        <v>8050</v>
      </c>
      <c r="BA64" s="16">
        <v>8947</v>
      </c>
      <c r="BB64" s="16">
        <v>13565</v>
      </c>
      <c r="BC64" s="16">
        <v>2611</v>
      </c>
      <c r="BD64" s="16">
        <v>2712</v>
      </c>
      <c r="BE64" s="16">
        <v>1415</v>
      </c>
    </row>
    <row x14ac:dyDescent="0.25" r="65" customHeight="1" ht="18.75">
      <c r="A65" s="18">
        <v>44581</v>
      </c>
      <c r="B65" s="16">
        <v>6.3411</v>
      </c>
      <c r="C65" s="16">
        <v>7.7864</v>
      </c>
      <c r="D65" s="16">
        <v>4823.5091</v>
      </c>
      <c r="E65" s="16">
        <v>774.8</v>
      </c>
      <c r="F65" s="16">
        <v>21785</v>
      </c>
      <c r="G65" s="16">
        <v>3008</v>
      </c>
      <c r="H65" s="16">
        <v>2312</v>
      </c>
      <c r="I65" s="16">
        <v>742</v>
      </c>
      <c r="J65" s="16">
        <v>4801</v>
      </c>
      <c r="K65" s="16">
        <v>545.4</v>
      </c>
      <c r="L65" s="16">
        <v>18820</v>
      </c>
      <c r="M65" s="16">
        <v>71180</v>
      </c>
      <c r="N65" s="16">
        <v>21485</v>
      </c>
      <c r="O65" s="16">
        <v>25210</v>
      </c>
      <c r="P65" s="16">
        <v>15815</v>
      </c>
      <c r="Q65" s="16">
        <v>176280</v>
      </c>
      <c r="R65" s="16">
        <v>333140</v>
      </c>
      <c r="S65" s="16">
        <v>378.4</v>
      </c>
      <c r="T65" s="16">
        <v>4984</v>
      </c>
      <c r="U65" s="16">
        <v>4713</v>
      </c>
      <c r="V65" s="16">
        <v>4892</v>
      </c>
      <c r="W65" s="16">
        <v>4815</v>
      </c>
      <c r="X65" s="16">
        <v>3159</v>
      </c>
      <c r="Y65" s="16">
        <v>3646</v>
      </c>
      <c r="Z65" s="16">
        <v>14940</v>
      </c>
      <c r="AA65" s="16">
        <v>6216</v>
      </c>
      <c r="AB65" s="16">
        <v>3243</v>
      </c>
      <c r="AC65" s="16">
        <v>9416</v>
      </c>
      <c r="AD65" s="16">
        <v>5959</v>
      </c>
      <c r="AE65" s="16">
        <v>4475</v>
      </c>
      <c r="AF65" s="16">
        <v>9414</v>
      </c>
      <c r="AG65" s="16">
        <v>2756</v>
      </c>
      <c r="AH65" s="16">
        <v>3138</v>
      </c>
      <c r="AI65" s="16">
        <v>13830</v>
      </c>
      <c r="AJ65" s="16">
        <v>4039</v>
      </c>
      <c r="AK65" s="16">
        <v>8989</v>
      </c>
      <c r="AL65" s="16">
        <v>8848</v>
      </c>
      <c r="AM65" s="16">
        <v>8576</v>
      </c>
      <c r="AN65" s="16">
        <v>5386</v>
      </c>
      <c r="AO65" s="16">
        <v>3342</v>
      </c>
      <c r="AP65" s="16">
        <v>8590</v>
      </c>
      <c r="AQ65" s="16">
        <v>5868</v>
      </c>
      <c r="AR65" s="16">
        <v>2126</v>
      </c>
      <c r="AS65" s="16">
        <v>5372</v>
      </c>
      <c r="AT65" s="16">
        <v>7516</v>
      </c>
      <c r="AU65" s="16">
        <v>2798</v>
      </c>
      <c r="AV65" s="16">
        <v>12270</v>
      </c>
      <c r="AW65" s="16">
        <v>2959</v>
      </c>
      <c r="AX65" s="16">
        <v>8014</v>
      </c>
      <c r="AY65" s="16">
        <v>9186</v>
      </c>
      <c r="AZ65" s="16">
        <v>8288</v>
      </c>
      <c r="BA65" s="16">
        <v>8849</v>
      </c>
      <c r="BB65" s="16">
        <v>13800</v>
      </c>
      <c r="BC65" s="16">
        <v>2589</v>
      </c>
      <c r="BD65" s="16">
        <v>2574</v>
      </c>
      <c r="BE65" s="16">
        <v>1474</v>
      </c>
    </row>
    <row x14ac:dyDescent="0.25" r="66" customHeight="1" ht="18.75">
      <c r="A66" s="18">
        <v>44580</v>
      </c>
      <c r="B66" s="16">
        <v>6.3451</v>
      </c>
      <c r="C66" s="16">
        <v>7.7892</v>
      </c>
      <c r="D66" s="16">
        <v>4780.3784</v>
      </c>
      <c r="E66" s="16">
        <v>774.8</v>
      </c>
      <c r="F66" s="16">
        <v>21760</v>
      </c>
      <c r="G66" s="16">
        <v>2946</v>
      </c>
      <c r="H66" s="16">
        <v>2257</v>
      </c>
      <c r="I66" s="16">
        <v>735</v>
      </c>
      <c r="J66" s="16">
        <v>4658</v>
      </c>
      <c r="K66" s="16">
        <v>544.6</v>
      </c>
      <c r="L66" s="16">
        <v>17765</v>
      </c>
      <c r="M66" s="16">
        <v>70020</v>
      </c>
      <c r="N66" s="16">
        <v>21530</v>
      </c>
      <c r="O66" s="16">
        <v>24780</v>
      </c>
      <c r="P66" s="16">
        <v>15510</v>
      </c>
      <c r="Q66" s="16">
        <v>163760</v>
      </c>
      <c r="R66" s="16">
        <v>318500</v>
      </c>
      <c r="S66" s="16">
        <v>373.06</v>
      </c>
      <c r="T66" s="16">
        <v>4913</v>
      </c>
      <c r="U66" s="16">
        <v>4713</v>
      </c>
      <c r="V66" s="16">
        <v>4839</v>
      </c>
      <c r="W66" s="16">
        <v>4815</v>
      </c>
      <c r="X66" s="16">
        <v>3124</v>
      </c>
      <c r="Y66" s="16">
        <v>3554</v>
      </c>
      <c r="Z66" s="16">
        <v>14900</v>
      </c>
      <c r="AA66" s="16">
        <v>6252</v>
      </c>
      <c r="AB66" s="16">
        <v>3177</v>
      </c>
      <c r="AC66" s="16">
        <v>9234</v>
      </c>
      <c r="AD66" s="16">
        <v>5885</v>
      </c>
      <c r="AE66" s="16">
        <v>4406</v>
      </c>
      <c r="AF66" s="16">
        <v>9286</v>
      </c>
      <c r="AG66" s="16">
        <v>2733</v>
      </c>
      <c r="AH66" s="16">
        <v>3126</v>
      </c>
      <c r="AI66" s="16">
        <v>13785</v>
      </c>
      <c r="AJ66" s="16">
        <v>4028</v>
      </c>
      <c r="AK66" s="16">
        <v>8932</v>
      </c>
      <c r="AL66" s="16">
        <v>8715</v>
      </c>
      <c r="AM66" s="16">
        <v>8516</v>
      </c>
      <c r="AN66" s="16">
        <v>5335</v>
      </c>
      <c r="AO66" s="16">
        <v>3345</v>
      </c>
      <c r="AP66" s="16">
        <v>8658</v>
      </c>
      <c r="AQ66" s="16">
        <v>5828</v>
      </c>
      <c r="AR66" s="16">
        <v>2131</v>
      </c>
      <c r="AS66" s="16">
        <v>5394</v>
      </c>
      <c r="AT66" s="16">
        <v>7552</v>
      </c>
      <c r="AU66" s="16">
        <v>2811</v>
      </c>
      <c r="AV66" s="16">
        <v>12046</v>
      </c>
      <c r="AW66" s="16">
        <v>2899</v>
      </c>
      <c r="AX66" s="16">
        <v>8010</v>
      </c>
      <c r="AY66" s="16">
        <v>9082</v>
      </c>
      <c r="AZ66" s="16">
        <v>8292</v>
      </c>
      <c r="BA66" s="16">
        <v>8616</v>
      </c>
      <c r="BB66" s="16">
        <v>13490</v>
      </c>
      <c r="BC66" s="16">
        <v>2577</v>
      </c>
      <c r="BD66" s="16">
        <v>2596</v>
      </c>
      <c r="BE66" s="16">
        <v>1570</v>
      </c>
    </row>
    <row x14ac:dyDescent="0.25" r="67" customHeight="1" ht="18.75">
      <c r="A67" s="18">
        <v>44579</v>
      </c>
      <c r="B67" s="16">
        <v>6.353</v>
      </c>
      <c r="C67" s="16">
        <v>7.7922</v>
      </c>
      <c r="D67" s="16">
        <v>4813.3472</v>
      </c>
      <c r="E67" s="16">
        <v>749.4</v>
      </c>
      <c r="F67" s="16">
        <v>21475</v>
      </c>
      <c r="G67" s="16">
        <v>2992.5</v>
      </c>
      <c r="H67" s="16">
        <v>2312</v>
      </c>
      <c r="I67" s="16">
        <v>715</v>
      </c>
      <c r="J67" s="16">
        <v>4674</v>
      </c>
      <c r="K67" s="16">
        <v>543.4</v>
      </c>
      <c r="L67" s="16">
        <v>17970</v>
      </c>
      <c r="M67" s="16">
        <v>70100</v>
      </c>
      <c r="N67" s="16">
        <v>21290</v>
      </c>
      <c r="O67" s="16">
        <v>24595</v>
      </c>
      <c r="P67" s="16">
        <v>15615</v>
      </c>
      <c r="Q67" s="16">
        <v>164170</v>
      </c>
      <c r="R67" s="16">
        <v>317600</v>
      </c>
      <c r="S67" s="16">
        <v>371.76</v>
      </c>
      <c r="T67" s="16">
        <v>4763</v>
      </c>
      <c r="U67" s="16">
        <v>4599</v>
      </c>
      <c r="V67" s="16">
        <v>4741</v>
      </c>
      <c r="W67" s="16">
        <v>4709</v>
      </c>
      <c r="X67" s="16">
        <v>3095</v>
      </c>
      <c r="Y67" s="16">
        <v>3496</v>
      </c>
      <c r="Z67" s="16">
        <v>14840</v>
      </c>
      <c r="AA67" s="16">
        <v>6118</v>
      </c>
      <c r="AB67" s="16">
        <v>3156</v>
      </c>
      <c r="AC67" s="16">
        <v>9196</v>
      </c>
      <c r="AD67" s="16">
        <v>5841</v>
      </c>
      <c r="AE67" s="16">
        <v>4370</v>
      </c>
      <c r="AF67" s="16">
        <v>9166</v>
      </c>
      <c r="AG67" s="16">
        <v>2719</v>
      </c>
      <c r="AH67" s="16">
        <v>3071</v>
      </c>
      <c r="AI67" s="16">
        <v>13890</v>
      </c>
      <c r="AJ67" s="16">
        <v>4013</v>
      </c>
      <c r="AK67" s="16">
        <v>8888</v>
      </c>
      <c r="AL67" s="16">
        <v>8661</v>
      </c>
      <c r="AM67" s="16">
        <v>8450</v>
      </c>
      <c r="AN67" s="16">
        <v>5313</v>
      </c>
      <c r="AO67" s="16">
        <v>3336</v>
      </c>
      <c r="AP67" s="16">
        <v>8590</v>
      </c>
      <c r="AQ67" s="16">
        <v>5828</v>
      </c>
      <c r="AR67" s="16">
        <v>2085</v>
      </c>
      <c r="AS67" s="16">
        <v>5394</v>
      </c>
      <c r="AT67" s="16">
        <v>7534</v>
      </c>
      <c r="AU67" s="16">
        <v>2774</v>
      </c>
      <c r="AV67" s="16">
        <v>11911</v>
      </c>
      <c r="AW67" s="16">
        <v>2872</v>
      </c>
      <c r="AX67" s="16">
        <v>7994</v>
      </c>
      <c r="AY67" s="16">
        <v>9078</v>
      </c>
      <c r="AZ67" s="16">
        <v>8214</v>
      </c>
      <c r="BA67" s="16">
        <v>8547</v>
      </c>
      <c r="BB67" s="16">
        <v>13425</v>
      </c>
      <c r="BC67" s="16">
        <v>2510</v>
      </c>
      <c r="BD67" s="16">
        <v>2558</v>
      </c>
      <c r="BE67" s="16">
        <v>1644</v>
      </c>
    </row>
    <row x14ac:dyDescent="0.25" r="68" customHeight="1" ht="18.75">
      <c r="A68" s="18">
        <v>44578</v>
      </c>
      <c r="B68" s="16">
        <v>6.3484</v>
      </c>
      <c r="C68" s="16">
        <v>7.7902</v>
      </c>
      <c r="D68" s="16">
        <v>4767.2762</v>
      </c>
      <c r="E68" s="16">
        <v>714.8</v>
      </c>
      <c r="F68" s="16">
        <v>21570</v>
      </c>
      <c r="G68" s="16">
        <v>2914.5</v>
      </c>
      <c r="H68" s="16">
        <v>2197</v>
      </c>
      <c r="I68" s="16">
        <v>705</v>
      </c>
      <c r="J68" s="16">
        <v>4641</v>
      </c>
      <c r="K68" s="16">
        <v>534.8</v>
      </c>
      <c r="L68" s="16">
        <v>17480</v>
      </c>
      <c r="M68" s="16">
        <v>70170</v>
      </c>
      <c r="N68" s="16">
        <v>21125</v>
      </c>
      <c r="O68" s="16">
        <v>24545</v>
      </c>
      <c r="P68" s="16">
        <v>15660</v>
      </c>
      <c r="Q68" s="16">
        <v>162580</v>
      </c>
      <c r="R68" s="16">
        <v>308080</v>
      </c>
      <c r="S68" s="16">
        <v>372.52</v>
      </c>
      <c r="T68" s="16">
        <v>4760</v>
      </c>
      <c r="U68" s="16">
        <v>4553</v>
      </c>
      <c r="V68" s="16">
        <v>4660</v>
      </c>
      <c r="W68" s="16">
        <v>4665</v>
      </c>
      <c r="X68" s="16">
        <v>3040</v>
      </c>
      <c r="Y68" s="16">
        <v>3414</v>
      </c>
      <c r="Z68" s="16">
        <v>14920</v>
      </c>
      <c r="AA68" s="16">
        <v>6120</v>
      </c>
      <c r="AB68" s="16">
        <v>3170</v>
      </c>
      <c r="AC68" s="16">
        <v>9124</v>
      </c>
      <c r="AD68" s="16">
        <v>5816</v>
      </c>
      <c r="AE68" s="16">
        <v>4343</v>
      </c>
      <c r="AF68" s="16">
        <v>9040</v>
      </c>
      <c r="AG68" s="16">
        <v>2721</v>
      </c>
      <c r="AH68" s="16">
        <v>3062</v>
      </c>
      <c r="AI68" s="16">
        <v>13790</v>
      </c>
      <c r="AJ68" s="16">
        <v>4029</v>
      </c>
      <c r="AK68" s="16">
        <v>8774</v>
      </c>
      <c r="AL68" s="16">
        <v>8575</v>
      </c>
      <c r="AM68" s="16">
        <v>8340</v>
      </c>
      <c r="AN68" s="16">
        <v>5312</v>
      </c>
      <c r="AO68" s="16">
        <v>3363</v>
      </c>
      <c r="AP68" s="16">
        <v>8734</v>
      </c>
      <c r="AQ68" s="16">
        <v>5827</v>
      </c>
      <c r="AR68" s="16">
        <v>2068</v>
      </c>
      <c r="AS68" s="16">
        <v>5330</v>
      </c>
      <c r="AT68" s="16">
        <v>7452</v>
      </c>
      <c r="AU68" s="16">
        <v>2716</v>
      </c>
      <c r="AV68" s="16">
        <v>11728</v>
      </c>
      <c r="AW68" s="16">
        <v>2868</v>
      </c>
      <c r="AX68" s="16">
        <v>8084</v>
      </c>
      <c r="AY68" s="16">
        <v>8908</v>
      </c>
      <c r="AZ68" s="16">
        <v>8132</v>
      </c>
      <c r="BA68" s="16">
        <v>8286</v>
      </c>
      <c r="BB68" s="16">
        <v>13405</v>
      </c>
      <c r="BC68" s="16">
        <v>2494</v>
      </c>
      <c r="BD68" s="16">
        <v>2553</v>
      </c>
      <c r="BE68" s="16">
        <v>1731</v>
      </c>
    </row>
    <row x14ac:dyDescent="0.25" r="69" customHeight="1" ht="18.75">
      <c r="A69" s="18">
        <v>44575</v>
      </c>
      <c r="B69" s="16">
        <v>6.3528</v>
      </c>
      <c r="C69" s="16">
        <v>7.785</v>
      </c>
      <c r="D69" s="16">
        <v>4726.7317</v>
      </c>
      <c r="E69" s="16">
        <v>692.4</v>
      </c>
      <c r="F69" s="16">
        <v>21335</v>
      </c>
      <c r="G69" s="16">
        <v>3082</v>
      </c>
      <c r="H69" s="16">
        <v>2299.5</v>
      </c>
      <c r="I69" s="16">
        <v>722</v>
      </c>
      <c r="J69" s="16">
        <v>4783</v>
      </c>
      <c r="K69" s="16">
        <v>527</v>
      </c>
      <c r="L69" s="16">
        <v>17895</v>
      </c>
      <c r="M69" s="16">
        <v>71460</v>
      </c>
      <c r="N69" s="16">
        <v>21160</v>
      </c>
      <c r="O69" s="16">
        <v>24975</v>
      </c>
      <c r="P69" s="16">
        <v>15655</v>
      </c>
      <c r="Q69" s="16">
        <v>167260</v>
      </c>
      <c r="R69" s="16">
        <v>309340</v>
      </c>
      <c r="S69" s="16">
        <v>374.58</v>
      </c>
      <c r="T69" s="16">
        <v>4796</v>
      </c>
      <c r="U69" s="16">
        <v>4664</v>
      </c>
      <c r="V69" s="16">
        <v>4779</v>
      </c>
      <c r="W69" s="16">
        <v>4772</v>
      </c>
      <c r="X69" s="16">
        <v>2997</v>
      </c>
      <c r="Y69" s="16">
        <v>3412</v>
      </c>
      <c r="Z69" s="16">
        <v>15185</v>
      </c>
      <c r="AA69" s="16">
        <v>6290</v>
      </c>
      <c r="AB69" s="16">
        <v>3186</v>
      </c>
      <c r="AC69" s="16">
        <v>9164</v>
      </c>
      <c r="AD69" s="16">
        <v>5773</v>
      </c>
      <c r="AE69" s="16">
        <v>4348</v>
      </c>
      <c r="AF69" s="16">
        <v>9062</v>
      </c>
      <c r="AG69" s="16">
        <v>2735</v>
      </c>
      <c r="AH69" s="16">
        <v>3088</v>
      </c>
      <c r="AI69" s="16">
        <v>13760</v>
      </c>
      <c r="AJ69" s="16">
        <v>4071</v>
      </c>
      <c r="AK69" s="16">
        <v>8859</v>
      </c>
      <c r="AL69" s="16">
        <v>8776</v>
      </c>
      <c r="AM69" s="16">
        <v>8447</v>
      </c>
      <c r="AN69" s="16">
        <v>5361</v>
      </c>
      <c r="AO69" s="16">
        <v>3358</v>
      </c>
      <c r="AP69" s="16">
        <v>8733</v>
      </c>
      <c r="AQ69" s="16">
        <v>5823</v>
      </c>
      <c r="AR69" s="16">
        <v>2068</v>
      </c>
      <c r="AS69" s="16">
        <v>5386</v>
      </c>
      <c r="AT69" s="16">
        <v>7500</v>
      </c>
      <c r="AU69" s="16">
        <v>2713</v>
      </c>
      <c r="AV69" s="16">
        <v>11802</v>
      </c>
      <c r="AW69" s="16">
        <v>2890</v>
      </c>
      <c r="AX69" s="16">
        <v>7948</v>
      </c>
      <c r="AY69" s="16">
        <v>9238</v>
      </c>
      <c r="AZ69" s="16">
        <v>8586</v>
      </c>
      <c r="BA69" s="16">
        <v>8553</v>
      </c>
      <c r="BB69" s="16">
        <v>13480</v>
      </c>
      <c r="BC69" s="16">
        <v>2538</v>
      </c>
      <c r="BD69" s="16">
        <v>2593</v>
      </c>
      <c r="BE69" s="16">
        <v>1764</v>
      </c>
    </row>
    <row x14ac:dyDescent="0.25" r="70" customHeight="1" ht="18.75">
      <c r="A70" s="18">
        <v>44574</v>
      </c>
      <c r="B70" s="16">
        <v>6.3596</v>
      </c>
      <c r="C70" s="16">
        <v>7.7867</v>
      </c>
      <c r="D70" s="16">
        <v>4765.9191</v>
      </c>
      <c r="E70" s="16">
        <v>689</v>
      </c>
      <c r="F70" s="16">
        <v>21355</v>
      </c>
      <c r="G70" s="16">
        <v>3106</v>
      </c>
      <c r="H70" s="16">
        <v>2304.5</v>
      </c>
      <c r="I70" s="16">
        <v>726</v>
      </c>
      <c r="J70" s="16">
        <v>4776</v>
      </c>
      <c r="K70" s="16">
        <v>524.1</v>
      </c>
      <c r="L70" s="16">
        <v>17650</v>
      </c>
      <c r="M70" s="16">
        <v>71440</v>
      </c>
      <c r="N70" s="16">
        <v>21375</v>
      </c>
      <c r="O70" s="16">
        <v>24810</v>
      </c>
      <c r="P70" s="16">
        <v>15365</v>
      </c>
      <c r="Q70" s="16">
        <v>162120</v>
      </c>
      <c r="R70" s="16">
        <v>308310</v>
      </c>
      <c r="S70" s="16">
        <v>374.92</v>
      </c>
      <c r="T70" s="16">
        <v>4787</v>
      </c>
      <c r="U70" s="16">
        <v>4633</v>
      </c>
      <c r="V70" s="16">
        <v>4784</v>
      </c>
      <c r="W70" s="16">
        <v>4739</v>
      </c>
      <c r="X70" s="16">
        <v>2958</v>
      </c>
      <c r="Y70" s="16">
        <v>3368</v>
      </c>
      <c r="Z70" s="16">
        <v>14925</v>
      </c>
      <c r="AA70" s="16">
        <v>6236</v>
      </c>
      <c r="AB70" s="16">
        <v>3243</v>
      </c>
      <c r="AC70" s="16">
        <v>9118</v>
      </c>
      <c r="AD70" s="16">
        <v>5720</v>
      </c>
      <c r="AE70" s="16">
        <v>4414</v>
      </c>
      <c r="AF70" s="16">
        <v>8982</v>
      </c>
      <c r="AG70" s="16">
        <v>2719</v>
      </c>
      <c r="AH70" s="16">
        <v>3077</v>
      </c>
      <c r="AI70" s="16">
        <v>13710</v>
      </c>
      <c r="AJ70" s="16">
        <v>4140</v>
      </c>
      <c r="AK70" s="16">
        <v>8754</v>
      </c>
      <c r="AL70" s="16">
        <v>8501</v>
      </c>
      <c r="AM70" s="16">
        <v>8332</v>
      </c>
      <c r="AN70" s="16">
        <v>5199</v>
      </c>
      <c r="AO70" s="16">
        <v>3361</v>
      </c>
      <c r="AP70" s="16">
        <v>8494</v>
      </c>
      <c r="AQ70" s="16">
        <v>5805</v>
      </c>
      <c r="AR70" s="16">
        <v>1942</v>
      </c>
      <c r="AS70" s="16">
        <v>5256</v>
      </c>
      <c r="AT70" s="16">
        <v>7344</v>
      </c>
      <c r="AU70" s="16">
        <v>2609</v>
      </c>
      <c r="AV70" s="16">
        <v>11894</v>
      </c>
      <c r="AW70" s="16">
        <v>2946</v>
      </c>
      <c r="AX70" s="16">
        <v>7862</v>
      </c>
      <c r="AY70" s="16">
        <v>9044</v>
      </c>
      <c r="AZ70" s="16">
        <v>8554</v>
      </c>
      <c r="BA70" s="16">
        <v>8441</v>
      </c>
      <c r="BB70" s="16">
        <v>12860</v>
      </c>
      <c r="BC70" s="16">
        <v>2523</v>
      </c>
      <c r="BD70" s="16">
        <v>2461</v>
      </c>
      <c r="BE70" s="16">
        <v>1873</v>
      </c>
    </row>
    <row x14ac:dyDescent="0.25" r="71" customHeight="1" ht="18.75">
      <c r="A71" s="18">
        <v>44573</v>
      </c>
      <c r="B71" s="16">
        <v>6.3585</v>
      </c>
      <c r="C71" s="16">
        <v>7.7908</v>
      </c>
      <c r="D71" s="16">
        <v>4845.5787</v>
      </c>
      <c r="E71" s="16">
        <v>692.8</v>
      </c>
      <c r="F71" s="16">
        <v>21120</v>
      </c>
      <c r="G71" s="16">
        <v>3181</v>
      </c>
      <c r="H71" s="16">
        <v>2350.5</v>
      </c>
      <c r="I71" s="16">
        <v>737.5</v>
      </c>
      <c r="J71" s="16">
        <v>4881</v>
      </c>
      <c r="K71" s="16">
        <v>518.4</v>
      </c>
      <c r="L71" s="16">
        <v>18145</v>
      </c>
      <c r="M71" s="16">
        <v>71170</v>
      </c>
      <c r="N71" s="16">
        <v>21605</v>
      </c>
      <c r="O71" s="16">
        <v>24885</v>
      </c>
      <c r="P71" s="16">
        <v>15310</v>
      </c>
      <c r="Q71" s="16">
        <v>162340</v>
      </c>
      <c r="R71" s="16">
        <v>310520</v>
      </c>
      <c r="S71" s="16">
        <v>373.92</v>
      </c>
      <c r="T71" s="16">
        <v>4740</v>
      </c>
      <c r="U71" s="16">
        <v>4632</v>
      </c>
      <c r="V71" s="16">
        <v>4880</v>
      </c>
      <c r="W71" s="16">
        <v>4751</v>
      </c>
      <c r="X71" s="16">
        <v>2943</v>
      </c>
      <c r="Y71" s="16">
        <v>3398</v>
      </c>
      <c r="Z71" s="16">
        <v>15090</v>
      </c>
      <c r="AA71" s="16">
        <v>6266</v>
      </c>
      <c r="AB71" s="16">
        <v>3247</v>
      </c>
      <c r="AC71" s="16">
        <v>9058</v>
      </c>
      <c r="AD71" s="16">
        <v>5769</v>
      </c>
      <c r="AE71" s="16">
        <v>4377</v>
      </c>
      <c r="AF71" s="16">
        <v>8914</v>
      </c>
      <c r="AG71" s="16">
        <v>2720</v>
      </c>
      <c r="AH71" s="16">
        <v>3074</v>
      </c>
      <c r="AI71" s="16">
        <v>13755</v>
      </c>
      <c r="AJ71" s="16">
        <v>4142</v>
      </c>
      <c r="AK71" s="16">
        <v>8775</v>
      </c>
      <c r="AL71" s="16">
        <v>8507</v>
      </c>
      <c r="AM71" s="16">
        <v>8307</v>
      </c>
      <c r="AN71" s="16">
        <v>5138</v>
      </c>
      <c r="AO71" s="16">
        <v>3367</v>
      </c>
      <c r="AP71" s="16">
        <v>8635</v>
      </c>
      <c r="AQ71" s="16">
        <v>5798</v>
      </c>
      <c r="AR71" s="16">
        <v>1964</v>
      </c>
      <c r="AS71" s="16">
        <v>5236</v>
      </c>
      <c r="AT71" s="16">
        <v>7320</v>
      </c>
      <c r="AU71" s="16">
        <v>2576</v>
      </c>
      <c r="AV71" s="16">
        <v>11953</v>
      </c>
      <c r="AW71" s="16">
        <v>2956</v>
      </c>
      <c r="AX71" s="16">
        <v>7890</v>
      </c>
      <c r="AY71" s="16">
        <v>8746</v>
      </c>
      <c r="AZ71" s="16">
        <v>8480</v>
      </c>
      <c r="BA71" s="16">
        <v>8480</v>
      </c>
      <c r="BB71" s="16">
        <v>12825</v>
      </c>
      <c r="BC71" s="16">
        <v>2541</v>
      </c>
      <c r="BD71" s="16">
        <v>2486</v>
      </c>
      <c r="BE71" s="16">
        <v>2027</v>
      </c>
    </row>
    <row x14ac:dyDescent="0.25" r="72" customHeight="1" ht="18.75">
      <c r="A72" s="18">
        <v>44572</v>
      </c>
      <c r="B72" s="16">
        <v>6.374</v>
      </c>
      <c r="C72" s="16">
        <v>7.7953</v>
      </c>
      <c r="D72" s="16">
        <v>4797.7735</v>
      </c>
      <c r="E72" s="16">
        <v>683</v>
      </c>
      <c r="F72" s="16">
        <v>21115</v>
      </c>
      <c r="G72" s="16">
        <v>3171</v>
      </c>
      <c r="H72" s="16">
        <v>2295</v>
      </c>
      <c r="I72" s="16">
        <v>723.5</v>
      </c>
      <c r="J72" s="16">
        <v>4975</v>
      </c>
      <c r="K72" s="16">
        <v>504.6</v>
      </c>
      <c r="L72" s="16">
        <v>17760</v>
      </c>
      <c r="M72" s="16">
        <v>69720</v>
      </c>
      <c r="N72" s="16">
        <v>21495</v>
      </c>
      <c r="O72" s="16">
        <v>24240</v>
      </c>
      <c r="P72" s="16">
        <v>15190</v>
      </c>
      <c r="Q72" s="16">
        <v>158960</v>
      </c>
      <c r="R72" s="16">
        <v>299590</v>
      </c>
      <c r="S72" s="16">
        <v>371.94</v>
      </c>
      <c r="T72" s="16">
        <v>4697</v>
      </c>
      <c r="U72" s="16">
        <v>4589</v>
      </c>
      <c r="V72" s="16">
        <v>4760</v>
      </c>
      <c r="W72" s="16">
        <v>4719</v>
      </c>
      <c r="X72" s="16">
        <v>2897</v>
      </c>
      <c r="Y72" s="16">
        <v>3362</v>
      </c>
      <c r="Z72" s="16">
        <v>15020</v>
      </c>
      <c r="AA72" s="16">
        <v>6114</v>
      </c>
      <c r="AB72" s="16">
        <v>3229</v>
      </c>
      <c r="AC72" s="16">
        <v>9114</v>
      </c>
      <c r="AD72" s="16">
        <v>5772</v>
      </c>
      <c r="AE72" s="16">
        <v>4397</v>
      </c>
      <c r="AF72" s="16">
        <v>8924</v>
      </c>
      <c r="AG72" s="16">
        <v>2696</v>
      </c>
      <c r="AH72" s="16">
        <v>2989</v>
      </c>
      <c r="AI72" s="16">
        <v>13665</v>
      </c>
      <c r="AJ72" s="16">
        <v>4104</v>
      </c>
      <c r="AK72" s="16">
        <v>8638</v>
      </c>
      <c r="AL72" s="16">
        <v>8360</v>
      </c>
      <c r="AM72" s="16">
        <v>8224</v>
      </c>
      <c r="AN72" s="16">
        <v>5103</v>
      </c>
      <c r="AO72" s="16">
        <v>3343</v>
      </c>
      <c r="AP72" s="16">
        <v>8475</v>
      </c>
      <c r="AQ72" s="16">
        <v>5745</v>
      </c>
      <c r="AR72" s="16">
        <v>1923</v>
      </c>
      <c r="AS72" s="16">
        <v>5232</v>
      </c>
      <c r="AT72" s="16">
        <v>7274</v>
      </c>
      <c r="AU72" s="16">
        <v>2559</v>
      </c>
      <c r="AV72" s="16">
        <v>11985</v>
      </c>
      <c r="AW72" s="16">
        <v>2930</v>
      </c>
      <c r="AX72" s="16">
        <v>7836</v>
      </c>
      <c r="AY72" s="16">
        <v>8638</v>
      </c>
      <c r="AZ72" s="16">
        <v>8434</v>
      </c>
      <c r="BA72" s="16">
        <v>8580</v>
      </c>
      <c r="BB72" s="16">
        <v>12935</v>
      </c>
      <c r="BC72" s="16">
        <v>2533</v>
      </c>
      <c r="BD72" s="16">
        <v>2470</v>
      </c>
      <c r="BE72" s="16">
        <v>2151</v>
      </c>
    </row>
    <row x14ac:dyDescent="0.25" r="73" customHeight="1" ht="18.75">
      <c r="A73" s="18">
        <v>44571</v>
      </c>
      <c r="B73" s="16">
        <v>6.3761</v>
      </c>
      <c r="C73" s="16">
        <v>7.7953</v>
      </c>
      <c r="D73" s="16">
        <v>4844.0451</v>
      </c>
      <c r="E73" s="16">
        <v>700</v>
      </c>
      <c r="F73" s="16">
        <v>21165</v>
      </c>
      <c r="G73" s="16">
        <v>3178.5</v>
      </c>
      <c r="H73" s="16">
        <v>2285.5</v>
      </c>
      <c r="I73" s="16">
        <v>699.5</v>
      </c>
      <c r="J73" s="16">
        <v>5037</v>
      </c>
      <c r="K73" s="16">
        <v>512</v>
      </c>
      <c r="L73" s="16">
        <v>17400</v>
      </c>
      <c r="M73" s="16">
        <v>69780</v>
      </c>
      <c r="N73" s="16">
        <v>21225</v>
      </c>
      <c r="O73" s="16">
        <v>24270</v>
      </c>
      <c r="P73" s="16">
        <v>15190</v>
      </c>
      <c r="Q73" s="16">
        <v>154840</v>
      </c>
      <c r="R73" s="16">
        <v>298750</v>
      </c>
      <c r="S73" s="16">
        <v>368.56</v>
      </c>
      <c r="T73" s="16">
        <v>4627</v>
      </c>
      <c r="U73" s="16">
        <v>4492</v>
      </c>
      <c r="V73" s="16">
        <v>4742</v>
      </c>
      <c r="W73" s="16">
        <v>4632</v>
      </c>
      <c r="X73" s="16">
        <v>2923</v>
      </c>
      <c r="Y73" s="16">
        <v>3358</v>
      </c>
      <c r="Z73" s="16">
        <v>15050</v>
      </c>
      <c r="AA73" s="16">
        <v>6260</v>
      </c>
      <c r="AB73" s="16">
        <v>3231</v>
      </c>
      <c r="AC73" s="16">
        <v>9162</v>
      </c>
      <c r="AD73" s="16">
        <v>5819</v>
      </c>
      <c r="AE73" s="16">
        <v>4386</v>
      </c>
      <c r="AF73" s="16">
        <v>8978</v>
      </c>
      <c r="AG73" s="16">
        <v>2687</v>
      </c>
      <c r="AH73" s="16">
        <v>2984</v>
      </c>
      <c r="AI73" s="16">
        <v>13510</v>
      </c>
      <c r="AJ73" s="16">
        <v>4128</v>
      </c>
      <c r="AK73" s="16">
        <v>8590</v>
      </c>
      <c r="AL73" s="16">
        <v>8262</v>
      </c>
      <c r="AM73" s="16">
        <v>8223</v>
      </c>
      <c r="AN73" s="16">
        <v>5190</v>
      </c>
      <c r="AO73" s="16">
        <v>3337</v>
      </c>
      <c r="AP73" s="16">
        <v>8343</v>
      </c>
      <c r="AQ73" s="16">
        <v>5745</v>
      </c>
      <c r="AR73" s="16">
        <v>1894</v>
      </c>
      <c r="AS73" s="16">
        <v>5228</v>
      </c>
      <c r="AT73" s="16">
        <v>7320</v>
      </c>
      <c r="AU73" s="16">
        <v>2614</v>
      </c>
      <c r="AV73" s="16">
        <v>11968</v>
      </c>
      <c r="AW73" s="16">
        <v>2941</v>
      </c>
      <c r="AX73" s="16">
        <v>7798</v>
      </c>
      <c r="AY73" s="16">
        <v>8650</v>
      </c>
      <c r="AZ73" s="16">
        <v>8472</v>
      </c>
      <c r="BA73" s="16">
        <v>8630</v>
      </c>
      <c r="BB73" s="16">
        <v>13065</v>
      </c>
      <c r="BC73" s="16">
        <v>2547</v>
      </c>
      <c r="BD73" s="16">
        <v>2413</v>
      </c>
      <c r="BE73" s="16">
        <v>2277</v>
      </c>
    </row>
    <row x14ac:dyDescent="0.25" r="74" customHeight="1" ht="18.75">
      <c r="A74" s="18">
        <v>44568</v>
      </c>
      <c r="B74" s="16">
        <v>6.3771</v>
      </c>
      <c r="C74" s="16">
        <v>7.7982</v>
      </c>
      <c r="D74" s="16">
        <v>4822.3689</v>
      </c>
      <c r="E74" s="16">
        <v>713.2</v>
      </c>
      <c r="F74" s="16">
        <v>21010</v>
      </c>
      <c r="G74" s="16">
        <v>3159.5</v>
      </c>
      <c r="H74" s="16">
        <v>2277.5</v>
      </c>
      <c r="I74" s="16">
        <v>719</v>
      </c>
      <c r="J74" s="16">
        <v>5110</v>
      </c>
      <c r="K74" s="16">
        <v>519.4</v>
      </c>
      <c r="L74" s="16">
        <v>16910</v>
      </c>
      <c r="M74" s="16">
        <v>69520</v>
      </c>
      <c r="N74" s="16">
        <v>21130</v>
      </c>
      <c r="O74" s="16">
        <v>24500</v>
      </c>
      <c r="P74" s="16">
        <v>15415</v>
      </c>
      <c r="Q74" s="16">
        <v>152490</v>
      </c>
      <c r="R74" s="16">
        <v>298100</v>
      </c>
      <c r="S74" s="16">
        <v>368.14</v>
      </c>
      <c r="T74" s="16">
        <v>4613</v>
      </c>
      <c r="U74" s="16">
        <v>4526</v>
      </c>
      <c r="V74" s="16">
        <v>4756</v>
      </c>
      <c r="W74" s="16">
        <v>4677</v>
      </c>
      <c r="X74" s="16">
        <v>2962</v>
      </c>
      <c r="Y74" s="16">
        <v>3416</v>
      </c>
      <c r="Z74" s="16">
        <v>14910</v>
      </c>
      <c r="AA74" s="16">
        <v>6214</v>
      </c>
      <c r="AB74" s="16">
        <v>3225</v>
      </c>
      <c r="AC74" s="16">
        <v>9046</v>
      </c>
      <c r="AD74" s="16">
        <v>5869</v>
      </c>
      <c r="AE74" s="16">
        <v>4336</v>
      </c>
      <c r="AF74" s="16">
        <v>8858</v>
      </c>
      <c r="AG74" s="16">
        <v>2682</v>
      </c>
      <c r="AH74" s="16">
        <v>3018</v>
      </c>
      <c r="AI74" s="16">
        <v>13915</v>
      </c>
      <c r="AJ74" s="16">
        <v>4128</v>
      </c>
      <c r="AK74" s="16">
        <v>8759</v>
      </c>
      <c r="AL74" s="16">
        <v>8489</v>
      </c>
      <c r="AM74" s="16">
        <v>8370</v>
      </c>
      <c r="AN74" s="16">
        <v>5278</v>
      </c>
      <c r="AO74" s="16">
        <v>3354</v>
      </c>
      <c r="AP74" s="16">
        <v>8645</v>
      </c>
      <c r="AQ74" s="16">
        <v>5723</v>
      </c>
      <c r="AR74" s="16">
        <v>1854</v>
      </c>
      <c r="AS74" s="16">
        <v>5314</v>
      </c>
      <c r="AT74" s="16">
        <v>7392</v>
      </c>
      <c r="AU74" s="16">
        <v>2634</v>
      </c>
      <c r="AV74" s="16">
        <v>11930</v>
      </c>
      <c r="AW74" s="16">
        <v>2938</v>
      </c>
      <c r="AX74" s="16">
        <v>8046</v>
      </c>
      <c r="AY74" s="16">
        <v>8526</v>
      </c>
      <c r="AZ74" s="16">
        <v>8330</v>
      </c>
      <c r="BA74" s="16">
        <v>8634</v>
      </c>
      <c r="BB74" s="16">
        <v>13100</v>
      </c>
      <c r="BC74" s="16">
        <v>2549</v>
      </c>
      <c r="BD74" s="16">
        <v>2337</v>
      </c>
      <c r="BE74" s="16">
        <v>2289</v>
      </c>
    </row>
    <row x14ac:dyDescent="0.25" r="75" customHeight="1" ht="18.75">
      <c r="A75" s="18">
        <v>44567</v>
      </c>
      <c r="B75" s="16">
        <v>6.3826</v>
      </c>
      <c r="C75" s="16">
        <v>7.8005</v>
      </c>
      <c r="D75" s="16">
        <v>4818.2318</v>
      </c>
      <c r="E75" s="16">
        <v>697.2</v>
      </c>
      <c r="F75" s="16">
        <v>20900</v>
      </c>
      <c r="G75" s="16">
        <v>3175.5</v>
      </c>
      <c r="H75" s="16">
        <v>2334</v>
      </c>
      <c r="I75" s="16">
        <v>717</v>
      </c>
      <c r="J75" s="16">
        <v>4900</v>
      </c>
      <c r="K75" s="16">
        <v>501</v>
      </c>
      <c r="L75" s="16">
        <v>16905</v>
      </c>
      <c r="M75" s="16">
        <v>69490</v>
      </c>
      <c r="N75" s="16">
        <v>20685</v>
      </c>
      <c r="O75" s="16">
        <v>24385</v>
      </c>
      <c r="P75" s="16">
        <v>15060</v>
      </c>
      <c r="Q75" s="16">
        <v>149930</v>
      </c>
      <c r="R75" s="16">
        <v>295350</v>
      </c>
      <c r="S75" s="16">
        <v>370.64</v>
      </c>
      <c r="T75" s="16">
        <v>4694</v>
      </c>
      <c r="U75" s="16">
        <v>4494</v>
      </c>
      <c r="V75" s="16">
        <v>4680</v>
      </c>
      <c r="W75" s="16">
        <v>4638</v>
      </c>
      <c r="X75" s="16">
        <v>2849</v>
      </c>
      <c r="Y75" s="16">
        <v>3328</v>
      </c>
      <c r="Z75" s="16">
        <v>14545</v>
      </c>
      <c r="AA75" s="16">
        <v>6018</v>
      </c>
      <c r="AB75" s="16">
        <v>3215</v>
      </c>
      <c r="AC75" s="16">
        <v>8930</v>
      </c>
      <c r="AD75" s="16">
        <v>5849</v>
      </c>
      <c r="AE75" s="16">
        <v>4305</v>
      </c>
      <c r="AF75" s="16">
        <v>8728</v>
      </c>
      <c r="AG75" s="16">
        <v>2676</v>
      </c>
      <c r="AH75" s="16">
        <v>2986</v>
      </c>
      <c r="AI75" s="16">
        <v>14075</v>
      </c>
      <c r="AJ75" s="16">
        <v>4107</v>
      </c>
      <c r="AK75" s="16">
        <v>8687</v>
      </c>
      <c r="AL75" s="16">
        <v>8426</v>
      </c>
      <c r="AM75" s="16">
        <v>8281</v>
      </c>
      <c r="AN75" s="16">
        <v>5145</v>
      </c>
      <c r="AO75" s="16">
        <v>3357</v>
      </c>
      <c r="AP75" s="16">
        <v>8429</v>
      </c>
      <c r="AQ75" s="16">
        <v>5711</v>
      </c>
      <c r="AR75" s="16">
        <v>1806</v>
      </c>
      <c r="AS75" s="16">
        <v>5114</v>
      </c>
      <c r="AT75" s="16">
        <v>7198</v>
      </c>
      <c r="AU75" s="16">
        <v>2605</v>
      </c>
      <c r="AV75" s="16">
        <v>11671</v>
      </c>
      <c r="AW75" s="16">
        <v>2918</v>
      </c>
      <c r="AX75" s="16">
        <v>8056</v>
      </c>
      <c r="AY75" s="16">
        <v>8374</v>
      </c>
      <c r="AZ75" s="16">
        <v>8260</v>
      </c>
      <c r="BA75" s="16">
        <v>8203</v>
      </c>
      <c r="BB75" s="16">
        <v>13070</v>
      </c>
      <c r="BC75" s="16">
        <v>2431</v>
      </c>
      <c r="BD75" s="16">
        <v>2312</v>
      </c>
      <c r="BE75" s="16">
        <v>2296</v>
      </c>
    </row>
    <row x14ac:dyDescent="0.25" r="76" customHeight="1" ht="18.75">
      <c r="A76" s="18">
        <v>44566</v>
      </c>
      <c r="B76" s="16">
        <v>6.3639</v>
      </c>
      <c r="C76" s="16">
        <v>7.7969</v>
      </c>
      <c r="D76" s="16">
        <v>4868.1202</v>
      </c>
      <c r="E76" s="16">
        <v>702.6</v>
      </c>
      <c r="F76" s="16">
        <v>21065</v>
      </c>
      <c r="G76" s="16">
        <v>3150</v>
      </c>
      <c r="H76" s="16">
        <v>2354</v>
      </c>
      <c r="I76" s="16">
        <v>694</v>
      </c>
      <c r="J76" s="16">
        <v>4932</v>
      </c>
      <c r="K76" s="16">
        <v>502.8</v>
      </c>
      <c r="L76" s="16">
        <v>17130</v>
      </c>
      <c r="M76" s="16">
        <v>70110</v>
      </c>
      <c r="N76" s="16">
        <v>20380</v>
      </c>
      <c r="O76" s="16">
        <v>24415</v>
      </c>
      <c r="P76" s="16">
        <v>15200</v>
      </c>
      <c r="Q76" s="16">
        <v>152160</v>
      </c>
      <c r="R76" s="16">
        <v>295520</v>
      </c>
      <c r="S76" s="16">
        <v>373.1</v>
      </c>
      <c r="T76" s="16">
        <v>4773</v>
      </c>
      <c r="U76" s="16">
        <v>4444</v>
      </c>
      <c r="V76" s="16">
        <v>4519</v>
      </c>
      <c r="W76" s="16">
        <v>4568</v>
      </c>
      <c r="X76" s="16">
        <v>2864</v>
      </c>
      <c r="Y76" s="16">
        <v>3320</v>
      </c>
      <c r="Z76" s="16">
        <v>14750</v>
      </c>
      <c r="AA76" s="16">
        <v>6054</v>
      </c>
      <c r="AB76" s="16">
        <v>3293</v>
      </c>
      <c r="AC76" s="16">
        <v>9044</v>
      </c>
      <c r="AD76" s="16">
        <v>5880</v>
      </c>
      <c r="AE76" s="16">
        <v>4420</v>
      </c>
      <c r="AF76" s="16">
        <v>8816</v>
      </c>
      <c r="AG76" s="16">
        <v>2711</v>
      </c>
      <c r="AH76" s="16">
        <v>3010</v>
      </c>
      <c r="AI76" s="16">
        <v>14245</v>
      </c>
      <c r="AJ76" s="16">
        <v>4120</v>
      </c>
      <c r="AK76" s="16">
        <v>8591</v>
      </c>
      <c r="AL76" s="16">
        <v>8425</v>
      </c>
      <c r="AM76" s="16">
        <v>8226</v>
      </c>
      <c r="AN76" s="16">
        <v>5055</v>
      </c>
      <c r="AO76" s="16">
        <v>3323</v>
      </c>
      <c r="AP76" s="16">
        <v>8434</v>
      </c>
      <c r="AQ76" s="16">
        <v>5783</v>
      </c>
      <c r="AR76" s="16">
        <v>1733</v>
      </c>
      <c r="AS76" s="16">
        <v>5138</v>
      </c>
      <c r="AT76" s="16">
        <v>7194</v>
      </c>
      <c r="AU76" s="16">
        <v>2579</v>
      </c>
      <c r="AV76" s="16">
        <v>11797</v>
      </c>
      <c r="AW76" s="16">
        <v>2996</v>
      </c>
      <c r="AX76" s="16">
        <v>8186</v>
      </c>
      <c r="AY76" s="16">
        <v>8264</v>
      </c>
      <c r="AZ76" s="16">
        <v>8054</v>
      </c>
      <c r="BA76" s="16">
        <v>8070</v>
      </c>
      <c r="BB76" s="16">
        <v>13025</v>
      </c>
      <c r="BC76" s="16">
        <v>2482</v>
      </c>
      <c r="BD76" s="16">
        <v>2250</v>
      </c>
      <c r="BE76" s="16">
        <v>2289</v>
      </c>
    </row>
    <row x14ac:dyDescent="0.25" r="77" customHeight="1" ht="18.75">
      <c r="A77" s="18">
        <v>44565</v>
      </c>
      <c r="B77" s="16">
        <v>6.3726</v>
      </c>
      <c r="C77" s="16">
        <v>7.7941</v>
      </c>
      <c r="D77" s="16">
        <v>4917.7653</v>
      </c>
      <c r="E77" s="16">
        <v>713.8</v>
      </c>
      <c r="F77" s="16">
        <v>20670</v>
      </c>
      <c r="G77" s="16">
        <v>3047</v>
      </c>
      <c r="H77" s="16">
        <v>2337</v>
      </c>
      <c r="I77" s="16">
        <v>689</v>
      </c>
      <c r="J77" s="16">
        <v>4875</v>
      </c>
      <c r="K77" s="16">
        <v>494.1</v>
      </c>
      <c r="L77" s="16">
        <v>17230</v>
      </c>
      <c r="M77" s="16">
        <v>69730</v>
      </c>
      <c r="N77" s="16">
        <v>20210</v>
      </c>
      <c r="O77" s="16">
        <v>24050</v>
      </c>
      <c r="P77" s="16">
        <v>15385</v>
      </c>
      <c r="Q77" s="16">
        <v>152570</v>
      </c>
      <c r="R77" s="16">
        <v>289950</v>
      </c>
      <c r="S77" s="16">
        <v>371.74</v>
      </c>
      <c r="T77" s="16">
        <v>4774</v>
      </c>
      <c r="U77" s="16">
        <v>4395</v>
      </c>
      <c r="V77" s="16">
        <v>4451</v>
      </c>
      <c r="W77" s="16">
        <v>4499</v>
      </c>
      <c r="X77" s="16">
        <v>2855</v>
      </c>
      <c r="Y77" s="16">
        <v>3320</v>
      </c>
      <c r="Z77" s="16">
        <v>14695</v>
      </c>
      <c r="AA77" s="16">
        <v>6078</v>
      </c>
      <c r="AB77" s="16">
        <v>3250</v>
      </c>
      <c r="AC77" s="16">
        <v>8914</v>
      </c>
      <c r="AD77" s="16">
        <v>5847</v>
      </c>
      <c r="AE77" s="16">
        <v>4375</v>
      </c>
      <c r="AF77" s="16">
        <v>8682</v>
      </c>
      <c r="AG77" s="16">
        <v>2702</v>
      </c>
      <c r="AH77" s="16">
        <v>3005</v>
      </c>
      <c r="AI77" s="16">
        <v>14165</v>
      </c>
      <c r="AJ77" s="16">
        <v>4165</v>
      </c>
      <c r="AK77" s="16">
        <v>8736</v>
      </c>
      <c r="AL77" s="16">
        <v>8578</v>
      </c>
      <c r="AM77" s="16">
        <v>8287</v>
      </c>
      <c r="AN77" s="16">
        <v>5051</v>
      </c>
      <c r="AO77" s="16">
        <v>3308</v>
      </c>
      <c r="AP77" s="16">
        <v>8606</v>
      </c>
      <c r="AQ77" s="16">
        <v>5804</v>
      </c>
      <c r="AR77" s="16">
        <v>1703</v>
      </c>
      <c r="AS77" s="16">
        <v>5046</v>
      </c>
      <c r="AT77" s="16">
        <v>7108</v>
      </c>
      <c r="AU77" s="16">
        <v>2591</v>
      </c>
      <c r="AV77" s="16">
        <v>12039</v>
      </c>
      <c r="AW77" s="16">
        <v>2981</v>
      </c>
      <c r="AX77" s="16">
        <v>8184</v>
      </c>
      <c r="AY77" s="16">
        <v>8266</v>
      </c>
      <c r="AZ77" s="16">
        <v>8044</v>
      </c>
      <c r="BA77" s="16">
        <v>8177</v>
      </c>
      <c r="BB77" s="16">
        <v>12755</v>
      </c>
      <c r="BC77" s="16">
        <v>2472</v>
      </c>
      <c r="BD77" s="16">
        <v>2221</v>
      </c>
      <c r="BE77" s="16">
        <v>2285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77"/>
  <sheetViews>
    <sheetView workbookViewId="0"/>
  </sheetViews>
  <sheetFormatPr defaultRowHeight="15" x14ac:dyDescent="0.25"/>
  <cols>
    <col min="1" max="1" style="6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4" width="13.576428571428572" customWidth="1" bestFit="1"/>
    <col min="21" max="21" style="14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4" width="13.576428571428572" customWidth="1" bestFit="1"/>
    <col min="26" max="26" style="14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4" width="13.576428571428572" customWidth="1" bestFit="1"/>
    <col min="31" max="31" style="14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4" width="13.576428571428572" customWidth="1" bestFit="1"/>
    <col min="36" max="36" style="14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4" width="13.576428571428572" customWidth="1" bestFit="1"/>
    <col min="41" max="41" style="14" width="13.576428571428572" customWidth="1" bestFit="1"/>
    <col min="42" max="42" style="14" width="13.576428571428572" customWidth="1" bestFit="1"/>
    <col min="43" max="43" style="14" width="13.576428571428572" customWidth="1" bestFit="1"/>
    <col min="44" max="44" style="14" width="13.576428571428572" customWidth="1" bestFit="1"/>
    <col min="45" max="45" style="14" width="13.576428571428572" customWidth="1" bestFit="1"/>
    <col min="46" max="46" style="14" width="13.576428571428572" customWidth="1" bestFit="1"/>
    <col min="47" max="47" style="14" width="13.576428571428572" customWidth="1" bestFit="1"/>
    <col min="48" max="48" style="14" width="13.576428571428572" customWidth="1" bestFit="1"/>
    <col min="49" max="49" style="14" width="13.576428571428572" customWidth="1" bestFit="1"/>
    <col min="50" max="50" style="14" width="13.576428571428572" customWidth="1" bestFit="1"/>
    <col min="51" max="51" style="14" width="13.576428571428572" customWidth="1" bestFit="1"/>
    <col min="52" max="52" style="14" width="13.576428571428572" customWidth="1" bestFit="1"/>
    <col min="53" max="53" style="14" width="13.576428571428572" customWidth="1" bestFit="1"/>
    <col min="54" max="54" style="14" width="13.576428571428572" customWidth="1" bestFit="1"/>
    <col min="55" max="55" style="14" width="13.576428571428572" customWidth="1" bestFit="1"/>
    <col min="56" max="56" style="14" width="13.576428571428572" customWidth="1" bestFit="1"/>
    <col min="57" max="57" style="14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x14ac:dyDescent="0.25" r="2" customHeight="1" ht="18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x14ac:dyDescent="0.25" r="3" customHeight="1" ht="18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x14ac:dyDescent="0.25" r="4" customHeight="1" ht="18.7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x14ac:dyDescent="0.25" r="5" customHeight="1" ht="18.75">
      <c r="A5" s="1"/>
      <c r="B5" s="4">
        <f>LN('中国汇率&amp;期货（数据表）'!B5)</f>
      </c>
      <c r="C5" s="4">
        <f>LN('中国汇率&amp;期货（数据表）'!C5)</f>
      </c>
      <c r="D5" s="4">
        <f>LN('中国汇率&amp;期货（数据表）'!D5)</f>
      </c>
      <c r="E5" s="4">
        <f>LN('中国汇率&amp;期货（数据表）'!E5)</f>
      </c>
      <c r="F5" s="4">
        <f>LN('中国汇率&amp;期货（数据表）'!F5)</f>
      </c>
      <c r="G5" s="4">
        <f>LN('中国汇率&amp;期货（数据表）'!G5)</f>
      </c>
      <c r="H5" s="4">
        <f>LN('中国汇率&amp;期货（数据表）'!H5)</f>
      </c>
      <c r="I5" s="4">
        <f>LN('中国汇率&amp;期货（数据表）'!I5)</f>
      </c>
      <c r="J5" s="4">
        <f>LN('中国汇率&amp;期货（数据表）'!J5)</f>
      </c>
      <c r="K5" s="4">
        <f>LN('中国汇率&amp;期货（数据表）'!K5)</f>
      </c>
      <c r="L5" s="4">
        <f>LN('中国汇率&amp;期货（数据表）'!L5)</f>
      </c>
      <c r="M5" s="4">
        <f>LN('中国汇率&amp;期货（数据表）'!M5)</f>
      </c>
      <c r="N5" s="4">
        <f>LN('中国汇率&amp;期货（数据表）'!N5)</f>
      </c>
      <c r="O5" s="4">
        <f>LN('中国汇率&amp;期货（数据表）'!O5)</f>
      </c>
      <c r="P5" s="4">
        <f>LN('中国汇率&amp;期货（数据表）'!P5)</f>
      </c>
      <c r="Q5" s="4">
        <f>LN('中国汇率&amp;期货（数据表）'!Q5)</f>
      </c>
      <c r="R5" s="4">
        <f>LN('中国汇率&amp;期货（数据表）'!R5)</f>
      </c>
      <c r="S5" s="4">
        <f>LN('中国汇率&amp;期货（数据表）'!S5)</f>
      </c>
      <c r="T5" s="4">
        <f>LN('中国汇率&amp;期货（数据表）'!T5)</f>
      </c>
      <c r="U5" s="4">
        <f>LN('中国汇率&amp;期货（数据表）'!U5)</f>
      </c>
      <c r="V5" s="4">
        <f>LN('中国汇率&amp;期货（数据表）'!V5)</f>
      </c>
      <c r="W5" s="4">
        <f>LN('中国汇率&amp;期货（数据表）'!W5)</f>
      </c>
      <c r="X5" s="4">
        <f>LN('中国汇率&amp;期货（数据表）'!X5)</f>
      </c>
      <c r="Y5" s="4">
        <f>LN('中国汇率&amp;期货（数据表）'!Y5)</f>
      </c>
      <c r="Z5" s="4">
        <f>LN('中国汇率&amp;期货（数据表）'!Z5)</f>
      </c>
      <c r="AA5" s="4">
        <f>LN('中国汇率&amp;期货（数据表）'!AA5)</f>
      </c>
      <c r="AB5" s="4">
        <f>LN('中国汇率&amp;期货（数据表）'!AB5)</f>
      </c>
      <c r="AC5" s="4">
        <f>LN('中国汇率&amp;期货（数据表）'!AC5)</f>
      </c>
      <c r="AD5" s="4">
        <f>LN('中国汇率&amp;期货（数据表）'!AD5)</f>
      </c>
      <c r="AE5" s="4">
        <f>LN('中国汇率&amp;期货（数据表）'!AE5)</f>
      </c>
      <c r="AF5" s="4">
        <f>LN('中国汇率&amp;期货（数据表）'!AF5)</f>
      </c>
      <c r="AG5" s="4">
        <f>LN('中国汇率&amp;期货（数据表）'!AG5)</f>
      </c>
      <c r="AH5" s="4">
        <f>LN('中国汇率&amp;期货（数据表）'!AH5)</f>
      </c>
      <c r="AI5" s="4">
        <f>LN('中国汇率&amp;期货（数据表）'!AI5)</f>
      </c>
      <c r="AJ5" s="4">
        <f>LN('中国汇率&amp;期货（数据表）'!AJ5)</f>
      </c>
      <c r="AK5" s="4">
        <f>LN('中国汇率&amp;期货（数据表）'!AK5)</f>
      </c>
      <c r="AL5" s="4">
        <f>LN('中国汇率&amp;期货（数据表）'!AL5)</f>
      </c>
      <c r="AM5" s="4">
        <f>LN('中国汇率&amp;期货（数据表）'!AM5)</f>
      </c>
      <c r="AN5" s="4">
        <f>LN('中国汇率&amp;期货（数据表）'!AN5)</f>
      </c>
      <c r="AO5" s="4">
        <f>LN('中国汇率&amp;期货（数据表）'!AO5)</f>
      </c>
      <c r="AP5" s="4">
        <f>LN('中国汇率&amp;期货（数据表）'!AP5)</f>
      </c>
      <c r="AQ5" s="4">
        <f>LN('中国汇率&amp;期货（数据表）'!AQ5)</f>
      </c>
      <c r="AR5" s="4">
        <f>LN('中国汇率&amp;期货（数据表）'!AR5)</f>
      </c>
      <c r="AS5" s="4">
        <f>LN('中国汇率&amp;期货（数据表）'!AS5)</f>
      </c>
      <c r="AT5" s="4">
        <f>LN('中国汇率&amp;期货（数据表）'!AT5)</f>
      </c>
      <c r="AU5" s="4">
        <f>LN('中国汇率&amp;期货（数据表）'!AU5)</f>
      </c>
      <c r="AV5" s="4">
        <f>LN('中国汇率&amp;期货（数据表）'!AV5)</f>
      </c>
      <c r="AW5" s="4">
        <f>LN('中国汇率&amp;期货（数据表）'!AW5)</f>
      </c>
      <c r="AX5" s="4">
        <f>LN('中国汇率&amp;期货（数据表）'!AX5)</f>
      </c>
      <c r="AY5" s="4">
        <f>LN('中国汇率&amp;期货（数据表）'!AY5)</f>
      </c>
      <c r="AZ5" s="4">
        <f>LN('中国汇率&amp;期货（数据表）'!AZ5)</f>
      </c>
      <c r="BA5" s="4">
        <f>LN('中国汇率&amp;期货（数据表）'!BA5)</f>
      </c>
      <c r="BB5" s="4">
        <f>LN('中国汇率&amp;期货（数据表）'!BB5)</f>
      </c>
      <c r="BC5" s="4">
        <f>LN('中国汇率&amp;期货（数据表）'!BC5)</f>
      </c>
      <c r="BD5" s="4">
        <f>LN('中国汇率&amp;期货（数据表）'!BD5)</f>
      </c>
      <c r="BE5" s="4">
        <f>LN('中国汇率&amp;期货（数据表）'!BE5)</f>
      </c>
    </row>
    <row x14ac:dyDescent="0.25" r="6" customHeight="1" ht="18.75">
      <c r="A6" s="1"/>
      <c r="B6" s="4">
        <f>LN('中国汇率&amp;期货（数据表）'!B6)</f>
      </c>
      <c r="C6" s="4">
        <f>LN('中国汇率&amp;期货（数据表）'!C6)</f>
      </c>
      <c r="D6" s="4">
        <f>LN('中国汇率&amp;期货（数据表）'!D6)</f>
      </c>
      <c r="E6" s="4">
        <f>LN('中国汇率&amp;期货（数据表）'!E6)</f>
      </c>
      <c r="F6" s="4">
        <f>LN('中国汇率&amp;期货（数据表）'!F6)</f>
      </c>
      <c r="G6" s="4">
        <f>LN('中国汇率&amp;期货（数据表）'!G6)</f>
      </c>
      <c r="H6" s="4">
        <f>LN('中国汇率&amp;期货（数据表）'!H6)</f>
      </c>
      <c r="I6" s="4">
        <f>LN('中国汇率&amp;期货（数据表）'!I6)</f>
      </c>
      <c r="J6" s="4">
        <f>LN('中国汇率&amp;期货（数据表）'!J6)</f>
      </c>
      <c r="K6" s="4">
        <f>LN('中国汇率&amp;期货（数据表）'!K6)</f>
      </c>
      <c r="L6" s="4">
        <f>LN('中国汇率&amp;期货（数据表）'!L6)</f>
      </c>
      <c r="M6" s="4">
        <f>LN('中国汇率&amp;期货（数据表）'!M6)</f>
      </c>
      <c r="N6" s="4">
        <f>LN('中国汇率&amp;期货（数据表）'!N6)</f>
      </c>
      <c r="O6" s="4">
        <f>LN('中国汇率&amp;期货（数据表）'!O6)</f>
      </c>
      <c r="P6" s="4">
        <f>LN('中国汇率&amp;期货（数据表）'!P6)</f>
      </c>
      <c r="Q6" s="4">
        <f>LN('中国汇率&amp;期货（数据表）'!Q6)</f>
      </c>
      <c r="R6" s="4">
        <f>LN('中国汇率&amp;期货（数据表）'!R6)</f>
      </c>
      <c r="S6" s="4">
        <f>LN('中国汇率&amp;期货（数据表）'!S6)</f>
      </c>
      <c r="T6" s="4">
        <f>LN('中国汇率&amp;期货（数据表）'!T6)</f>
      </c>
      <c r="U6" s="4">
        <f>LN('中国汇率&amp;期货（数据表）'!U6)</f>
      </c>
      <c r="V6" s="4">
        <f>LN('中国汇率&amp;期货（数据表）'!V6)</f>
      </c>
      <c r="W6" s="4">
        <f>LN('中国汇率&amp;期货（数据表）'!W6)</f>
      </c>
      <c r="X6" s="4">
        <f>LN('中国汇率&amp;期货（数据表）'!X6)</f>
      </c>
      <c r="Y6" s="4">
        <f>LN('中国汇率&amp;期货（数据表）'!Y6)</f>
      </c>
      <c r="Z6" s="4">
        <f>LN('中国汇率&amp;期货（数据表）'!Z6)</f>
      </c>
      <c r="AA6" s="4">
        <f>LN('中国汇率&amp;期货（数据表）'!AA6)</f>
      </c>
      <c r="AB6" s="4">
        <f>LN('中国汇率&amp;期货（数据表）'!AB6)</f>
      </c>
      <c r="AC6" s="4">
        <f>LN('中国汇率&amp;期货（数据表）'!AC6)</f>
      </c>
      <c r="AD6" s="4">
        <f>LN('中国汇率&amp;期货（数据表）'!AD6)</f>
      </c>
      <c r="AE6" s="4">
        <f>LN('中国汇率&amp;期货（数据表）'!AE6)</f>
      </c>
      <c r="AF6" s="4">
        <f>LN('中国汇率&amp;期货（数据表）'!AF6)</f>
      </c>
      <c r="AG6" s="4">
        <f>LN('中国汇率&amp;期货（数据表）'!AG6)</f>
      </c>
      <c r="AH6" s="4">
        <f>LN('中国汇率&amp;期货（数据表）'!AH6)</f>
      </c>
      <c r="AI6" s="4">
        <f>LN('中国汇率&amp;期货（数据表）'!AI6)</f>
      </c>
      <c r="AJ6" s="4">
        <f>LN('中国汇率&amp;期货（数据表）'!AJ6)</f>
      </c>
      <c r="AK6" s="4">
        <f>LN('中国汇率&amp;期货（数据表）'!AK6)</f>
      </c>
      <c r="AL6" s="4">
        <f>LN('中国汇率&amp;期货（数据表）'!AL6)</f>
      </c>
      <c r="AM6" s="4">
        <f>LN('中国汇率&amp;期货（数据表）'!AM6)</f>
      </c>
      <c r="AN6" s="4">
        <f>LN('中国汇率&amp;期货（数据表）'!AN6)</f>
      </c>
      <c r="AO6" s="4">
        <f>LN('中国汇率&amp;期货（数据表）'!AO6)</f>
      </c>
      <c r="AP6" s="4">
        <f>LN('中国汇率&amp;期货（数据表）'!AP6)</f>
      </c>
      <c r="AQ6" s="4">
        <f>LN('中国汇率&amp;期货（数据表）'!AQ6)</f>
      </c>
      <c r="AR6" s="4">
        <f>LN('中国汇率&amp;期货（数据表）'!AR6)</f>
      </c>
      <c r="AS6" s="4">
        <f>LN('中国汇率&amp;期货（数据表）'!AS6)</f>
      </c>
      <c r="AT6" s="4">
        <f>LN('中国汇率&amp;期货（数据表）'!AT6)</f>
      </c>
      <c r="AU6" s="4">
        <f>LN('中国汇率&amp;期货（数据表）'!AU6)</f>
      </c>
      <c r="AV6" s="4">
        <f>LN('中国汇率&amp;期货（数据表）'!AV6)</f>
      </c>
      <c r="AW6" s="4">
        <f>LN('中国汇率&amp;期货（数据表）'!AW6)</f>
      </c>
      <c r="AX6" s="4">
        <f>LN('中国汇率&amp;期货（数据表）'!AX6)</f>
      </c>
      <c r="AY6" s="4">
        <f>LN('中国汇率&amp;期货（数据表）'!AY6)</f>
      </c>
      <c r="AZ6" s="4">
        <f>LN('中国汇率&amp;期货（数据表）'!AZ6)</f>
      </c>
      <c r="BA6" s="4">
        <f>LN('中国汇率&amp;期货（数据表）'!BA6)</f>
      </c>
      <c r="BB6" s="4">
        <f>LN('中国汇率&amp;期货（数据表）'!BB6)</f>
      </c>
      <c r="BC6" s="4">
        <f>LN('中国汇率&amp;期货（数据表）'!BC6)</f>
      </c>
      <c r="BD6" s="4">
        <f>LN('中国汇率&amp;期货（数据表）'!BD6)</f>
      </c>
      <c r="BE6" s="4">
        <f>LN('中国汇率&amp;期货（数据表）'!BE6)</f>
      </c>
    </row>
    <row x14ac:dyDescent="0.25" r="7" customHeight="1" ht="18.75">
      <c r="A7" s="1"/>
      <c r="B7" s="4">
        <f>LN('中国汇率&amp;期货（数据表）'!B7)</f>
      </c>
      <c r="C7" s="4">
        <f>LN('中国汇率&amp;期货（数据表）'!C7)</f>
      </c>
      <c r="D7" s="4">
        <f>LN('中国汇率&amp;期货（数据表）'!D7)</f>
      </c>
      <c r="E7" s="4">
        <f>LN('中国汇率&amp;期货（数据表）'!E7)</f>
      </c>
      <c r="F7" s="4">
        <f>LN('中国汇率&amp;期货（数据表）'!F7)</f>
      </c>
      <c r="G7" s="4">
        <f>LN('中国汇率&amp;期货（数据表）'!G7)</f>
      </c>
      <c r="H7" s="4">
        <f>LN('中国汇率&amp;期货（数据表）'!H7)</f>
      </c>
      <c r="I7" s="4">
        <f>LN('中国汇率&amp;期货（数据表）'!I7)</f>
      </c>
      <c r="J7" s="4">
        <f>LN('中国汇率&amp;期货（数据表）'!J7)</f>
      </c>
      <c r="K7" s="4">
        <f>LN('中国汇率&amp;期货（数据表）'!K7)</f>
      </c>
      <c r="L7" s="4">
        <f>LN('中国汇率&amp;期货（数据表）'!L7)</f>
      </c>
      <c r="M7" s="4">
        <f>LN('中国汇率&amp;期货（数据表）'!M7)</f>
      </c>
      <c r="N7" s="4">
        <f>LN('中国汇率&amp;期货（数据表）'!N7)</f>
      </c>
      <c r="O7" s="4">
        <f>LN('中国汇率&amp;期货（数据表）'!O7)</f>
      </c>
      <c r="P7" s="4">
        <f>LN('中国汇率&amp;期货（数据表）'!P7)</f>
      </c>
      <c r="Q7" s="4">
        <f>LN('中国汇率&amp;期货（数据表）'!Q7)</f>
      </c>
      <c r="R7" s="4">
        <f>LN('中国汇率&amp;期货（数据表）'!R7)</f>
      </c>
      <c r="S7" s="4">
        <f>LN('中国汇率&amp;期货（数据表）'!S7)</f>
      </c>
      <c r="T7" s="4">
        <f>LN('中国汇率&amp;期货（数据表）'!T7)</f>
      </c>
      <c r="U7" s="4">
        <f>LN('中国汇率&amp;期货（数据表）'!U7)</f>
      </c>
      <c r="V7" s="4">
        <f>LN('中国汇率&amp;期货（数据表）'!V7)</f>
      </c>
      <c r="W7" s="4">
        <f>LN('中国汇率&amp;期货（数据表）'!W7)</f>
      </c>
      <c r="X7" s="4">
        <f>LN('中国汇率&amp;期货（数据表）'!X7)</f>
      </c>
      <c r="Y7" s="4">
        <f>LN('中国汇率&amp;期货（数据表）'!Y7)</f>
      </c>
      <c r="Z7" s="4">
        <f>LN('中国汇率&amp;期货（数据表）'!Z7)</f>
      </c>
      <c r="AA7" s="4">
        <f>LN('中国汇率&amp;期货（数据表）'!AA7)</f>
      </c>
      <c r="AB7" s="4">
        <f>LN('中国汇率&amp;期货（数据表）'!AB7)</f>
      </c>
      <c r="AC7" s="4">
        <f>LN('中国汇率&amp;期货（数据表）'!AC7)</f>
      </c>
      <c r="AD7" s="4">
        <f>LN('中国汇率&amp;期货（数据表）'!AD7)</f>
      </c>
      <c r="AE7" s="4">
        <f>LN('中国汇率&amp;期货（数据表）'!AE7)</f>
      </c>
      <c r="AF7" s="4">
        <f>LN('中国汇率&amp;期货（数据表）'!AF7)</f>
      </c>
      <c r="AG7" s="4">
        <f>LN('中国汇率&amp;期货（数据表）'!AG7)</f>
      </c>
      <c r="AH7" s="4">
        <f>LN('中国汇率&amp;期货（数据表）'!AH7)</f>
      </c>
      <c r="AI7" s="4">
        <f>LN('中国汇率&amp;期货（数据表）'!AI7)</f>
      </c>
      <c r="AJ7" s="4">
        <f>LN('中国汇率&amp;期货（数据表）'!AJ7)</f>
      </c>
      <c r="AK7" s="4">
        <f>LN('中国汇率&amp;期货（数据表）'!AK7)</f>
      </c>
      <c r="AL7" s="4">
        <f>LN('中国汇率&amp;期货（数据表）'!AL7)</f>
      </c>
      <c r="AM7" s="4">
        <f>LN('中国汇率&amp;期货（数据表）'!AM7)</f>
      </c>
      <c r="AN7" s="4">
        <f>LN('中国汇率&amp;期货（数据表）'!AN7)</f>
      </c>
      <c r="AO7" s="4">
        <f>LN('中国汇率&amp;期货（数据表）'!AO7)</f>
      </c>
      <c r="AP7" s="4">
        <f>LN('中国汇率&amp;期货（数据表）'!AP7)</f>
      </c>
      <c r="AQ7" s="4">
        <f>LN('中国汇率&amp;期货（数据表）'!AQ7)</f>
      </c>
      <c r="AR7" s="4">
        <f>LN('中国汇率&amp;期货（数据表）'!AR7)</f>
      </c>
      <c r="AS7" s="4">
        <f>LN('中国汇率&amp;期货（数据表）'!AS7)</f>
      </c>
      <c r="AT7" s="4">
        <f>LN('中国汇率&amp;期货（数据表）'!AT7)</f>
      </c>
      <c r="AU7" s="4">
        <f>LN('中国汇率&amp;期货（数据表）'!AU7)</f>
      </c>
      <c r="AV7" s="4">
        <f>LN('中国汇率&amp;期货（数据表）'!AV7)</f>
      </c>
      <c r="AW7" s="4">
        <f>LN('中国汇率&amp;期货（数据表）'!AW7)</f>
      </c>
      <c r="AX7" s="4">
        <f>LN('中国汇率&amp;期货（数据表）'!AX7)</f>
      </c>
      <c r="AY7" s="4">
        <f>LN('中国汇率&amp;期货（数据表）'!AY7)</f>
      </c>
      <c r="AZ7" s="4">
        <f>LN('中国汇率&amp;期货（数据表）'!AZ7)</f>
      </c>
      <c r="BA7" s="4">
        <f>LN('中国汇率&amp;期货（数据表）'!BA7)</f>
      </c>
      <c r="BB7" s="4">
        <f>LN('中国汇率&amp;期货（数据表）'!BB7)</f>
      </c>
      <c r="BC7" s="4">
        <f>LN('中国汇率&amp;期货（数据表）'!BC7)</f>
      </c>
      <c r="BD7" s="4">
        <f>LN('中国汇率&amp;期货（数据表）'!BD7)</f>
      </c>
      <c r="BE7" s="4">
        <f>LN('中国汇率&amp;期货（数据表）'!BE7)</f>
      </c>
    </row>
    <row x14ac:dyDescent="0.25" r="8" customHeight="1" ht="18.75">
      <c r="A8" s="1"/>
      <c r="B8" s="4">
        <f>LN('中国汇率&amp;期货（数据表）'!B8)</f>
      </c>
      <c r="C8" s="4">
        <f>LN('中国汇率&amp;期货（数据表）'!C8)</f>
      </c>
      <c r="D8" s="4">
        <f>LN('中国汇率&amp;期货（数据表）'!D8)</f>
      </c>
      <c r="E8" s="4">
        <f>LN('中国汇率&amp;期货（数据表）'!E8)</f>
      </c>
      <c r="F8" s="4">
        <f>LN('中国汇率&amp;期货（数据表）'!F8)</f>
      </c>
      <c r="G8" s="4">
        <f>LN('中国汇率&amp;期货（数据表）'!G8)</f>
      </c>
      <c r="H8" s="4">
        <f>LN('中国汇率&amp;期货（数据表）'!H8)</f>
      </c>
      <c r="I8" s="4">
        <f>LN('中国汇率&amp;期货（数据表）'!I8)</f>
      </c>
      <c r="J8" s="4">
        <f>LN('中国汇率&amp;期货（数据表）'!J8)</f>
      </c>
      <c r="K8" s="4">
        <f>LN('中国汇率&amp;期货（数据表）'!K8)</f>
      </c>
      <c r="L8" s="4">
        <f>LN('中国汇率&amp;期货（数据表）'!L8)</f>
      </c>
      <c r="M8" s="4">
        <f>LN('中国汇率&amp;期货（数据表）'!M8)</f>
      </c>
      <c r="N8" s="4">
        <f>LN('中国汇率&amp;期货（数据表）'!N8)</f>
      </c>
      <c r="O8" s="4">
        <f>LN('中国汇率&amp;期货（数据表）'!O8)</f>
      </c>
      <c r="P8" s="4">
        <f>LN('中国汇率&amp;期货（数据表）'!P8)</f>
      </c>
      <c r="Q8" s="4">
        <f>LN('中国汇率&amp;期货（数据表）'!Q8)</f>
      </c>
      <c r="R8" s="4">
        <f>LN('中国汇率&amp;期货（数据表）'!R8)</f>
      </c>
      <c r="S8" s="4">
        <f>LN('中国汇率&amp;期货（数据表）'!S8)</f>
      </c>
      <c r="T8" s="4">
        <f>LN('中国汇率&amp;期货（数据表）'!T8)</f>
      </c>
      <c r="U8" s="4">
        <f>LN('中国汇率&amp;期货（数据表）'!U8)</f>
      </c>
      <c r="V8" s="4">
        <f>LN('中国汇率&amp;期货（数据表）'!V8)</f>
      </c>
      <c r="W8" s="4">
        <f>LN('中国汇率&amp;期货（数据表）'!W8)</f>
      </c>
      <c r="X8" s="4">
        <f>LN('中国汇率&amp;期货（数据表）'!X8)</f>
      </c>
      <c r="Y8" s="4">
        <f>LN('中国汇率&amp;期货（数据表）'!Y8)</f>
      </c>
      <c r="Z8" s="4">
        <f>LN('中国汇率&amp;期货（数据表）'!Z8)</f>
      </c>
      <c r="AA8" s="4">
        <f>LN('中国汇率&amp;期货（数据表）'!AA8)</f>
      </c>
      <c r="AB8" s="4">
        <f>LN('中国汇率&amp;期货（数据表）'!AB8)</f>
      </c>
      <c r="AC8" s="4">
        <f>LN('中国汇率&amp;期货（数据表）'!AC8)</f>
      </c>
      <c r="AD8" s="4">
        <f>LN('中国汇率&amp;期货（数据表）'!AD8)</f>
      </c>
      <c r="AE8" s="4">
        <f>LN('中国汇率&amp;期货（数据表）'!AE8)</f>
      </c>
      <c r="AF8" s="4">
        <f>LN('中国汇率&amp;期货（数据表）'!AF8)</f>
      </c>
      <c r="AG8" s="4">
        <f>LN('中国汇率&amp;期货（数据表）'!AG8)</f>
      </c>
      <c r="AH8" s="4">
        <f>LN('中国汇率&amp;期货（数据表）'!AH8)</f>
      </c>
      <c r="AI8" s="4">
        <f>LN('中国汇率&amp;期货（数据表）'!AI8)</f>
      </c>
      <c r="AJ8" s="4">
        <f>LN('中国汇率&amp;期货（数据表）'!AJ8)</f>
      </c>
      <c r="AK8" s="4">
        <f>LN('中国汇率&amp;期货（数据表）'!AK8)</f>
      </c>
      <c r="AL8" s="4">
        <f>LN('中国汇率&amp;期货（数据表）'!AL8)</f>
      </c>
      <c r="AM8" s="4">
        <f>LN('中国汇率&amp;期货（数据表）'!AM8)</f>
      </c>
      <c r="AN8" s="4">
        <f>LN('中国汇率&amp;期货（数据表）'!AN8)</f>
      </c>
      <c r="AO8" s="4">
        <f>LN('中国汇率&amp;期货（数据表）'!AO8)</f>
      </c>
      <c r="AP8" s="4">
        <f>LN('中国汇率&amp;期货（数据表）'!AP8)</f>
      </c>
      <c r="AQ8" s="4">
        <f>LN('中国汇率&amp;期货（数据表）'!AQ8)</f>
      </c>
      <c r="AR8" s="4">
        <f>LN('中国汇率&amp;期货（数据表）'!AR8)</f>
      </c>
      <c r="AS8" s="4">
        <f>LN('中国汇率&amp;期货（数据表）'!AS8)</f>
      </c>
      <c r="AT8" s="4">
        <f>LN('中国汇率&amp;期货（数据表）'!AT8)</f>
      </c>
      <c r="AU8" s="4">
        <f>LN('中国汇率&amp;期货（数据表）'!AU8)</f>
      </c>
      <c r="AV8" s="4">
        <f>LN('中国汇率&amp;期货（数据表）'!AV8)</f>
      </c>
      <c r="AW8" s="4">
        <f>LN('中国汇率&amp;期货（数据表）'!AW8)</f>
      </c>
      <c r="AX8" s="4">
        <f>LN('中国汇率&amp;期货（数据表）'!AX8)</f>
      </c>
      <c r="AY8" s="4">
        <f>LN('中国汇率&amp;期货（数据表）'!AY8)</f>
      </c>
      <c r="AZ8" s="4">
        <f>LN('中国汇率&amp;期货（数据表）'!AZ8)</f>
      </c>
      <c r="BA8" s="4">
        <f>LN('中国汇率&amp;期货（数据表）'!BA8)</f>
      </c>
      <c r="BB8" s="4">
        <f>LN('中国汇率&amp;期货（数据表）'!BB8)</f>
      </c>
      <c r="BC8" s="4">
        <f>LN('中国汇率&amp;期货（数据表）'!BC8)</f>
      </c>
      <c r="BD8" s="4">
        <f>LN('中国汇率&amp;期货（数据表）'!BD8)</f>
      </c>
      <c r="BE8" s="4">
        <f>LN('中国汇率&amp;期货（数据表）'!BE8)</f>
      </c>
    </row>
    <row x14ac:dyDescent="0.25" r="9" customHeight="1" ht="18.75">
      <c r="A9" s="1"/>
      <c r="B9" s="4">
        <f>LN('中国汇率&amp;期货（数据表）'!B9)</f>
      </c>
      <c r="C9" s="4">
        <f>LN('中国汇率&amp;期货（数据表）'!C9)</f>
      </c>
      <c r="D9" s="4">
        <f>LN('中国汇率&amp;期货（数据表）'!D9)</f>
      </c>
      <c r="E9" s="4">
        <f>LN('中国汇率&amp;期货（数据表）'!E9)</f>
      </c>
      <c r="F9" s="4">
        <f>LN('中国汇率&amp;期货（数据表）'!F9)</f>
      </c>
      <c r="G9" s="4">
        <f>LN('中国汇率&amp;期货（数据表）'!G9)</f>
      </c>
      <c r="H9" s="4">
        <f>LN('中国汇率&amp;期货（数据表）'!H9)</f>
      </c>
      <c r="I9" s="4">
        <f>LN('中国汇率&amp;期货（数据表）'!I9)</f>
      </c>
      <c r="J9" s="4">
        <f>LN('中国汇率&amp;期货（数据表）'!J9)</f>
      </c>
      <c r="K9" s="4">
        <f>LN('中国汇率&amp;期货（数据表）'!K9)</f>
      </c>
      <c r="L9" s="4">
        <f>LN('中国汇率&amp;期货（数据表）'!L9)</f>
      </c>
      <c r="M9" s="4">
        <f>LN('中国汇率&amp;期货（数据表）'!M9)</f>
      </c>
      <c r="N9" s="4">
        <f>LN('中国汇率&amp;期货（数据表）'!N9)</f>
      </c>
      <c r="O9" s="4">
        <f>LN('中国汇率&amp;期货（数据表）'!O9)</f>
      </c>
      <c r="P9" s="4">
        <f>LN('中国汇率&amp;期货（数据表）'!P9)</f>
      </c>
      <c r="Q9" s="4">
        <f>LN('中国汇率&amp;期货（数据表）'!Q9)</f>
      </c>
      <c r="R9" s="4">
        <f>LN('中国汇率&amp;期货（数据表）'!R9)</f>
      </c>
      <c r="S9" s="4">
        <f>LN('中国汇率&amp;期货（数据表）'!S9)</f>
      </c>
      <c r="T9" s="4">
        <f>LN('中国汇率&amp;期货（数据表）'!T9)</f>
      </c>
      <c r="U9" s="4">
        <f>LN('中国汇率&amp;期货（数据表）'!U9)</f>
      </c>
      <c r="V9" s="4">
        <f>LN('中国汇率&amp;期货（数据表）'!V9)</f>
      </c>
      <c r="W9" s="4">
        <f>LN('中国汇率&amp;期货（数据表）'!W9)</f>
      </c>
      <c r="X9" s="4">
        <f>LN('中国汇率&amp;期货（数据表）'!X9)</f>
      </c>
      <c r="Y9" s="4">
        <f>LN('中国汇率&amp;期货（数据表）'!Y9)</f>
      </c>
      <c r="Z9" s="4">
        <f>LN('中国汇率&amp;期货（数据表）'!Z9)</f>
      </c>
      <c r="AA9" s="4">
        <f>LN('中国汇率&amp;期货（数据表）'!AA9)</f>
      </c>
      <c r="AB9" s="4">
        <f>LN('中国汇率&amp;期货（数据表）'!AB9)</f>
      </c>
      <c r="AC9" s="4">
        <f>LN('中国汇率&amp;期货（数据表）'!AC9)</f>
      </c>
      <c r="AD9" s="4">
        <f>LN('中国汇率&amp;期货（数据表）'!AD9)</f>
      </c>
      <c r="AE9" s="4">
        <f>LN('中国汇率&amp;期货（数据表）'!AE9)</f>
      </c>
      <c r="AF9" s="4">
        <f>LN('中国汇率&amp;期货（数据表）'!AF9)</f>
      </c>
      <c r="AG9" s="4">
        <f>LN('中国汇率&amp;期货（数据表）'!AG9)</f>
      </c>
      <c r="AH9" s="4">
        <f>LN('中国汇率&amp;期货（数据表）'!AH9)</f>
      </c>
      <c r="AI9" s="4">
        <f>LN('中国汇率&amp;期货（数据表）'!AI9)</f>
      </c>
      <c r="AJ9" s="4">
        <f>LN('中国汇率&amp;期货（数据表）'!AJ9)</f>
      </c>
      <c r="AK9" s="4">
        <f>LN('中国汇率&amp;期货（数据表）'!AK9)</f>
      </c>
      <c r="AL9" s="4">
        <f>LN('中国汇率&amp;期货（数据表）'!AL9)</f>
      </c>
      <c r="AM9" s="4">
        <f>LN('中国汇率&amp;期货（数据表）'!AM9)</f>
      </c>
      <c r="AN9" s="4">
        <f>LN('中国汇率&amp;期货（数据表）'!AN9)</f>
      </c>
      <c r="AO9" s="4">
        <f>LN('中国汇率&amp;期货（数据表）'!AO9)</f>
      </c>
      <c r="AP9" s="4">
        <f>LN('中国汇率&amp;期货（数据表）'!AP9)</f>
      </c>
      <c r="AQ9" s="4">
        <f>LN('中国汇率&amp;期货（数据表）'!AQ9)</f>
      </c>
      <c r="AR9" s="4">
        <f>LN('中国汇率&amp;期货（数据表）'!AR9)</f>
      </c>
      <c r="AS9" s="4">
        <f>LN('中国汇率&amp;期货（数据表）'!AS9)</f>
      </c>
      <c r="AT9" s="4">
        <f>LN('中国汇率&amp;期货（数据表）'!AT9)</f>
      </c>
      <c r="AU9" s="4">
        <f>LN('中国汇率&amp;期货（数据表）'!AU9)</f>
      </c>
      <c r="AV9" s="4">
        <f>LN('中国汇率&amp;期货（数据表）'!AV9)</f>
      </c>
      <c r="AW9" s="4">
        <f>LN('中国汇率&amp;期货（数据表）'!AW9)</f>
      </c>
      <c r="AX9" s="4">
        <f>LN('中国汇率&amp;期货（数据表）'!AX9)</f>
      </c>
      <c r="AY9" s="4">
        <f>LN('中国汇率&amp;期货（数据表）'!AY9)</f>
      </c>
      <c r="AZ9" s="4">
        <f>LN('中国汇率&amp;期货（数据表）'!AZ9)</f>
      </c>
      <c r="BA9" s="4">
        <f>LN('中国汇率&amp;期货（数据表）'!BA9)</f>
      </c>
      <c r="BB9" s="4">
        <f>LN('中国汇率&amp;期货（数据表）'!BB9)</f>
      </c>
      <c r="BC9" s="4">
        <f>LN('中国汇率&amp;期货（数据表）'!BC9)</f>
      </c>
      <c r="BD9" s="4">
        <f>LN('中国汇率&amp;期货（数据表）'!BD9)</f>
      </c>
      <c r="BE9" s="4">
        <f>LN('中国汇率&amp;期货（数据表）'!BE9)</f>
      </c>
    </row>
    <row x14ac:dyDescent="0.25" r="10" customHeight="1" ht="18.75">
      <c r="A10" s="1"/>
      <c r="B10" s="4">
        <f>LN('中国汇率&amp;期货（数据表）'!B10)</f>
      </c>
      <c r="C10" s="4">
        <f>LN('中国汇率&amp;期货（数据表）'!C10)</f>
      </c>
      <c r="D10" s="4">
        <f>LN('中国汇率&amp;期货（数据表）'!D10)</f>
      </c>
      <c r="E10" s="4">
        <f>LN('中国汇率&amp;期货（数据表）'!E10)</f>
      </c>
      <c r="F10" s="4">
        <f>LN('中国汇率&amp;期货（数据表）'!F10)</f>
      </c>
      <c r="G10" s="4">
        <f>LN('中国汇率&amp;期货（数据表）'!G10)</f>
      </c>
      <c r="H10" s="4">
        <f>LN('中国汇率&amp;期货（数据表）'!H10)</f>
      </c>
      <c r="I10" s="4">
        <f>LN('中国汇率&amp;期货（数据表）'!I10)</f>
      </c>
      <c r="J10" s="4">
        <f>LN('中国汇率&amp;期货（数据表）'!J10)</f>
      </c>
      <c r="K10" s="4">
        <f>LN('中国汇率&amp;期货（数据表）'!K10)</f>
      </c>
      <c r="L10" s="4">
        <f>LN('中国汇率&amp;期货（数据表）'!L10)</f>
      </c>
      <c r="M10" s="4">
        <f>LN('中国汇率&amp;期货（数据表）'!M10)</f>
      </c>
      <c r="N10" s="4">
        <f>LN('中国汇率&amp;期货（数据表）'!N10)</f>
      </c>
      <c r="O10" s="4">
        <f>LN('中国汇率&amp;期货（数据表）'!O10)</f>
      </c>
      <c r="P10" s="4">
        <f>LN('中国汇率&amp;期货（数据表）'!P10)</f>
      </c>
      <c r="Q10" s="4">
        <f>LN('中国汇率&amp;期货（数据表）'!Q10)</f>
      </c>
      <c r="R10" s="4">
        <f>LN('中国汇率&amp;期货（数据表）'!R10)</f>
      </c>
      <c r="S10" s="4">
        <f>LN('中国汇率&amp;期货（数据表）'!S10)</f>
      </c>
      <c r="T10" s="4">
        <f>LN('中国汇率&amp;期货（数据表）'!T10)</f>
      </c>
      <c r="U10" s="4">
        <f>LN('中国汇率&amp;期货（数据表）'!U10)</f>
      </c>
      <c r="V10" s="4">
        <f>LN('中国汇率&amp;期货（数据表）'!V10)</f>
      </c>
      <c r="W10" s="4">
        <f>LN('中国汇率&amp;期货（数据表）'!W10)</f>
      </c>
      <c r="X10" s="4">
        <f>LN('中国汇率&amp;期货（数据表）'!X10)</f>
      </c>
      <c r="Y10" s="4">
        <f>LN('中国汇率&amp;期货（数据表）'!Y10)</f>
      </c>
      <c r="Z10" s="4">
        <f>LN('中国汇率&amp;期货（数据表）'!Z10)</f>
      </c>
      <c r="AA10" s="4">
        <f>LN('中国汇率&amp;期货（数据表）'!AA10)</f>
      </c>
      <c r="AB10" s="4">
        <f>LN('中国汇率&amp;期货（数据表）'!AB10)</f>
      </c>
      <c r="AC10" s="4">
        <f>LN('中国汇率&amp;期货（数据表）'!AC10)</f>
      </c>
      <c r="AD10" s="4">
        <f>LN('中国汇率&amp;期货（数据表）'!AD10)</f>
      </c>
      <c r="AE10" s="4">
        <f>LN('中国汇率&amp;期货（数据表）'!AE10)</f>
      </c>
      <c r="AF10" s="4">
        <f>LN('中国汇率&amp;期货（数据表）'!AF10)</f>
      </c>
      <c r="AG10" s="4">
        <f>LN('中国汇率&amp;期货（数据表）'!AG10)</f>
      </c>
      <c r="AH10" s="4">
        <f>LN('中国汇率&amp;期货（数据表）'!AH10)</f>
      </c>
      <c r="AI10" s="4">
        <f>LN('中国汇率&amp;期货（数据表）'!AI10)</f>
      </c>
      <c r="AJ10" s="4">
        <f>LN('中国汇率&amp;期货（数据表）'!AJ10)</f>
      </c>
      <c r="AK10" s="4">
        <f>LN('中国汇率&amp;期货（数据表）'!AK10)</f>
      </c>
      <c r="AL10" s="4">
        <f>LN('中国汇率&amp;期货（数据表）'!AL10)</f>
      </c>
      <c r="AM10" s="4">
        <f>LN('中国汇率&amp;期货（数据表）'!AM10)</f>
      </c>
      <c r="AN10" s="4">
        <f>LN('中国汇率&amp;期货（数据表）'!AN10)</f>
      </c>
      <c r="AO10" s="4">
        <f>LN('中国汇率&amp;期货（数据表）'!AO10)</f>
      </c>
      <c r="AP10" s="4">
        <f>LN('中国汇率&amp;期货（数据表）'!AP10)</f>
      </c>
      <c r="AQ10" s="4">
        <f>LN('中国汇率&amp;期货（数据表）'!AQ10)</f>
      </c>
      <c r="AR10" s="4">
        <f>LN('中国汇率&amp;期货（数据表）'!AR10)</f>
      </c>
      <c r="AS10" s="4">
        <f>LN('中国汇率&amp;期货（数据表）'!AS10)</f>
      </c>
      <c r="AT10" s="4">
        <f>LN('中国汇率&amp;期货（数据表）'!AT10)</f>
      </c>
      <c r="AU10" s="4">
        <f>LN('中国汇率&amp;期货（数据表）'!AU10)</f>
      </c>
      <c r="AV10" s="4">
        <f>LN('中国汇率&amp;期货（数据表）'!AV10)</f>
      </c>
      <c r="AW10" s="4">
        <f>LN('中国汇率&amp;期货（数据表）'!AW10)</f>
      </c>
      <c r="AX10" s="4">
        <f>LN('中国汇率&amp;期货（数据表）'!AX10)</f>
      </c>
      <c r="AY10" s="4">
        <f>LN('中国汇率&amp;期货（数据表）'!AY10)</f>
      </c>
      <c r="AZ10" s="4">
        <f>LN('中国汇率&amp;期货（数据表）'!AZ10)</f>
      </c>
      <c r="BA10" s="4">
        <f>LN('中国汇率&amp;期货（数据表）'!BA10)</f>
      </c>
      <c r="BB10" s="4">
        <f>LN('中国汇率&amp;期货（数据表）'!BB10)</f>
      </c>
      <c r="BC10" s="4">
        <f>LN('中国汇率&amp;期货（数据表）'!BC10)</f>
      </c>
      <c r="BD10" s="4">
        <f>LN('中国汇率&amp;期货（数据表）'!BD10)</f>
      </c>
      <c r="BE10" s="4">
        <f>LN('中国汇率&amp;期货（数据表）'!BE10)</f>
      </c>
    </row>
    <row x14ac:dyDescent="0.25" r="11" customHeight="1" ht="18.75">
      <c r="A11" s="1"/>
      <c r="B11" s="4">
        <f>LN('中国汇率&amp;期货（数据表）'!B11)</f>
      </c>
      <c r="C11" s="4">
        <f>LN('中国汇率&amp;期货（数据表）'!C11)</f>
      </c>
      <c r="D11" s="4">
        <f>LN('中国汇率&amp;期货（数据表）'!D11)</f>
      </c>
      <c r="E11" s="4">
        <f>LN('中国汇率&amp;期货（数据表）'!E11)</f>
      </c>
      <c r="F11" s="4">
        <f>LN('中国汇率&amp;期货（数据表）'!F11)</f>
      </c>
      <c r="G11" s="4">
        <f>LN('中国汇率&amp;期货（数据表）'!G11)</f>
      </c>
      <c r="H11" s="4">
        <f>LN('中国汇率&amp;期货（数据表）'!H11)</f>
      </c>
      <c r="I11" s="4">
        <f>LN('中国汇率&amp;期货（数据表）'!I11)</f>
      </c>
      <c r="J11" s="4">
        <f>LN('中国汇率&amp;期货（数据表）'!J11)</f>
      </c>
      <c r="K11" s="4">
        <f>LN('中国汇率&amp;期货（数据表）'!K11)</f>
      </c>
      <c r="L11" s="4">
        <f>LN('中国汇率&amp;期货（数据表）'!L11)</f>
      </c>
      <c r="M11" s="4">
        <f>LN('中国汇率&amp;期货（数据表）'!M11)</f>
      </c>
      <c r="N11" s="4">
        <f>LN('中国汇率&amp;期货（数据表）'!N11)</f>
      </c>
      <c r="O11" s="4">
        <f>LN('中国汇率&amp;期货（数据表）'!O11)</f>
      </c>
      <c r="P11" s="4">
        <f>LN('中国汇率&amp;期货（数据表）'!P11)</f>
      </c>
      <c r="Q11" s="4">
        <f>LN('中国汇率&amp;期货（数据表）'!Q11)</f>
      </c>
      <c r="R11" s="4">
        <f>LN('中国汇率&amp;期货（数据表）'!R11)</f>
      </c>
      <c r="S11" s="4">
        <f>LN('中国汇率&amp;期货（数据表）'!S11)</f>
      </c>
      <c r="T11" s="4">
        <f>LN('中国汇率&amp;期货（数据表）'!T11)</f>
      </c>
      <c r="U11" s="4">
        <f>LN('中国汇率&amp;期货（数据表）'!U11)</f>
      </c>
      <c r="V11" s="4">
        <f>LN('中国汇率&amp;期货（数据表）'!V11)</f>
      </c>
      <c r="W11" s="4">
        <f>LN('中国汇率&amp;期货（数据表）'!W11)</f>
      </c>
      <c r="X11" s="4">
        <f>LN('中国汇率&amp;期货（数据表）'!X11)</f>
      </c>
      <c r="Y11" s="4">
        <f>LN('中国汇率&amp;期货（数据表）'!Y11)</f>
      </c>
      <c r="Z11" s="4">
        <f>LN('中国汇率&amp;期货（数据表）'!Z11)</f>
      </c>
      <c r="AA11" s="4">
        <f>LN('中国汇率&amp;期货（数据表）'!AA11)</f>
      </c>
      <c r="AB11" s="4">
        <f>LN('中国汇率&amp;期货（数据表）'!AB11)</f>
      </c>
      <c r="AC11" s="4">
        <f>LN('中国汇率&amp;期货（数据表）'!AC11)</f>
      </c>
      <c r="AD11" s="4">
        <f>LN('中国汇率&amp;期货（数据表）'!AD11)</f>
      </c>
      <c r="AE11" s="4">
        <f>LN('中国汇率&amp;期货（数据表）'!AE11)</f>
      </c>
      <c r="AF11" s="4">
        <f>LN('中国汇率&amp;期货（数据表）'!AF11)</f>
      </c>
      <c r="AG11" s="4">
        <f>LN('中国汇率&amp;期货（数据表）'!AG11)</f>
      </c>
      <c r="AH11" s="4">
        <f>LN('中国汇率&amp;期货（数据表）'!AH11)</f>
      </c>
      <c r="AI11" s="4">
        <f>LN('中国汇率&amp;期货（数据表）'!AI11)</f>
      </c>
      <c r="AJ11" s="4">
        <f>LN('中国汇率&amp;期货（数据表）'!AJ11)</f>
      </c>
      <c r="AK11" s="4">
        <f>LN('中国汇率&amp;期货（数据表）'!AK11)</f>
      </c>
      <c r="AL11" s="4">
        <f>LN('中国汇率&amp;期货（数据表）'!AL11)</f>
      </c>
      <c r="AM11" s="4">
        <f>LN('中国汇率&amp;期货（数据表）'!AM11)</f>
      </c>
      <c r="AN11" s="4">
        <f>LN('中国汇率&amp;期货（数据表）'!AN11)</f>
      </c>
      <c r="AO11" s="4">
        <f>LN('中国汇率&amp;期货（数据表）'!AO11)</f>
      </c>
      <c r="AP11" s="4">
        <f>LN('中国汇率&amp;期货（数据表）'!AP11)</f>
      </c>
      <c r="AQ11" s="4">
        <f>LN('中国汇率&amp;期货（数据表）'!AQ11)</f>
      </c>
      <c r="AR11" s="4">
        <f>LN('中国汇率&amp;期货（数据表）'!AR11)</f>
      </c>
      <c r="AS11" s="4">
        <f>LN('中国汇率&amp;期货（数据表）'!AS11)</f>
      </c>
      <c r="AT11" s="4">
        <f>LN('中国汇率&amp;期货（数据表）'!AT11)</f>
      </c>
      <c r="AU11" s="4">
        <f>LN('中国汇率&amp;期货（数据表）'!AU11)</f>
      </c>
      <c r="AV11" s="4">
        <f>LN('中国汇率&amp;期货（数据表）'!AV11)</f>
      </c>
      <c r="AW11" s="4">
        <f>LN('中国汇率&amp;期货（数据表）'!AW11)</f>
      </c>
      <c r="AX11" s="4">
        <f>LN('中国汇率&amp;期货（数据表）'!AX11)</f>
      </c>
      <c r="AY11" s="4">
        <f>LN('中国汇率&amp;期货（数据表）'!AY11)</f>
      </c>
      <c r="AZ11" s="4">
        <f>LN('中国汇率&amp;期货（数据表）'!AZ11)</f>
      </c>
      <c r="BA11" s="4">
        <f>LN('中国汇率&amp;期货（数据表）'!BA11)</f>
      </c>
      <c r="BB11" s="4">
        <f>LN('中国汇率&amp;期货（数据表）'!BB11)</f>
      </c>
      <c r="BC11" s="4">
        <f>LN('中国汇率&amp;期货（数据表）'!BC11)</f>
      </c>
      <c r="BD11" s="4">
        <f>LN('中国汇率&amp;期货（数据表）'!BD11)</f>
      </c>
      <c r="BE11" s="4">
        <f>LN('中国汇率&amp;期货（数据表）'!BE11)</f>
      </c>
    </row>
    <row x14ac:dyDescent="0.25" r="12" customHeight="1" ht="18.75">
      <c r="A12" s="1"/>
      <c r="B12" s="4">
        <f>LN('中国汇率&amp;期货（数据表）'!B12)</f>
      </c>
      <c r="C12" s="4">
        <f>LN('中国汇率&amp;期货（数据表）'!C12)</f>
      </c>
      <c r="D12" s="4">
        <f>LN('中国汇率&amp;期货（数据表）'!D12)</f>
      </c>
      <c r="E12" s="4">
        <f>LN('中国汇率&amp;期货（数据表）'!E12)</f>
      </c>
      <c r="F12" s="4">
        <f>LN('中国汇率&amp;期货（数据表）'!F12)</f>
      </c>
      <c r="G12" s="4">
        <f>LN('中国汇率&amp;期货（数据表）'!G12)</f>
      </c>
      <c r="H12" s="4">
        <f>LN('中国汇率&amp;期货（数据表）'!H12)</f>
      </c>
      <c r="I12" s="4">
        <f>LN('中国汇率&amp;期货（数据表）'!I12)</f>
      </c>
      <c r="J12" s="4">
        <f>LN('中国汇率&amp;期货（数据表）'!J12)</f>
      </c>
      <c r="K12" s="4">
        <f>LN('中国汇率&amp;期货（数据表）'!K12)</f>
      </c>
      <c r="L12" s="4">
        <f>LN('中国汇率&amp;期货（数据表）'!L12)</f>
      </c>
      <c r="M12" s="4">
        <f>LN('中国汇率&amp;期货（数据表）'!M12)</f>
      </c>
      <c r="N12" s="4">
        <f>LN('中国汇率&amp;期货（数据表）'!N12)</f>
      </c>
      <c r="O12" s="4">
        <f>LN('中国汇率&amp;期货（数据表）'!O12)</f>
      </c>
      <c r="P12" s="4">
        <f>LN('中国汇率&amp;期货（数据表）'!P12)</f>
      </c>
      <c r="Q12" s="4">
        <f>LN('中国汇率&amp;期货（数据表）'!Q12)</f>
      </c>
      <c r="R12" s="4">
        <f>LN('中国汇率&amp;期货（数据表）'!R12)</f>
      </c>
      <c r="S12" s="4">
        <f>LN('中国汇率&amp;期货（数据表）'!S12)</f>
      </c>
      <c r="T12" s="4">
        <f>LN('中国汇率&amp;期货（数据表）'!T12)</f>
      </c>
      <c r="U12" s="4">
        <f>LN('中国汇率&amp;期货（数据表）'!U12)</f>
      </c>
      <c r="V12" s="4">
        <f>LN('中国汇率&amp;期货（数据表）'!V12)</f>
      </c>
      <c r="W12" s="4">
        <f>LN('中国汇率&amp;期货（数据表）'!W12)</f>
      </c>
      <c r="X12" s="4">
        <f>LN('中国汇率&amp;期货（数据表）'!X12)</f>
      </c>
      <c r="Y12" s="4">
        <f>LN('中国汇率&amp;期货（数据表）'!Y12)</f>
      </c>
      <c r="Z12" s="4">
        <f>LN('中国汇率&amp;期货（数据表）'!Z12)</f>
      </c>
      <c r="AA12" s="4">
        <f>LN('中国汇率&amp;期货（数据表）'!AA12)</f>
      </c>
      <c r="AB12" s="4">
        <f>LN('中国汇率&amp;期货（数据表）'!AB12)</f>
      </c>
      <c r="AC12" s="4">
        <f>LN('中国汇率&amp;期货（数据表）'!AC12)</f>
      </c>
      <c r="AD12" s="4">
        <f>LN('中国汇率&amp;期货（数据表）'!AD12)</f>
      </c>
      <c r="AE12" s="4">
        <f>LN('中国汇率&amp;期货（数据表）'!AE12)</f>
      </c>
      <c r="AF12" s="4">
        <f>LN('中国汇率&amp;期货（数据表）'!AF12)</f>
      </c>
      <c r="AG12" s="4">
        <f>LN('中国汇率&amp;期货（数据表）'!AG12)</f>
      </c>
      <c r="AH12" s="4">
        <f>LN('中国汇率&amp;期货（数据表）'!AH12)</f>
      </c>
      <c r="AI12" s="4">
        <f>LN('中国汇率&amp;期货（数据表）'!AI12)</f>
      </c>
      <c r="AJ12" s="4">
        <f>LN('中国汇率&amp;期货（数据表）'!AJ12)</f>
      </c>
      <c r="AK12" s="4">
        <f>LN('中国汇率&amp;期货（数据表）'!AK12)</f>
      </c>
      <c r="AL12" s="4">
        <f>LN('中国汇率&amp;期货（数据表）'!AL12)</f>
      </c>
      <c r="AM12" s="4">
        <f>LN('中国汇率&amp;期货（数据表）'!AM12)</f>
      </c>
      <c r="AN12" s="4">
        <f>LN('中国汇率&amp;期货（数据表）'!AN12)</f>
      </c>
      <c r="AO12" s="4">
        <f>LN('中国汇率&amp;期货（数据表）'!AO12)</f>
      </c>
      <c r="AP12" s="4">
        <f>LN('中国汇率&amp;期货（数据表）'!AP12)</f>
      </c>
      <c r="AQ12" s="4">
        <f>LN('中国汇率&amp;期货（数据表）'!AQ12)</f>
      </c>
      <c r="AR12" s="4">
        <f>LN('中国汇率&amp;期货（数据表）'!AR12)</f>
      </c>
      <c r="AS12" s="4">
        <f>LN('中国汇率&amp;期货（数据表）'!AS12)</f>
      </c>
      <c r="AT12" s="4">
        <f>LN('中国汇率&amp;期货（数据表）'!AT12)</f>
      </c>
      <c r="AU12" s="4">
        <f>LN('中国汇率&amp;期货（数据表）'!AU12)</f>
      </c>
      <c r="AV12" s="4">
        <f>LN('中国汇率&amp;期货（数据表）'!AV12)</f>
      </c>
      <c r="AW12" s="4">
        <f>LN('中国汇率&amp;期货（数据表）'!AW12)</f>
      </c>
      <c r="AX12" s="4">
        <f>LN('中国汇率&amp;期货（数据表）'!AX12)</f>
      </c>
      <c r="AY12" s="4">
        <f>LN('中国汇率&amp;期货（数据表）'!AY12)</f>
      </c>
      <c r="AZ12" s="4">
        <f>LN('中国汇率&amp;期货（数据表）'!AZ12)</f>
      </c>
      <c r="BA12" s="4">
        <f>LN('中国汇率&amp;期货（数据表）'!BA12)</f>
      </c>
      <c r="BB12" s="4">
        <f>LN('中国汇率&amp;期货（数据表）'!BB12)</f>
      </c>
      <c r="BC12" s="4">
        <f>LN('中国汇率&amp;期货（数据表）'!BC12)</f>
      </c>
      <c r="BD12" s="4">
        <f>LN('中国汇率&amp;期货（数据表）'!BD12)</f>
      </c>
      <c r="BE12" s="4">
        <f>LN('中国汇率&amp;期货（数据表）'!BE12)</f>
      </c>
    </row>
    <row x14ac:dyDescent="0.25" r="13" customHeight="1" ht="18.75">
      <c r="A13" s="1"/>
      <c r="B13" s="4">
        <f>LN('中国汇率&amp;期货（数据表）'!B13)</f>
      </c>
      <c r="C13" s="4">
        <f>LN('中国汇率&amp;期货（数据表）'!C13)</f>
      </c>
      <c r="D13" s="4">
        <f>LN('中国汇率&amp;期货（数据表）'!D13)</f>
      </c>
      <c r="E13" s="4">
        <f>LN('中国汇率&amp;期货（数据表）'!E13)</f>
      </c>
      <c r="F13" s="4">
        <f>LN('中国汇率&amp;期货（数据表）'!F13)</f>
      </c>
      <c r="G13" s="4">
        <f>LN('中国汇率&amp;期货（数据表）'!G13)</f>
      </c>
      <c r="H13" s="4">
        <f>LN('中国汇率&amp;期货（数据表）'!H13)</f>
      </c>
      <c r="I13" s="4">
        <f>LN('中国汇率&amp;期货（数据表）'!I13)</f>
      </c>
      <c r="J13" s="4">
        <f>LN('中国汇率&amp;期货（数据表）'!J13)</f>
      </c>
      <c r="K13" s="4">
        <f>LN('中国汇率&amp;期货（数据表）'!K13)</f>
      </c>
      <c r="L13" s="4">
        <f>LN('中国汇率&amp;期货（数据表）'!L13)</f>
      </c>
      <c r="M13" s="4">
        <f>LN('中国汇率&amp;期货（数据表）'!M13)</f>
      </c>
      <c r="N13" s="4">
        <f>LN('中国汇率&amp;期货（数据表）'!N13)</f>
      </c>
      <c r="O13" s="4">
        <f>LN('中国汇率&amp;期货（数据表）'!O13)</f>
      </c>
      <c r="P13" s="4">
        <f>LN('中国汇率&amp;期货（数据表）'!P13)</f>
      </c>
      <c r="Q13" s="4">
        <f>LN('中国汇率&amp;期货（数据表）'!Q13)</f>
      </c>
      <c r="R13" s="4">
        <f>LN('中国汇率&amp;期货（数据表）'!R13)</f>
      </c>
      <c r="S13" s="4">
        <f>LN('中国汇率&amp;期货（数据表）'!S13)</f>
      </c>
      <c r="T13" s="4">
        <f>LN('中国汇率&amp;期货（数据表）'!T13)</f>
      </c>
      <c r="U13" s="4">
        <f>LN('中国汇率&amp;期货（数据表）'!U13)</f>
      </c>
      <c r="V13" s="4">
        <f>LN('中国汇率&amp;期货（数据表）'!V13)</f>
      </c>
      <c r="W13" s="4">
        <f>LN('中国汇率&amp;期货（数据表）'!W13)</f>
      </c>
      <c r="X13" s="4">
        <f>LN('中国汇率&amp;期货（数据表）'!X13)</f>
      </c>
      <c r="Y13" s="4">
        <f>LN('中国汇率&amp;期货（数据表）'!Y13)</f>
      </c>
      <c r="Z13" s="4">
        <f>LN('中国汇率&amp;期货（数据表）'!Z13)</f>
      </c>
      <c r="AA13" s="4">
        <f>LN('中国汇率&amp;期货（数据表）'!AA13)</f>
      </c>
      <c r="AB13" s="4">
        <f>LN('中国汇率&amp;期货（数据表）'!AB13)</f>
      </c>
      <c r="AC13" s="4">
        <f>LN('中国汇率&amp;期货（数据表）'!AC13)</f>
      </c>
      <c r="AD13" s="4">
        <f>LN('中国汇率&amp;期货（数据表）'!AD13)</f>
      </c>
      <c r="AE13" s="4">
        <f>LN('中国汇率&amp;期货（数据表）'!AE13)</f>
      </c>
      <c r="AF13" s="4">
        <f>LN('中国汇率&amp;期货（数据表）'!AF13)</f>
      </c>
      <c r="AG13" s="4">
        <f>LN('中国汇率&amp;期货（数据表）'!AG13)</f>
      </c>
      <c r="AH13" s="4">
        <f>LN('中国汇率&amp;期货（数据表）'!AH13)</f>
      </c>
      <c r="AI13" s="4">
        <f>LN('中国汇率&amp;期货（数据表）'!AI13)</f>
      </c>
      <c r="AJ13" s="4">
        <f>LN('中国汇率&amp;期货（数据表）'!AJ13)</f>
      </c>
      <c r="AK13" s="4">
        <f>LN('中国汇率&amp;期货（数据表）'!AK13)</f>
      </c>
      <c r="AL13" s="4">
        <f>LN('中国汇率&amp;期货（数据表）'!AL13)</f>
      </c>
      <c r="AM13" s="4">
        <f>LN('中国汇率&amp;期货（数据表）'!AM13)</f>
      </c>
      <c r="AN13" s="4">
        <f>LN('中国汇率&amp;期货（数据表）'!AN13)</f>
      </c>
      <c r="AO13" s="4">
        <f>LN('中国汇率&amp;期货（数据表）'!AO13)</f>
      </c>
      <c r="AP13" s="4">
        <f>LN('中国汇率&amp;期货（数据表）'!AP13)</f>
      </c>
      <c r="AQ13" s="4">
        <f>LN('中国汇率&amp;期货（数据表）'!AQ13)</f>
      </c>
      <c r="AR13" s="4">
        <f>LN('中国汇率&amp;期货（数据表）'!AR13)</f>
      </c>
      <c r="AS13" s="4">
        <f>LN('中国汇率&amp;期货（数据表）'!AS13)</f>
      </c>
      <c r="AT13" s="4">
        <f>LN('中国汇率&amp;期货（数据表）'!AT13)</f>
      </c>
      <c r="AU13" s="4">
        <f>LN('中国汇率&amp;期货（数据表）'!AU13)</f>
      </c>
      <c r="AV13" s="4">
        <f>LN('中国汇率&amp;期货（数据表）'!AV13)</f>
      </c>
      <c r="AW13" s="4">
        <f>LN('中国汇率&amp;期货（数据表）'!AW13)</f>
      </c>
      <c r="AX13" s="4">
        <f>LN('中国汇率&amp;期货（数据表）'!AX13)</f>
      </c>
      <c r="AY13" s="4">
        <f>LN('中国汇率&amp;期货（数据表）'!AY13)</f>
      </c>
      <c r="AZ13" s="4">
        <f>LN('中国汇率&amp;期货（数据表）'!AZ13)</f>
      </c>
      <c r="BA13" s="4">
        <f>LN('中国汇率&amp;期货（数据表）'!BA13)</f>
      </c>
      <c r="BB13" s="4">
        <f>LN('中国汇率&amp;期货（数据表）'!BB13)</f>
      </c>
      <c r="BC13" s="4">
        <f>LN('中国汇率&amp;期货（数据表）'!BC13)</f>
      </c>
      <c r="BD13" s="4">
        <f>LN('中国汇率&amp;期货（数据表）'!BD13)</f>
      </c>
      <c r="BE13" s="4">
        <f>LN('中国汇率&amp;期货（数据表）'!BE13)</f>
      </c>
    </row>
    <row x14ac:dyDescent="0.25" r="14" customHeight="1" ht="18.75">
      <c r="A14" s="1"/>
      <c r="B14" s="4">
        <f>LN('中国汇率&amp;期货（数据表）'!B14)</f>
      </c>
      <c r="C14" s="4">
        <f>LN('中国汇率&amp;期货（数据表）'!C14)</f>
      </c>
      <c r="D14" s="4">
        <f>LN('中国汇率&amp;期货（数据表）'!D14)</f>
      </c>
      <c r="E14" s="4">
        <f>LN('中国汇率&amp;期货（数据表）'!E14)</f>
      </c>
      <c r="F14" s="4">
        <f>LN('中国汇率&amp;期货（数据表）'!F14)</f>
      </c>
      <c r="G14" s="4">
        <f>LN('中国汇率&amp;期货（数据表）'!G14)</f>
      </c>
      <c r="H14" s="4">
        <f>LN('中国汇率&amp;期货（数据表）'!H14)</f>
      </c>
      <c r="I14" s="4">
        <f>LN('中国汇率&amp;期货（数据表）'!I14)</f>
      </c>
      <c r="J14" s="4">
        <f>LN('中国汇率&amp;期货（数据表）'!J14)</f>
      </c>
      <c r="K14" s="4">
        <f>LN('中国汇率&amp;期货（数据表）'!K14)</f>
      </c>
      <c r="L14" s="4">
        <f>LN('中国汇率&amp;期货（数据表）'!L14)</f>
      </c>
      <c r="M14" s="4">
        <f>LN('中国汇率&amp;期货（数据表）'!M14)</f>
      </c>
      <c r="N14" s="4">
        <f>LN('中国汇率&amp;期货（数据表）'!N14)</f>
      </c>
      <c r="O14" s="4">
        <f>LN('中国汇率&amp;期货（数据表）'!O14)</f>
      </c>
      <c r="P14" s="4">
        <f>LN('中国汇率&amp;期货（数据表）'!P14)</f>
      </c>
      <c r="Q14" s="4">
        <f>LN('中国汇率&amp;期货（数据表）'!Q14)</f>
      </c>
      <c r="R14" s="4">
        <f>LN('中国汇率&amp;期货（数据表）'!R14)</f>
      </c>
      <c r="S14" s="4">
        <f>LN('中国汇率&amp;期货（数据表）'!S14)</f>
      </c>
      <c r="T14" s="4">
        <f>LN('中国汇率&amp;期货（数据表）'!T14)</f>
      </c>
      <c r="U14" s="4">
        <f>LN('中国汇率&amp;期货（数据表）'!U14)</f>
      </c>
      <c r="V14" s="4">
        <f>LN('中国汇率&amp;期货（数据表）'!V14)</f>
      </c>
      <c r="W14" s="4">
        <f>LN('中国汇率&amp;期货（数据表）'!W14)</f>
      </c>
      <c r="X14" s="4">
        <f>LN('中国汇率&amp;期货（数据表）'!X14)</f>
      </c>
      <c r="Y14" s="4">
        <f>LN('中国汇率&amp;期货（数据表）'!Y14)</f>
      </c>
      <c r="Z14" s="4">
        <f>LN('中国汇率&amp;期货（数据表）'!Z14)</f>
      </c>
      <c r="AA14" s="4">
        <f>LN('中国汇率&amp;期货（数据表）'!AA14)</f>
      </c>
      <c r="AB14" s="4">
        <f>LN('中国汇率&amp;期货（数据表）'!AB14)</f>
      </c>
      <c r="AC14" s="4">
        <f>LN('中国汇率&amp;期货（数据表）'!AC14)</f>
      </c>
      <c r="AD14" s="4">
        <f>LN('中国汇率&amp;期货（数据表）'!AD14)</f>
      </c>
      <c r="AE14" s="4">
        <f>LN('中国汇率&amp;期货（数据表）'!AE14)</f>
      </c>
      <c r="AF14" s="4">
        <f>LN('中国汇率&amp;期货（数据表）'!AF14)</f>
      </c>
      <c r="AG14" s="4">
        <f>LN('中国汇率&amp;期货（数据表）'!AG14)</f>
      </c>
      <c r="AH14" s="4">
        <f>LN('中国汇率&amp;期货（数据表）'!AH14)</f>
      </c>
      <c r="AI14" s="4">
        <f>LN('中国汇率&amp;期货（数据表）'!AI14)</f>
      </c>
      <c r="AJ14" s="4">
        <f>LN('中国汇率&amp;期货（数据表）'!AJ14)</f>
      </c>
      <c r="AK14" s="4">
        <f>LN('中国汇率&amp;期货（数据表）'!AK14)</f>
      </c>
      <c r="AL14" s="4">
        <f>LN('中国汇率&amp;期货（数据表）'!AL14)</f>
      </c>
      <c r="AM14" s="4">
        <f>LN('中国汇率&amp;期货（数据表）'!AM14)</f>
      </c>
      <c r="AN14" s="4">
        <f>LN('中国汇率&amp;期货（数据表）'!AN14)</f>
      </c>
      <c r="AO14" s="4">
        <f>LN('中国汇率&amp;期货（数据表）'!AO14)</f>
      </c>
      <c r="AP14" s="4">
        <f>LN('中国汇率&amp;期货（数据表）'!AP14)</f>
      </c>
      <c r="AQ14" s="4">
        <f>LN('中国汇率&amp;期货（数据表）'!AQ14)</f>
      </c>
      <c r="AR14" s="4">
        <f>LN('中国汇率&amp;期货（数据表）'!AR14)</f>
      </c>
      <c r="AS14" s="4">
        <f>LN('中国汇率&amp;期货（数据表）'!AS14)</f>
      </c>
      <c r="AT14" s="4">
        <f>LN('中国汇率&amp;期货（数据表）'!AT14)</f>
      </c>
      <c r="AU14" s="4">
        <f>LN('中国汇率&amp;期货（数据表）'!AU14)</f>
      </c>
      <c r="AV14" s="4">
        <f>LN('中国汇率&amp;期货（数据表）'!AV14)</f>
      </c>
      <c r="AW14" s="4">
        <f>LN('中国汇率&amp;期货（数据表）'!AW14)</f>
      </c>
      <c r="AX14" s="4">
        <f>LN('中国汇率&amp;期货（数据表）'!AX14)</f>
      </c>
      <c r="AY14" s="4">
        <f>LN('中国汇率&amp;期货（数据表）'!AY14)</f>
      </c>
      <c r="AZ14" s="4">
        <f>LN('中国汇率&amp;期货（数据表）'!AZ14)</f>
      </c>
      <c r="BA14" s="4">
        <f>LN('中国汇率&amp;期货（数据表）'!BA14)</f>
      </c>
      <c r="BB14" s="4">
        <f>LN('中国汇率&amp;期货（数据表）'!BB14)</f>
      </c>
      <c r="BC14" s="4">
        <f>LN('中国汇率&amp;期货（数据表）'!BC14)</f>
      </c>
      <c r="BD14" s="4">
        <f>LN('中国汇率&amp;期货（数据表）'!BD14)</f>
      </c>
      <c r="BE14" s="4">
        <f>LN('中国汇率&amp;期货（数据表）'!BE14)</f>
      </c>
    </row>
    <row x14ac:dyDescent="0.25" r="15" customHeight="1" ht="18.75">
      <c r="A15" s="1"/>
      <c r="B15" s="4">
        <f>LN('中国汇率&amp;期货（数据表）'!B15)</f>
      </c>
      <c r="C15" s="4">
        <f>LN('中国汇率&amp;期货（数据表）'!C15)</f>
      </c>
      <c r="D15" s="4">
        <f>LN('中国汇率&amp;期货（数据表）'!D15)</f>
      </c>
      <c r="E15" s="4">
        <f>LN('中国汇率&amp;期货（数据表）'!E15)</f>
      </c>
      <c r="F15" s="4">
        <f>LN('中国汇率&amp;期货（数据表）'!F15)</f>
      </c>
      <c r="G15" s="4">
        <f>LN('中国汇率&amp;期货（数据表）'!G15)</f>
      </c>
      <c r="H15" s="4">
        <f>LN('中国汇率&amp;期货（数据表）'!H15)</f>
      </c>
      <c r="I15" s="4">
        <f>LN('中国汇率&amp;期货（数据表）'!I15)</f>
      </c>
      <c r="J15" s="4">
        <f>LN('中国汇率&amp;期货（数据表）'!J15)</f>
      </c>
      <c r="K15" s="4">
        <f>LN('中国汇率&amp;期货（数据表）'!K15)</f>
      </c>
      <c r="L15" s="4">
        <f>LN('中国汇率&amp;期货（数据表）'!L15)</f>
      </c>
      <c r="M15" s="4">
        <f>LN('中国汇率&amp;期货（数据表）'!M15)</f>
      </c>
      <c r="N15" s="4">
        <f>LN('中国汇率&amp;期货（数据表）'!N15)</f>
      </c>
      <c r="O15" s="4">
        <f>LN('中国汇率&amp;期货（数据表）'!O15)</f>
      </c>
      <c r="P15" s="4">
        <f>LN('中国汇率&amp;期货（数据表）'!P15)</f>
      </c>
      <c r="Q15" s="4">
        <f>LN('中国汇率&amp;期货（数据表）'!Q15)</f>
      </c>
      <c r="R15" s="4">
        <f>LN('中国汇率&amp;期货（数据表）'!R15)</f>
      </c>
      <c r="S15" s="4">
        <f>LN('中国汇率&amp;期货（数据表）'!S15)</f>
      </c>
      <c r="T15" s="4">
        <f>LN('中国汇率&amp;期货（数据表）'!T15)</f>
      </c>
      <c r="U15" s="4">
        <f>LN('中国汇率&amp;期货（数据表）'!U15)</f>
      </c>
      <c r="V15" s="4">
        <f>LN('中国汇率&amp;期货（数据表）'!V15)</f>
      </c>
      <c r="W15" s="4">
        <f>LN('中国汇率&amp;期货（数据表）'!W15)</f>
      </c>
      <c r="X15" s="4">
        <f>LN('中国汇率&amp;期货（数据表）'!X15)</f>
      </c>
      <c r="Y15" s="4">
        <f>LN('中国汇率&amp;期货（数据表）'!Y15)</f>
      </c>
      <c r="Z15" s="4">
        <f>LN('中国汇率&amp;期货（数据表）'!Z15)</f>
      </c>
      <c r="AA15" s="4">
        <f>LN('中国汇率&amp;期货（数据表）'!AA15)</f>
      </c>
      <c r="AB15" s="4">
        <f>LN('中国汇率&amp;期货（数据表）'!AB15)</f>
      </c>
      <c r="AC15" s="4">
        <f>LN('中国汇率&amp;期货（数据表）'!AC15)</f>
      </c>
      <c r="AD15" s="4">
        <f>LN('中国汇率&amp;期货（数据表）'!AD15)</f>
      </c>
      <c r="AE15" s="4">
        <f>LN('中国汇率&amp;期货（数据表）'!AE15)</f>
      </c>
      <c r="AF15" s="4">
        <f>LN('中国汇率&amp;期货（数据表）'!AF15)</f>
      </c>
      <c r="AG15" s="4">
        <f>LN('中国汇率&amp;期货（数据表）'!AG15)</f>
      </c>
      <c r="AH15" s="4">
        <f>LN('中国汇率&amp;期货（数据表）'!AH15)</f>
      </c>
      <c r="AI15" s="4">
        <f>LN('中国汇率&amp;期货（数据表）'!AI15)</f>
      </c>
      <c r="AJ15" s="4">
        <f>LN('中国汇率&amp;期货（数据表）'!AJ15)</f>
      </c>
      <c r="AK15" s="4">
        <f>LN('中国汇率&amp;期货（数据表）'!AK15)</f>
      </c>
      <c r="AL15" s="4">
        <f>LN('中国汇率&amp;期货（数据表）'!AL15)</f>
      </c>
      <c r="AM15" s="4">
        <f>LN('中国汇率&amp;期货（数据表）'!AM15)</f>
      </c>
      <c r="AN15" s="4">
        <f>LN('中国汇率&amp;期货（数据表）'!AN15)</f>
      </c>
      <c r="AO15" s="4">
        <f>LN('中国汇率&amp;期货（数据表）'!AO15)</f>
      </c>
      <c r="AP15" s="4">
        <f>LN('中国汇率&amp;期货（数据表）'!AP15)</f>
      </c>
      <c r="AQ15" s="4">
        <f>LN('中国汇率&amp;期货（数据表）'!AQ15)</f>
      </c>
      <c r="AR15" s="4">
        <f>LN('中国汇率&amp;期货（数据表）'!AR15)</f>
      </c>
      <c r="AS15" s="4">
        <f>LN('中国汇率&amp;期货（数据表）'!AS15)</f>
      </c>
      <c r="AT15" s="4">
        <f>LN('中国汇率&amp;期货（数据表）'!AT15)</f>
      </c>
      <c r="AU15" s="4">
        <f>LN('中国汇率&amp;期货（数据表）'!AU15)</f>
      </c>
      <c r="AV15" s="4">
        <f>LN('中国汇率&amp;期货（数据表）'!AV15)</f>
      </c>
      <c r="AW15" s="4">
        <f>LN('中国汇率&amp;期货（数据表）'!AW15)</f>
      </c>
      <c r="AX15" s="4">
        <f>LN('中国汇率&amp;期货（数据表）'!AX15)</f>
      </c>
      <c r="AY15" s="4">
        <f>LN('中国汇率&amp;期货（数据表）'!AY15)</f>
      </c>
      <c r="AZ15" s="4">
        <f>LN('中国汇率&amp;期货（数据表）'!AZ15)</f>
      </c>
      <c r="BA15" s="4">
        <f>LN('中国汇率&amp;期货（数据表）'!BA15)</f>
      </c>
      <c r="BB15" s="4">
        <f>LN('中国汇率&amp;期货（数据表）'!BB15)</f>
      </c>
      <c r="BC15" s="4">
        <f>LN('中国汇率&amp;期货（数据表）'!BC15)</f>
      </c>
      <c r="BD15" s="4">
        <f>LN('中国汇率&amp;期货（数据表）'!BD15)</f>
      </c>
      <c r="BE15" s="4">
        <f>LN('中国汇率&amp;期货（数据表）'!BE15)</f>
      </c>
    </row>
    <row x14ac:dyDescent="0.25" r="16" customHeight="1" ht="18.75">
      <c r="A16" s="1"/>
      <c r="B16" s="4">
        <f>LN('中国汇率&amp;期货（数据表）'!B16)</f>
      </c>
      <c r="C16" s="4">
        <f>LN('中国汇率&amp;期货（数据表）'!C16)</f>
      </c>
      <c r="D16" s="4">
        <f>LN('中国汇率&amp;期货（数据表）'!D16)</f>
      </c>
      <c r="E16" s="4">
        <f>LN('中国汇率&amp;期货（数据表）'!E16)</f>
      </c>
      <c r="F16" s="4">
        <f>LN('中国汇率&amp;期货（数据表）'!F16)</f>
      </c>
      <c r="G16" s="4">
        <f>LN('中国汇率&amp;期货（数据表）'!G16)</f>
      </c>
      <c r="H16" s="4">
        <f>LN('中国汇率&amp;期货（数据表）'!H16)</f>
      </c>
      <c r="I16" s="4">
        <f>LN('中国汇率&amp;期货（数据表）'!I16)</f>
      </c>
      <c r="J16" s="4">
        <f>LN('中国汇率&amp;期货（数据表）'!J16)</f>
      </c>
      <c r="K16" s="4">
        <f>LN('中国汇率&amp;期货（数据表）'!K16)</f>
      </c>
      <c r="L16" s="4">
        <f>LN('中国汇率&amp;期货（数据表）'!L16)</f>
      </c>
      <c r="M16" s="4">
        <f>LN('中国汇率&amp;期货（数据表）'!M16)</f>
      </c>
      <c r="N16" s="4">
        <f>LN('中国汇率&amp;期货（数据表）'!N16)</f>
      </c>
      <c r="O16" s="4">
        <f>LN('中国汇率&amp;期货（数据表）'!O16)</f>
      </c>
      <c r="P16" s="4">
        <f>LN('中国汇率&amp;期货（数据表）'!P16)</f>
      </c>
      <c r="Q16" s="4">
        <f>LN('中国汇率&amp;期货（数据表）'!Q16)</f>
      </c>
      <c r="R16" s="4">
        <f>LN('中国汇率&amp;期货（数据表）'!R16)</f>
      </c>
      <c r="S16" s="4">
        <f>LN('中国汇率&amp;期货（数据表）'!S16)</f>
      </c>
      <c r="T16" s="4">
        <f>LN('中国汇率&amp;期货（数据表）'!T16)</f>
      </c>
      <c r="U16" s="4">
        <f>LN('中国汇率&amp;期货（数据表）'!U16)</f>
      </c>
      <c r="V16" s="4">
        <f>LN('中国汇率&amp;期货（数据表）'!V16)</f>
      </c>
      <c r="W16" s="4">
        <f>LN('中国汇率&amp;期货（数据表）'!W16)</f>
      </c>
      <c r="X16" s="4">
        <f>LN('中国汇率&amp;期货（数据表）'!X16)</f>
      </c>
      <c r="Y16" s="4">
        <f>LN('中国汇率&amp;期货（数据表）'!Y16)</f>
      </c>
      <c r="Z16" s="4">
        <f>LN('中国汇率&amp;期货（数据表）'!Z16)</f>
      </c>
      <c r="AA16" s="4">
        <f>LN('中国汇率&amp;期货（数据表）'!AA16)</f>
      </c>
      <c r="AB16" s="4">
        <f>LN('中国汇率&amp;期货（数据表）'!AB16)</f>
      </c>
      <c r="AC16" s="4">
        <f>LN('中国汇率&amp;期货（数据表）'!AC16)</f>
      </c>
      <c r="AD16" s="4">
        <f>LN('中国汇率&amp;期货（数据表）'!AD16)</f>
      </c>
      <c r="AE16" s="4">
        <f>LN('中国汇率&amp;期货（数据表）'!AE16)</f>
      </c>
      <c r="AF16" s="4">
        <f>LN('中国汇率&amp;期货（数据表）'!AF16)</f>
      </c>
      <c r="AG16" s="4">
        <f>LN('中国汇率&amp;期货（数据表）'!AG16)</f>
      </c>
      <c r="AH16" s="4">
        <f>LN('中国汇率&amp;期货（数据表）'!AH16)</f>
      </c>
      <c r="AI16" s="4">
        <f>LN('中国汇率&amp;期货（数据表）'!AI16)</f>
      </c>
      <c r="AJ16" s="4">
        <f>LN('中国汇率&amp;期货（数据表）'!AJ16)</f>
      </c>
      <c r="AK16" s="4">
        <f>LN('中国汇率&amp;期货（数据表）'!AK16)</f>
      </c>
      <c r="AL16" s="4">
        <f>LN('中国汇率&amp;期货（数据表）'!AL16)</f>
      </c>
      <c r="AM16" s="4">
        <f>LN('中国汇率&amp;期货（数据表）'!AM16)</f>
      </c>
      <c r="AN16" s="4">
        <f>LN('中国汇率&amp;期货（数据表）'!AN16)</f>
      </c>
      <c r="AO16" s="4">
        <f>LN('中国汇率&amp;期货（数据表）'!AO16)</f>
      </c>
      <c r="AP16" s="4">
        <f>LN('中国汇率&amp;期货（数据表）'!AP16)</f>
      </c>
      <c r="AQ16" s="4">
        <f>LN('中国汇率&amp;期货（数据表）'!AQ16)</f>
      </c>
      <c r="AR16" s="4">
        <f>LN('中国汇率&amp;期货（数据表）'!AR16)</f>
      </c>
      <c r="AS16" s="4">
        <f>LN('中国汇率&amp;期货（数据表）'!AS16)</f>
      </c>
      <c r="AT16" s="4">
        <f>LN('中国汇率&amp;期货（数据表）'!AT16)</f>
      </c>
      <c r="AU16" s="4">
        <f>LN('中国汇率&amp;期货（数据表）'!AU16)</f>
      </c>
      <c r="AV16" s="4">
        <f>LN('中国汇率&amp;期货（数据表）'!AV16)</f>
      </c>
      <c r="AW16" s="4">
        <f>LN('中国汇率&amp;期货（数据表）'!AW16)</f>
      </c>
      <c r="AX16" s="4">
        <f>LN('中国汇率&amp;期货（数据表）'!AX16)</f>
      </c>
      <c r="AY16" s="4">
        <f>LN('中国汇率&amp;期货（数据表）'!AY16)</f>
      </c>
      <c r="AZ16" s="4">
        <f>LN('中国汇率&amp;期货（数据表）'!AZ16)</f>
      </c>
      <c r="BA16" s="4">
        <f>LN('中国汇率&amp;期货（数据表）'!BA16)</f>
      </c>
      <c r="BB16" s="4">
        <f>LN('中国汇率&amp;期货（数据表）'!BB16)</f>
      </c>
      <c r="BC16" s="4">
        <f>LN('中国汇率&amp;期货（数据表）'!BC16)</f>
      </c>
      <c r="BD16" s="4">
        <f>LN('中国汇率&amp;期货（数据表）'!BD16)</f>
      </c>
      <c r="BE16" s="4">
        <f>LN('中国汇率&amp;期货（数据表）'!BE16)</f>
      </c>
    </row>
    <row x14ac:dyDescent="0.25" r="17" customHeight="1" ht="18.75">
      <c r="A17" s="1"/>
      <c r="B17" s="4">
        <f>LN('中国汇率&amp;期货（数据表）'!B17)</f>
      </c>
      <c r="C17" s="4">
        <f>LN('中国汇率&amp;期货（数据表）'!C17)</f>
      </c>
      <c r="D17" s="4">
        <f>LN('中国汇率&amp;期货（数据表）'!D17)</f>
      </c>
      <c r="E17" s="4">
        <f>LN('中国汇率&amp;期货（数据表）'!E17)</f>
      </c>
      <c r="F17" s="4">
        <f>LN('中国汇率&amp;期货（数据表）'!F17)</f>
      </c>
      <c r="G17" s="4">
        <f>LN('中国汇率&amp;期货（数据表）'!G17)</f>
      </c>
      <c r="H17" s="4">
        <f>LN('中国汇率&amp;期货（数据表）'!H17)</f>
      </c>
      <c r="I17" s="4">
        <f>LN('中国汇率&amp;期货（数据表）'!I17)</f>
      </c>
      <c r="J17" s="4">
        <f>LN('中国汇率&amp;期货（数据表）'!J17)</f>
      </c>
      <c r="K17" s="4">
        <f>LN('中国汇率&amp;期货（数据表）'!K17)</f>
      </c>
      <c r="L17" s="4">
        <f>LN('中国汇率&amp;期货（数据表）'!L17)</f>
      </c>
      <c r="M17" s="4">
        <f>LN('中国汇率&amp;期货（数据表）'!M17)</f>
      </c>
      <c r="N17" s="4">
        <f>LN('中国汇率&amp;期货（数据表）'!N17)</f>
      </c>
      <c r="O17" s="4">
        <f>LN('中国汇率&amp;期货（数据表）'!O17)</f>
      </c>
      <c r="P17" s="4">
        <f>LN('中国汇率&amp;期货（数据表）'!P17)</f>
      </c>
      <c r="Q17" s="4">
        <f>LN('中国汇率&amp;期货（数据表）'!Q17)</f>
      </c>
      <c r="R17" s="4">
        <f>LN('中国汇率&amp;期货（数据表）'!R17)</f>
      </c>
      <c r="S17" s="4">
        <f>LN('中国汇率&amp;期货（数据表）'!S17)</f>
      </c>
      <c r="T17" s="4">
        <f>LN('中国汇率&amp;期货（数据表）'!T17)</f>
      </c>
      <c r="U17" s="4">
        <f>LN('中国汇率&amp;期货（数据表）'!U17)</f>
      </c>
      <c r="V17" s="4">
        <f>LN('中国汇率&amp;期货（数据表）'!V17)</f>
      </c>
      <c r="W17" s="4">
        <f>LN('中国汇率&amp;期货（数据表）'!W17)</f>
      </c>
      <c r="X17" s="4">
        <f>LN('中国汇率&amp;期货（数据表）'!X17)</f>
      </c>
      <c r="Y17" s="4">
        <f>LN('中国汇率&amp;期货（数据表）'!Y17)</f>
      </c>
      <c r="Z17" s="4">
        <f>LN('中国汇率&amp;期货（数据表）'!Z17)</f>
      </c>
      <c r="AA17" s="4">
        <f>LN('中国汇率&amp;期货（数据表）'!AA17)</f>
      </c>
      <c r="AB17" s="4">
        <f>LN('中国汇率&amp;期货（数据表）'!AB17)</f>
      </c>
      <c r="AC17" s="4">
        <f>LN('中国汇率&amp;期货（数据表）'!AC17)</f>
      </c>
      <c r="AD17" s="4">
        <f>LN('中国汇率&amp;期货（数据表）'!AD17)</f>
      </c>
      <c r="AE17" s="4">
        <f>LN('中国汇率&amp;期货（数据表）'!AE17)</f>
      </c>
      <c r="AF17" s="4">
        <f>LN('中国汇率&amp;期货（数据表）'!AF17)</f>
      </c>
      <c r="AG17" s="4">
        <f>LN('中国汇率&amp;期货（数据表）'!AG17)</f>
      </c>
      <c r="AH17" s="4">
        <f>LN('中国汇率&amp;期货（数据表）'!AH17)</f>
      </c>
      <c r="AI17" s="4">
        <f>LN('中国汇率&amp;期货（数据表）'!AI17)</f>
      </c>
      <c r="AJ17" s="4">
        <f>LN('中国汇率&amp;期货（数据表）'!AJ17)</f>
      </c>
      <c r="AK17" s="4">
        <f>LN('中国汇率&amp;期货（数据表）'!AK17)</f>
      </c>
      <c r="AL17" s="4">
        <f>LN('中国汇率&amp;期货（数据表）'!AL17)</f>
      </c>
      <c r="AM17" s="4">
        <f>LN('中国汇率&amp;期货（数据表）'!AM17)</f>
      </c>
      <c r="AN17" s="4">
        <f>LN('中国汇率&amp;期货（数据表）'!AN17)</f>
      </c>
      <c r="AO17" s="4">
        <f>LN('中国汇率&amp;期货（数据表）'!AO17)</f>
      </c>
      <c r="AP17" s="4">
        <f>LN('中国汇率&amp;期货（数据表）'!AP17)</f>
      </c>
      <c r="AQ17" s="4">
        <f>LN('中国汇率&amp;期货（数据表）'!AQ17)</f>
      </c>
      <c r="AR17" s="4">
        <f>LN('中国汇率&amp;期货（数据表）'!AR17)</f>
      </c>
      <c r="AS17" s="4">
        <f>LN('中国汇率&amp;期货（数据表）'!AS17)</f>
      </c>
      <c r="AT17" s="4">
        <f>LN('中国汇率&amp;期货（数据表）'!AT17)</f>
      </c>
      <c r="AU17" s="4">
        <f>LN('中国汇率&amp;期货（数据表）'!AU17)</f>
      </c>
      <c r="AV17" s="4">
        <f>LN('中国汇率&amp;期货（数据表）'!AV17)</f>
      </c>
      <c r="AW17" s="4">
        <f>LN('中国汇率&amp;期货（数据表）'!AW17)</f>
      </c>
      <c r="AX17" s="4">
        <f>LN('中国汇率&amp;期货（数据表）'!AX17)</f>
      </c>
      <c r="AY17" s="4">
        <f>LN('中国汇率&amp;期货（数据表）'!AY17)</f>
      </c>
      <c r="AZ17" s="4">
        <f>LN('中国汇率&amp;期货（数据表）'!AZ17)</f>
      </c>
      <c r="BA17" s="4">
        <f>LN('中国汇率&amp;期货（数据表）'!BA17)</f>
      </c>
      <c r="BB17" s="4">
        <f>LN('中国汇率&amp;期货（数据表）'!BB17)</f>
      </c>
      <c r="BC17" s="4">
        <f>LN('中国汇率&amp;期货（数据表）'!BC17)</f>
      </c>
      <c r="BD17" s="4">
        <f>LN('中国汇率&amp;期货（数据表）'!BD17)</f>
      </c>
      <c r="BE17" s="4">
        <f>LN('中国汇率&amp;期货（数据表）'!BE17)</f>
      </c>
    </row>
    <row x14ac:dyDescent="0.25" r="18" customHeight="1" ht="18.75">
      <c r="A18" s="1"/>
      <c r="B18" s="4">
        <f>LN('中国汇率&amp;期货（数据表）'!B18)</f>
      </c>
      <c r="C18" s="4">
        <f>LN('中国汇率&amp;期货（数据表）'!C18)</f>
      </c>
      <c r="D18" s="4">
        <f>LN('中国汇率&amp;期货（数据表）'!D18)</f>
      </c>
      <c r="E18" s="4">
        <f>LN('中国汇率&amp;期货（数据表）'!E18)</f>
      </c>
      <c r="F18" s="4">
        <f>LN('中国汇率&amp;期货（数据表）'!F18)</f>
      </c>
      <c r="G18" s="4">
        <f>LN('中国汇率&amp;期货（数据表）'!G18)</f>
      </c>
      <c r="H18" s="4">
        <f>LN('中国汇率&amp;期货（数据表）'!H18)</f>
      </c>
      <c r="I18" s="4">
        <f>LN('中国汇率&amp;期货（数据表）'!I18)</f>
      </c>
      <c r="J18" s="4">
        <f>LN('中国汇率&amp;期货（数据表）'!J18)</f>
      </c>
      <c r="K18" s="4">
        <f>LN('中国汇率&amp;期货（数据表）'!K18)</f>
      </c>
      <c r="L18" s="4">
        <f>LN('中国汇率&amp;期货（数据表）'!L18)</f>
      </c>
      <c r="M18" s="4">
        <f>LN('中国汇率&amp;期货（数据表）'!M18)</f>
      </c>
      <c r="N18" s="4">
        <f>LN('中国汇率&amp;期货（数据表）'!N18)</f>
      </c>
      <c r="O18" s="4">
        <f>LN('中国汇率&amp;期货（数据表）'!O18)</f>
      </c>
      <c r="P18" s="4">
        <f>LN('中国汇率&amp;期货（数据表）'!P18)</f>
      </c>
      <c r="Q18" s="4">
        <f>LN('中国汇率&amp;期货（数据表）'!Q18)</f>
      </c>
      <c r="R18" s="4">
        <f>LN('中国汇率&amp;期货（数据表）'!R18)</f>
      </c>
      <c r="S18" s="4">
        <f>LN('中国汇率&amp;期货（数据表）'!S18)</f>
      </c>
      <c r="T18" s="4">
        <f>LN('中国汇率&amp;期货（数据表）'!T18)</f>
      </c>
      <c r="U18" s="4">
        <f>LN('中国汇率&amp;期货（数据表）'!U18)</f>
      </c>
      <c r="V18" s="4">
        <f>LN('中国汇率&amp;期货（数据表）'!V18)</f>
      </c>
      <c r="W18" s="4">
        <f>LN('中国汇率&amp;期货（数据表）'!W18)</f>
      </c>
      <c r="X18" s="4">
        <f>LN('中国汇率&amp;期货（数据表）'!X18)</f>
      </c>
      <c r="Y18" s="4">
        <f>LN('中国汇率&amp;期货（数据表）'!Y18)</f>
      </c>
      <c r="Z18" s="4">
        <f>LN('中国汇率&amp;期货（数据表）'!Z18)</f>
      </c>
      <c r="AA18" s="4">
        <f>LN('中国汇率&amp;期货（数据表）'!AA18)</f>
      </c>
      <c r="AB18" s="4">
        <f>LN('中国汇率&amp;期货（数据表）'!AB18)</f>
      </c>
      <c r="AC18" s="4">
        <f>LN('中国汇率&amp;期货（数据表）'!AC18)</f>
      </c>
      <c r="AD18" s="4">
        <f>LN('中国汇率&amp;期货（数据表）'!AD18)</f>
      </c>
      <c r="AE18" s="4">
        <f>LN('中国汇率&amp;期货（数据表）'!AE18)</f>
      </c>
      <c r="AF18" s="4">
        <f>LN('中国汇率&amp;期货（数据表）'!AF18)</f>
      </c>
      <c r="AG18" s="4">
        <f>LN('中国汇率&amp;期货（数据表）'!AG18)</f>
      </c>
      <c r="AH18" s="4">
        <f>LN('中国汇率&amp;期货（数据表）'!AH18)</f>
      </c>
      <c r="AI18" s="4">
        <f>LN('中国汇率&amp;期货（数据表）'!AI18)</f>
      </c>
      <c r="AJ18" s="4">
        <f>LN('中国汇率&amp;期货（数据表）'!AJ18)</f>
      </c>
      <c r="AK18" s="4">
        <f>LN('中国汇率&amp;期货（数据表）'!AK18)</f>
      </c>
      <c r="AL18" s="4">
        <f>LN('中国汇率&amp;期货（数据表）'!AL18)</f>
      </c>
      <c r="AM18" s="4">
        <f>LN('中国汇率&amp;期货（数据表）'!AM18)</f>
      </c>
      <c r="AN18" s="4">
        <f>LN('中国汇率&amp;期货（数据表）'!AN18)</f>
      </c>
      <c r="AO18" s="4">
        <f>LN('中国汇率&amp;期货（数据表）'!AO18)</f>
      </c>
      <c r="AP18" s="4">
        <f>LN('中国汇率&amp;期货（数据表）'!AP18)</f>
      </c>
      <c r="AQ18" s="4">
        <f>LN('中国汇率&amp;期货（数据表）'!AQ18)</f>
      </c>
      <c r="AR18" s="4">
        <f>LN('中国汇率&amp;期货（数据表）'!AR18)</f>
      </c>
      <c r="AS18" s="4">
        <f>LN('中国汇率&amp;期货（数据表）'!AS18)</f>
      </c>
      <c r="AT18" s="4">
        <f>LN('中国汇率&amp;期货（数据表）'!AT18)</f>
      </c>
      <c r="AU18" s="4">
        <f>LN('中国汇率&amp;期货（数据表）'!AU18)</f>
      </c>
      <c r="AV18" s="4">
        <f>LN('中国汇率&amp;期货（数据表）'!AV18)</f>
      </c>
      <c r="AW18" s="4">
        <f>LN('中国汇率&amp;期货（数据表）'!AW18)</f>
      </c>
      <c r="AX18" s="4">
        <f>LN('中国汇率&amp;期货（数据表）'!AX18)</f>
      </c>
      <c r="AY18" s="4">
        <f>LN('中国汇率&amp;期货（数据表）'!AY18)</f>
      </c>
      <c r="AZ18" s="4">
        <f>LN('中国汇率&amp;期货（数据表）'!AZ18)</f>
      </c>
      <c r="BA18" s="4">
        <f>LN('中国汇率&amp;期货（数据表）'!BA18)</f>
      </c>
      <c r="BB18" s="4">
        <f>LN('中国汇率&amp;期货（数据表）'!BB18)</f>
      </c>
      <c r="BC18" s="4">
        <f>LN('中国汇率&amp;期货（数据表）'!BC18)</f>
      </c>
      <c r="BD18" s="4">
        <f>LN('中国汇率&amp;期货（数据表）'!BD18)</f>
      </c>
      <c r="BE18" s="4">
        <f>LN('中国汇率&amp;期货（数据表）'!BE18)</f>
      </c>
    </row>
    <row x14ac:dyDescent="0.25" r="19" customHeight="1" ht="18.75">
      <c r="A19" s="1"/>
      <c r="B19" s="4">
        <f>LN('中国汇率&amp;期货（数据表）'!B19)</f>
      </c>
      <c r="C19" s="4">
        <f>LN('中国汇率&amp;期货（数据表）'!C19)</f>
      </c>
      <c r="D19" s="4">
        <f>LN('中国汇率&amp;期货（数据表）'!D19)</f>
      </c>
      <c r="E19" s="4">
        <f>LN('中国汇率&amp;期货（数据表）'!E19)</f>
      </c>
      <c r="F19" s="4">
        <f>LN('中国汇率&amp;期货（数据表）'!F19)</f>
      </c>
      <c r="G19" s="4">
        <f>LN('中国汇率&amp;期货（数据表）'!G19)</f>
      </c>
      <c r="H19" s="4">
        <f>LN('中国汇率&amp;期货（数据表）'!H19)</f>
      </c>
      <c r="I19" s="4">
        <f>LN('中国汇率&amp;期货（数据表）'!I19)</f>
      </c>
      <c r="J19" s="4">
        <f>LN('中国汇率&amp;期货（数据表）'!J19)</f>
      </c>
      <c r="K19" s="4">
        <f>LN('中国汇率&amp;期货（数据表）'!K19)</f>
      </c>
      <c r="L19" s="4">
        <f>LN('中国汇率&amp;期货（数据表）'!L19)</f>
      </c>
      <c r="M19" s="4">
        <f>LN('中国汇率&amp;期货（数据表）'!M19)</f>
      </c>
      <c r="N19" s="4">
        <f>LN('中国汇率&amp;期货（数据表）'!N19)</f>
      </c>
      <c r="O19" s="4">
        <f>LN('中国汇率&amp;期货（数据表）'!O19)</f>
      </c>
      <c r="P19" s="4">
        <f>LN('中国汇率&amp;期货（数据表）'!P19)</f>
      </c>
      <c r="Q19" s="4">
        <f>LN('中国汇率&amp;期货（数据表）'!Q19)</f>
      </c>
      <c r="R19" s="4">
        <f>LN('中国汇率&amp;期货（数据表）'!R19)</f>
      </c>
      <c r="S19" s="4">
        <f>LN('中国汇率&amp;期货（数据表）'!S19)</f>
      </c>
      <c r="T19" s="4">
        <f>LN('中国汇率&amp;期货（数据表）'!T19)</f>
      </c>
      <c r="U19" s="4">
        <f>LN('中国汇率&amp;期货（数据表）'!U19)</f>
      </c>
      <c r="V19" s="4">
        <f>LN('中国汇率&amp;期货（数据表）'!V19)</f>
      </c>
      <c r="W19" s="4">
        <f>LN('中国汇率&amp;期货（数据表）'!W19)</f>
      </c>
      <c r="X19" s="4">
        <f>LN('中国汇率&amp;期货（数据表）'!X19)</f>
      </c>
      <c r="Y19" s="4">
        <f>LN('中国汇率&amp;期货（数据表）'!Y19)</f>
      </c>
      <c r="Z19" s="4">
        <f>LN('中国汇率&amp;期货（数据表）'!Z19)</f>
      </c>
      <c r="AA19" s="4">
        <f>LN('中国汇率&amp;期货（数据表）'!AA19)</f>
      </c>
      <c r="AB19" s="4">
        <f>LN('中国汇率&amp;期货（数据表）'!AB19)</f>
      </c>
      <c r="AC19" s="4">
        <f>LN('中国汇率&amp;期货（数据表）'!AC19)</f>
      </c>
      <c r="AD19" s="4">
        <f>LN('中国汇率&amp;期货（数据表）'!AD19)</f>
      </c>
      <c r="AE19" s="4">
        <f>LN('中国汇率&amp;期货（数据表）'!AE19)</f>
      </c>
      <c r="AF19" s="4">
        <f>LN('中国汇率&amp;期货（数据表）'!AF19)</f>
      </c>
      <c r="AG19" s="4">
        <f>LN('中国汇率&amp;期货（数据表）'!AG19)</f>
      </c>
      <c r="AH19" s="4">
        <f>LN('中国汇率&amp;期货（数据表）'!AH19)</f>
      </c>
      <c r="AI19" s="4">
        <f>LN('中国汇率&amp;期货（数据表）'!AI19)</f>
      </c>
      <c r="AJ19" s="4">
        <f>LN('中国汇率&amp;期货（数据表）'!AJ19)</f>
      </c>
      <c r="AK19" s="4">
        <f>LN('中国汇率&amp;期货（数据表）'!AK19)</f>
      </c>
      <c r="AL19" s="4">
        <f>LN('中国汇率&amp;期货（数据表）'!AL19)</f>
      </c>
      <c r="AM19" s="4">
        <f>LN('中国汇率&amp;期货（数据表）'!AM19)</f>
      </c>
      <c r="AN19" s="4">
        <f>LN('中国汇率&amp;期货（数据表）'!AN19)</f>
      </c>
      <c r="AO19" s="4">
        <f>LN('中国汇率&amp;期货（数据表）'!AO19)</f>
      </c>
      <c r="AP19" s="4">
        <f>LN('中国汇率&amp;期货（数据表）'!AP19)</f>
      </c>
      <c r="AQ19" s="4">
        <f>LN('中国汇率&amp;期货（数据表）'!AQ19)</f>
      </c>
      <c r="AR19" s="4">
        <f>LN('中国汇率&amp;期货（数据表）'!AR19)</f>
      </c>
      <c r="AS19" s="4">
        <f>LN('中国汇率&amp;期货（数据表）'!AS19)</f>
      </c>
      <c r="AT19" s="4">
        <f>LN('中国汇率&amp;期货（数据表）'!AT19)</f>
      </c>
      <c r="AU19" s="4">
        <f>LN('中国汇率&amp;期货（数据表）'!AU19)</f>
      </c>
      <c r="AV19" s="4">
        <f>LN('中国汇率&amp;期货（数据表）'!AV19)</f>
      </c>
      <c r="AW19" s="4">
        <f>LN('中国汇率&amp;期货（数据表）'!AW19)</f>
      </c>
      <c r="AX19" s="4">
        <f>LN('中国汇率&amp;期货（数据表）'!AX19)</f>
      </c>
      <c r="AY19" s="4">
        <f>LN('中国汇率&amp;期货（数据表）'!AY19)</f>
      </c>
      <c r="AZ19" s="4">
        <f>LN('中国汇率&amp;期货（数据表）'!AZ19)</f>
      </c>
      <c r="BA19" s="4">
        <f>LN('中国汇率&amp;期货（数据表）'!BA19)</f>
      </c>
      <c r="BB19" s="4">
        <f>LN('中国汇率&amp;期货（数据表）'!BB19)</f>
      </c>
      <c r="BC19" s="4">
        <f>LN('中国汇率&amp;期货（数据表）'!BC19)</f>
      </c>
      <c r="BD19" s="4">
        <f>LN('中国汇率&amp;期货（数据表）'!BD19)</f>
      </c>
      <c r="BE19" s="4">
        <f>LN('中国汇率&amp;期货（数据表）'!BE19)</f>
      </c>
    </row>
    <row x14ac:dyDescent="0.25" r="20" customHeight="1" ht="18.75">
      <c r="A20" s="1"/>
      <c r="B20" s="4">
        <f>LN('中国汇率&amp;期货（数据表）'!B20)</f>
      </c>
      <c r="C20" s="4">
        <f>LN('中国汇率&amp;期货（数据表）'!C20)</f>
      </c>
      <c r="D20" s="4">
        <f>LN('中国汇率&amp;期货（数据表）'!D20)</f>
      </c>
      <c r="E20" s="4">
        <f>LN('中国汇率&amp;期货（数据表）'!E20)</f>
      </c>
      <c r="F20" s="4">
        <f>LN('中国汇率&amp;期货（数据表）'!F20)</f>
      </c>
      <c r="G20" s="4">
        <f>LN('中国汇率&amp;期货（数据表）'!G20)</f>
      </c>
      <c r="H20" s="4">
        <f>LN('中国汇率&amp;期货（数据表）'!H20)</f>
      </c>
      <c r="I20" s="4">
        <f>LN('中国汇率&amp;期货（数据表）'!I20)</f>
      </c>
      <c r="J20" s="4">
        <f>LN('中国汇率&amp;期货（数据表）'!J20)</f>
      </c>
      <c r="K20" s="4">
        <f>LN('中国汇率&amp;期货（数据表）'!K20)</f>
      </c>
      <c r="L20" s="4">
        <f>LN('中国汇率&amp;期货（数据表）'!L20)</f>
      </c>
      <c r="M20" s="4">
        <f>LN('中国汇率&amp;期货（数据表）'!M20)</f>
      </c>
      <c r="N20" s="4">
        <f>LN('中国汇率&amp;期货（数据表）'!N20)</f>
      </c>
      <c r="O20" s="4">
        <f>LN('中国汇率&amp;期货（数据表）'!O20)</f>
      </c>
      <c r="P20" s="4">
        <f>LN('中国汇率&amp;期货（数据表）'!P20)</f>
      </c>
      <c r="Q20" s="4">
        <f>LN('中国汇率&amp;期货（数据表）'!Q20)</f>
      </c>
      <c r="R20" s="4">
        <f>LN('中国汇率&amp;期货（数据表）'!R20)</f>
      </c>
      <c r="S20" s="4">
        <f>LN('中国汇率&amp;期货（数据表）'!S20)</f>
      </c>
      <c r="T20" s="4">
        <f>LN('中国汇率&amp;期货（数据表）'!T20)</f>
      </c>
      <c r="U20" s="4">
        <f>LN('中国汇率&amp;期货（数据表）'!U20)</f>
      </c>
      <c r="V20" s="4">
        <f>LN('中国汇率&amp;期货（数据表）'!V20)</f>
      </c>
      <c r="W20" s="4">
        <f>LN('中国汇率&amp;期货（数据表）'!W20)</f>
      </c>
      <c r="X20" s="4">
        <f>LN('中国汇率&amp;期货（数据表）'!X20)</f>
      </c>
      <c r="Y20" s="4">
        <f>LN('中国汇率&amp;期货（数据表）'!Y20)</f>
      </c>
      <c r="Z20" s="4">
        <f>LN('中国汇率&amp;期货（数据表）'!Z20)</f>
      </c>
      <c r="AA20" s="4">
        <f>LN('中国汇率&amp;期货（数据表）'!AA20)</f>
      </c>
      <c r="AB20" s="4">
        <f>LN('中国汇率&amp;期货（数据表）'!AB20)</f>
      </c>
      <c r="AC20" s="4">
        <f>LN('中国汇率&amp;期货（数据表）'!AC20)</f>
      </c>
      <c r="AD20" s="4">
        <f>LN('中国汇率&amp;期货（数据表）'!AD20)</f>
      </c>
      <c r="AE20" s="4">
        <f>LN('中国汇率&amp;期货（数据表）'!AE20)</f>
      </c>
      <c r="AF20" s="4">
        <f>LN('中国汇率&amp;期货（数据表）'!AF20)</f>
      </c>
      <c r="AG20" s="4">
        <f>LN('中国汇率&amp;期货（数据表）'!AG20)</f>
      </c>
      <c r="AH20" s="4">
        <f>LN('中国汇率&amp;期货（数据表）'!AH20)</f>
      </c>
      <c r="AI20" s="4">
        <f>LN('中国汇率&amp;期货（数据表）'!AI20)</f>
      </c>
      <c r="AJ20" s="4">
        <f>LN('中国汇率&amp;期货（数据表）'!AJ20)</f>
      </c>
      <c r="AK20" s="4">
        <f>LN('中国汇率&amp;期货（数据表）'!AK20)</f>
      </c>
      <c r="AL20" s="4">
        <f>LN('中国汇率&amp;期货（数据表）'!AL20)</f>
      </c>
      <c r="AM20" s="4">
        <f>LN('中国汇率&amp;期货（数据表）'!AM20)</f>
      </c>
      <c r="AN20" s="4">
        <f>LN('中国汇率&amp;期货（数据表）'!AN20)</f>
      </c>
      <c r="AO20" s="4">
        <f>LN('中国汇率&amp;期货（数据表）'!AO20)</f>
      </c>
      <c r="AP20" s="4">
        <f>LN('中国汇率&amp;期货（数据表）'!AP20)</f>
      </c>
      <c r="AQ20" s="4">
        <f>LN('中国汇率&amp;期货（数据表）'!AQ20)</f>
      </c>
      <c r="AR20" s="4">
        <f>LN('中国汇率&amp;期货（数据表）'!AR20)</f>
      </c>
      <c r="AS20" s="4">
        <f>LN('中国汇率&amp;期货（数据表）'!AS20)</f>
      </c>
      <c r="AT20" s="4">
        <f>LN('中国汇率&amp;期货（数据表）'!AT20)</f>
      </c>
      <c r="AU20" s="4">
        <f>LN('中国汇率&amp;期货（数据表）'!AU20)</f>
      </c>
      <c r="AV20" s="4">
        <f>LN('中国汇率&amp;期货（数据表）'!AV20)</f>
      </c>
      <c r="AW20" s="4">
        <f>LN('中国汇率&amp;期货（数据表）'!AW20)</f>
      </c>
      <c r="AX20" s="4">
        <f>LN('中国汇率&amp;期货（数据表）'!AX20)</f>
      </c>
      <c r="AY20" s="4">
        <f>LN('中国汇率&amp;期货（数据表）'!AY20)</f>
      </c>
      <c r="AZ20" s="4">
        <f>LN('中国汇率&amp;期货（数据表）'!AZ20)</f>
      </c>
      <c r="BA20" s="4">
        <f>LN('中国汇率&amp;期货（数据表）'!BA20)</f>
      </c>
      <c r="BB20" s="4">
        <f>LN('中国汇率&amp;期货（数据表）'!BB20)</f>
      </c>
      <c r="BC20" s="4">
        <f>LN('中国汇率&amp;期货（数据表）'!BC20)</f>
      </c>
      <c r="BD20" s="4">
        <f>LN('中国汇率&amp;期货（数据表）'!BD20)</f>
      </c>
      <c r="BE20" s="4">
        <f>LN('中国汇率&amp;期货（数据表）'!BE20)</f>
      </c>
    </row>
    <row x14ac:dyDescent="0.25" r="21" customHeight="1" ht="18.75">
      <c r="A21" s="1"/>
      <c r="B21" s="4">
        <f>LN('中国汇率&amp;期货（数据表）'!B21)</f>
      </c>
      <c r="C21" s="4">
        <f>LN('中国汇率&amp;期货（数据表）'!C21)</f>
      </c>
      <c r="D21" s="4">
        <f>LN('中国汇率&amp;期货（数据表）'!D21)</f>
      </c>
      <c r="E21" s="4">
        <f>LN('中国汇率&amp;期货（数据表）'!E21)</f>
      </c>
      <c r="F21" s="4">
        <f>LN('中国汇率&amp;期货（数据表）'!F21)</f>
      </c>
      <c r="G21" s="4">
        <f>LN('中国汇率&amp;期货（数据表）'!G21)</f>
      </c>
      <c r="H21" s="4">
        <f>LN('中国汇率&amp;期货（数据表）'!H21)</f>
      </c>
      <c r="I21" s="4">
        <f>LN('中国汇率&amp;期货（数据表）'!I21)</f>
      </c>
      <c r="J21" s="4">
        <f>LN('中国汇率&amp;期货（数据表）'!J21)</f>
      </c>
      <c r="K21" s="4">
        <f>LN('中国汇率&amp;期货（数据表）'!K21)</f>
      </c>
      <c r="L21" s="4">
        <f>LN('中国汇率&amp;期货（数据表）'!L21)</f>
      </c>
      <c r="M21" s="4">
        <f>LN('中国汇率&amp;期货（数据表）'!M21)</f>
      </c>
      <c r="N21" s="4">
        <f>LN('中国汇率&amp;期货（数据表）'!N21)</f>
      </c>
      <c r="O21" s="4">
        <f>LN('中国汇率&amp;期货（数据表）'!O21)</f>
      </c>
      <c r="P21" s="4">
        <f>LN('中国汇率&amp;期货（数据表）'!P21)</f>
      </c>
      <c r="Q21" s="4">
        <f>LN('中国汇率&amp;期货（数据表）'!Q21)</f>
      </c>
      <c r="R21" s="4">
        <f>LN('中国汇率&amp;期货（数据表）'!R21)</f>
      </c>
      <c r="S21" s="4">
        <f>LN('中国汇率&amp;期货（数据表）'!S21)</f>
      </c>
      <c r="T21" s="4">
        <f>LN('中国汇率&amp;期货（数据表）'!T21)</f>
      </c>
      <c r="U21" s="4">
        <f>LN('中国汇率&amp;期货（数据表）'!U21)</f>
      </c>
      <c r="V21" s="4">
        <f>LN('中国汇率&amp;期货（数据表）'!V21)</f>
      </c>
      <c r="W21" s="4">
        <f>LN('中国汇率&amp;期货（数据表）'!W21)</f>
      </c>
      <c r="X21" s="4">
        <f>LN('中国汇率&amp;期货（数据表）'!X21)</f>
      </c>
      <c r="Y21" s="4">
        <f>LN('中国汇率&amp;期货（数据表）'!Y21)</f>
      </c>
      <c r="Z21" s="4">
        <f>LN('中国汇率&amp;期货（数据表）'!Z21)</f>
      </c>
      <c r="AA21" s="4">
        <f>LN('中国汇率&amp;期货（数据表）'!AA21)</f>
      </c>
      <c r="AB21" s="4">
        <f>LN('中国汇率&amp;期货（数据表）'!AB21)</f>
      </c>
      <c r="AC21" s="4">
        <f>LN('中国汇率&amp;期货（数据表）'!AC21)</f>
      </c>
      <c r="AD21" s="4">
        <f>LN('中国汇率&amp;期货（数据表）'!AD21)</f>
      </c>
      <c r="AE21" s="4">
        <f>LN('中国汇率&amp;期货（数据表）'!AE21)</f>
      </c>
      <c r="AF21" s="4">
        <f>LN('中国汇率&amp;期货（数据表）'!AF21)</f>
      </c>
      <c r="AG21" s="4">
        <f>LN('中国汇率&amp;期货（数据表）'!AG21)</f>
      </c>
      <c r="AH21" s="4">
        <f>LN('中国汇率&amp;期货（数据表）'!AH21)</f>
      </c>
      <c r="AI21" s="4">
        <f>LN('中国汇率&amp;期货（数据表）'!AI21)</f>
      </c>
      <c r="AJ21" s="4">
        <f>LN('中国汇率&amp;期货（数据表）'!AJ21)</f>
      </c>
      <c r="AK21" s="4">
        <f>LN('中国汇率&amp;期货（数据表）'!AK21)</f>
      </c>
      <c r="AL21" s="4">
        <f>LN('中国汇率&amp;期货（数据表）'!AL21)</f>
      </c>
      <c r="AM21" s="4">
        <f>LN('中国汇率&amp;期货（数据表）'!AM21)</f>
      </c>
      <c r="AN21" s="4">
        <f>LN('中国汇率&amp;期货（数据表）'!AN21)</f>
      </c>
      <c r="AO21" s="4">
        <f>LN('中国汇率&amp;期货（数据表）'!AO21)</f>
      </c>
      <c r="AP21" s="4">
        <f>LN('中国汇率&amp;期货（数据表）'!AP21)</f>
      </c>
      <c r="AQ21" s="4">
        <f>LN('中国汇率&amp;期货（数据表）'!AQ21)</f>
      </c>
      <c r="AR21" s="4">
        <f>LN('中国汇率&amp;期货（数据表）'!AR21)</f>
      </c>
      <c r="AS21" s="4">
        <f>LN('中国汇率&amp;期货（数据表）'!AS21)</f>
      </c>
      <c r="AT21" s="4">
        <f>LN('中国汇率&amp;期货（数据表）'!AT21)</f>
      </c>
      <c r="AU21" s="4">
        <f>LN('中国汇率&amp;期货（数据表）'!AU21)</f>
      </c>
      <c r="AV21" s="4">
        <f>LN('中国汇率&amp;期货（数据表）'!AV21)</f>
      </c>
      <c r="AW21" s="4">
        <f>LN('中国汇率&amp;期货（数据表）'!AW21)</f>
      </c>
      <c r="AX21" s="4">
        <f>LN('中国汇率&amp;期货（数据表）'!AX21)</f>
      </c>
      <c r="AY21" s="4">
        <f>LN('中国汇率&amp;期货（数据表）'!AY21)</f>
      </c>
      <c r="AZ21" s="4">
        <f>LN('中国汇率&amp;期货（数据表）'!AZ21)</f>
      </c>
      <c r="BA21" s="4">
        <f>LN('中国汇率&amp;期货（数据表）'!BA21)</f>
      </c>
      <c r="BB21" s="4">
        <f>LN('中国汇率&amp;期货（数据表）'!BB21)</f>
      </c>
      <c r="BC21" s="4">
        <f>LN('中国汇率&amp;期货（数据表）'!BC21)</f>
      </c>
      <c r="BD21" s="4">
        <f>LN('中国汇率&amp;期货（数据表）'!BD21)</f>
      </c>
      <c r="BE21" s="4">
        <f>LN('中国汇率&amp;期货（数据表）'!BE21)</f>
      </c>
    </row>
    <row x14ac:dyDescent="0.25" r="22" customHeight="1" ht="18.75">
      <c r="A22" s="1"/>
      <c r="B22" s="4">
        <f>LN('中国汇率&amp;期货（数据表）'!B22)</f>
      </c>
      <c r="C22" s="4">
        <f>LN('中国汇率&amp;期货（数据表）'!C22)</f>
      </c>
      <c r="D22" s="4">
        <f>LN('中国汇率&amp;期货（数据表）'!D22)</f>
      </c>
      <c r="E22" s="4">
        <f>LN('中国汇率&amp;期货（数据表）'!E22)</f>
      </c>
      <c r="F22" s="4">
        <f>LN('中国汇率&amp;期货（数据表）'!F22)</f>
      </c>
      <c r="G22" s="4">
        <f>LN('中国汇率&amp;期货（数据表）'!G22)</f>
      </c>
      <c r="H22" s="4">
        <f>LN('中国汇率&amp;期货（数据表）'!H22)</f>
      </c>
      <c r="I22" s="4">
        <f>LN('中国汇率&amp;期货（数据表）'!I22)</f>
      </c>
      <c r="J22" s="4">
        <f>LN('中国汇率&amp;期货（数据表）'!J22)</f>
      </c>
      <c r="K22" s="4">
        <f>LN('中国汇率&amp;期货（数据表）'!K22)</f>
      </c>
      <c r="L22" s="4">
        <f>LN('中国汇率&amp;期货（数据表）'!L22)</f>
      </c>
      <c r="M22" s="4">
        <f>LN('中国汇率&amp;期货（数据表）'!M22)</f>
      </c>
      <c r="N22" s="4">
        <f>LN('中国汇率&amp;期货（数据表）'!N22)</f>
      </c>
      <c r="O22" s="4">
        <f>LN('中国汇率&amp;期货（数据表）'!O22)</f>
      </c>
      <c r="P22" s="4">
        <f>LN('中国汇率&amp;期货（数据表）'!P22)</f>
      </c>
      <c r="Q22" s="4">
        <f>LN('中国汇率&amp;期货（数据表）'!Q22)</f>
      </c>
      <c r="R22" s="4">
        <f>LN('中国汇率&amp;期货（数据表）'!R22)</f>
      </c>
      <c r="S22" s="4">
        <f>LN('中国汇率&amp;期货（数据表）'!S22)</f>
      </c>
      <c r="T22" s="4">
        <f>LN('中国汇率&amp;期货（数据表）'!T22)</f>
      </c>
      <c r="U22" s="4">
        <f>LN('中国汇率&amp;期货（数据表）'!U22)</f>
      </c>
      <c r="V22" s="4">
        <f>LN('中国汇率&amp;期货（数据表）'!V22)</f>
      </c>
      <c r="W22" s="4">
        <f>LN('中国汇率&amp;期货（数据表）'!W22)</f>
      </c>
      <c r="X22" s="4">
        <f>LN('中国汇率&amp;期货（数据表）'!X22)</f>
      </c>
      <c r="Y22" s="4">
        <f>LN('中国汇率&amp;期货（数据表）'!Y22)</f>
      </c>
      <c r="Z22" s="4">
        <f>LN('中国汇率&amp;期货（数据表）'!Z22)</f>
      </c>
      <c r="AA22" s="4">
        <f>LN('中国汇率&amp;期货（数据表）'!AA22)</f>
      </c>
      <c r="AB22" s="4">
        <f>LN('中国汇率&amp;期货（数据表）'!AB22)</f>
      </c>
      <c r="AC22" s="4">
        <f>LN('中国汇率&amp;期货（数据表）'!AC22)</f>
      </c>
      <c r="AD22" s="4">
        <f>LN('中国汇率&amp;期货（数据表）'!AD22)</f>
      </c>
      <c r="AE22" s="4">
        <f>LN('中国汇率&amp;期货（数据表）'!AE22)</f>
      </c>
      <c r="AF22" s="4">
        <f>LN('中国汇率&amp;期货（数据表）'!AF22)</f>
      </c>
      <c r="AG22" s="4">
        <f>LN('中国汇率&amp;期货（数据表）'!AG22)</f>
      </c>
      <c r="AH22" s="4">
        <f>LN('中国汇率&amp;期货（数据表）'!AH22)</f>
      </c>
      <c r="AI22" s="4">
        <f>LN('中国汇率&amp;期货（数据表）'!AI22)</f>
      </c>
      <c r="AJ22" s="4">
        <f>LN('中国汇率&amp;期货（数据表）'!AJ22)</f>
      </c>
      <c r="AK22" s="4">
        <f>LN('中国汇率&amp;期货（数据表）'!AK22)</f>
      </c>
      <c r="AL22" s="4">
        <f>LN('中国汇率&amp;期货（数据表）'!AL22)</f>
      </c>
      <c r="AM22" s="4">
        <f>LN('中国汇率&amp;期货（数据表）'!AM22)</f>
      </c>
      <c r="AN22" s="4">
        <f>LN('中国汇率&amp;期货（数据表）'!AN22)</f>
      </c>
      <c r="AO22" s="4">
        <f>LN('中国汇率&amp;期货（数据表）'!AO22)</f>
      </c>
      <c r="AP22" s="4">
        <f>LN('中国汇率&amp;期货（数据表）'!AP22)</f>
      </c>
      <c r="AQ22" s="4">
        <f>LN('中国汇率&amp;期货（数据表）'!AQ22)</f>
      </c>
      <c r="AR22" s="4">
        <f>LN('中国汇率&amp;期货（数据表）'!AR22)</f>
      </c>
      <c r="AS22" s="4">
        <f>LN('中国汇率&amp;期货（数据表）'!AS22)</f>
      </c>
      <c r="AT22" s="4">
        <f>LN('中国汇率&amp;期货（数据表）'!AT22)</f>
      </c>
      <c r="AU22" s="4">
        <f>LN('中国汇率&amp;期货（数据表）'!AU22)</f>
      </c>
      <c r="AV22" s="4">
        <f>LN('中国汇率&amp;期货（数据表）'!AV22)</f>
      </c>
      <c r="AW22" s="4">
        <f>LN('中国汇率&amp;期货（数据表）'!AW22)</f>
      </c>
      <c r="AX22" s="4">
        <f>LN('中国汇率&amp;期货（数据表）'!AX22)</f>
      </c>
      <c r="AY22" s="4">
        <f>LN('中国汇率&amp;期货（数据表）'!AY22)</f>
      </c>
      <c r="AZ22" s="4">
        <f>LN('中国汇率&amp;期货（数据表）'!AZ22)</f>
      </c>
      <c r="BA22" s="4">
        <f>LN('中国汇率&amp;期货（数据表）'!BA22)</f>
      </c>
      <c r="BB22" s="4">
        <f>LN('中国汇率&amp;期货（数据表）'!BB22)</f>
      </c>
      <c r="BC22" s="4">
        <f>LN('中国汇率&amp;期货（数据表）'!BC22)</f>
      </c>
      <c r="BD22" s="4">
        <f>LN('中国汇率&amp;期货（数据表）'!BD22)</f>
      </c>
      <c r="BE22" s="4">
        <f>LN('中国汇率&amp;期货（数据表）'!BE22)</f>
      </c>
    </row>
    <row x14ac:dyDescent="0.25" r="23" customHeight="1" ht="18.75">
      <c r="A23" s="1"/>
      <c r="B23" s="4">
        <f>LN('中国汇率&amp;期货（数据表）'!B23)</f>
      </c>
      <c r="C23" s="4">
        <f>LN('中国汇率&amp;期货（数据表）'!C23)</f>
      </c>
      <c r="D23" s="4">
        <f>LN('中国汇率&amp;期货（数据表）'!D23)</f>
      </c>
      <c r="E23" s="4">
        <f>LN('中国汇率&amp;期货（数据表）'!E23)</f>
      </c>
      <c r="F23" s="4">
        <f>LN('中国汇率&amp;期货（数据表）'!F23)</f>
      </c>
      <c r="G23" s="4">
        <f>LN('中国汇率&amp;期货（数据表）'!G23)</f>
      </c>
      <c r="H23" s="4">
        <f>LN('中国汇率&amp;期货（数据表）'!H23)</f>
      </c>
      <c r="I23" s="4">
        <f>LN('中国汇率&amp;期货（数据表）'!I23)</f>
      </c>
      <c r="J23" s="4">
        <f>LN('中国汇率&amp;期货（数据表）'!J23)</f>
      </c>
      <c r="K23" s="4">
        <f>LN('中国汇率&amp;期货（数据表）'!K23)</f>
      </c>
      <c r="L23" s="4">
        <f>LN('中国汇率&amp;期货（数据表）'!L23)</f>
      </c>
      <c r="M23" s="4">
        <f>LN('中国汇率&amp;期货（数据表）'!M23)</f>
      </c>
      <c r="N23" s="4">
        <f>LN('中国汇率&amp;期货（数据表）'!N23)</f>
      </c>
      <c r="O23" s="4">
        <f>LN('中国汇率&amp;期货（数据表）'!O23)</f>
      </c>
      <c r="P23" s="4">
        <f>LN('中国汇率&amp;期货（数据表）'!P23)</f>
      </c>
      <c r="Q23" s="4">
        <f>LN('中国汇率&amp;期货（数据表）'!Q23)</f>
      </c>
      <c r="R23" s="4">
        <f>LN('中国汇率&amp;期货（数据表）'!R23)</f>
      </c>
      <c r="S23" s="4">
        <f>LN('中国汇率&amp;期货（数据表）'!S23)</f>
      </c>
      <c r="T23" s="4">
        <f>LN('中国汇率&amp;期货（数据表）'!T23)</f>
      </c>
      <c r="U23" s="4">
        <f>LN('中国汇率&amp;期货（数据表）'!U23)</f>
      </c>
      <c r="V23" s="4">
        <f>LN('中国汇率&amp;期货（数据表）'!V23)</f>
      </c>
      <c r="W23" s="4">
        <f>LN('中国汇率&amp;期货（数据表）'!W23)</f>
      </c>
      <c r="X23" s="4">
        <f>LN('中国汇率&amp;期货（数据表）'!X23)</f>
      </c>
      <c r="Y23" s="4">
        <f>LN('中国汇率&amp;期货（数据表）'!Y23)</f>
      </c>
      <c r="Z23" s="4">
        <f>LN('中国汇率&amp;期货（数据表）'!Z23)</f>
      </c>
      <c r="AA23" s="4">
        <f>LN('中国汇率&amp;期货（数据表）'!AA23)</f>
      </c>
      <c r="AB23" s="4">
        <f>LN('中国汇率&amp;期货（数据表）'!AB23)</f>
      </c>
      <c r="AC23" s="4">
        <f>LN('中国汇率&amp;期货（数据表）'!AC23)</f>
      </c>
      <c r="AD23" s="4">
        <f>LN('中国汇率&amp;期货（数据表）'!AD23)</f>
      </c>
      <c r="AE23" s="4">
        <f>LN('中国汇率&amp;期货（数据表）'!AE23)</f>
      </c>
      <c r="AF23" s="4">
        <f>LN('中国汇率&amp;期货（数据表）'!AF23)</f>
      </c>
      <c r="AG23" s="4">
        <f>LN('中国汇率&amp;期货（数据表）'!AG23)</f>
      </c>
      <c r="AH23" s="4">
        <f>LN('中国汇率&amp;期货（数据表）'!AH23)</f>
      </c>
      <c r="AI23" s="4">
        <f>LN('中国汇率&amp;期货（数据表）'!AI23)</f>
      </c>
      <c r="AJ23" s="4">
        <f>LN('中国汇率&amp;期货（数据表）'!AJ23)</f>
      </c>
      <c r="AK23" s="4">
        <f>LN('中国汇率&amp;期货（数据表）'!AK23)</f>
      </c>
      <c r="AL23" s="4">
        <f>LN('中国汇率&amp;期货（数据表）'!AL23)</f>
      </c>
      <c r="AM23" s="4">
        <f>LN('中国汇率&amp;期货（数据表）'!AM23)</f>
      </c>
      <c r="AN23" s="4">
        <f>LN('中国汇率&amp;期货（数据表）'!AN23)</f>
      </c>
      <c r="AO23" s="4">
        <f>LN('中国汇率&amp;期货（数据表）'!AO23)</f>
      </c>
      <c r="AP23" s="4">
        <f>LN('中国汇率&amp;期货（数据表）'!AP23)</f>
      </c>
      <c r="AQ23" s="4">
        <f>LN('中国汇率&amp;期货（数据表）'!AQ23)</f>
      </c>
      <c r="AR23" s="4">
        <f>LN('中国汇率&amp;期货（数据表）'!AR23)</f>
      </c>
      <c r="AS23" s="4">
        <f>LN('中国汇率&amp;期货（数据表）'!AS23)</f>
      </c>
      <c r="AT23" s="4">
        <f>LN('中国汇率&amp;期货（数据表）'!AT23)</f>
      </c>
      <c r="AU23" s="4">
        <f>LN('中国汇率&amp;期货（数据表）'!AU23)</f>
      </c>
      <c r="AV23" s="4">
        <f>LN('中国汇率&amp;期货（数据表）'!AV23)</f>
      </c>
      <c r="AW23" s="4">
        <f>LN('中国汇率&amp;期货（数据表）'!AW23)</f>
      </c>
      <c r="AX23" s="4">
        <f>LN('中国汇率&amp;期货（数据表）'!AX23)</f>
      </c>
      <c r="AY23" s="4">
        <f>LN('中国汇率&amp;期货（数据表）'!AY23)</f>
      </c>
      <c r="AZ23" s="4">
        <f>LN('中国汇率&amp;期货（数据表）'!AZ23)</f>
      </c>
      <c r="BA23" s="4">
        <f>LN('中国汇率&amp;期货（数据表）'!BA23)</f>
      </c>
      <c r="BB23" s="4">
        <f>LN('中国汇率&amp;期货（数据表）'!BB23)</f>
      </c>
      <c r="BC23" s="4">
        <f>LN('中国汇率&amp;期货（数据表）'!BC23)</f>
      </c>
      <c r="BD23" s="4">
        <f>LN('中国汇率&amp;期货（数据表）'!BD23)</f>
      </c>
      <c r="BE23" s="4">
        <f>LN('中国汇率&amp;期货（数据表）'!BE23)</f>
      </c>
    </row>
    <row x14ac:dyDescent="0.25" r="24" customHeight="1" ht="18.75">
      <c r="A24" s="1"/>
      <c r="B24" s="4">
        <f>LN('中国汇率&amp;期货（数据表）'!B24)</f>
      </c>
      <c r="C24" s="4">
        <f>LN('中国汇率&amp;期货（数据表）'!C24)</f>
      </c>
      <c r="D24" s="4">
        <f>LN('中国汇率&amp;期货（数据表）'!D24)</f>
      </c>
      <c r="E24" s="4">
        <f>LN('中国汇率&amp;期货（数据表）'!E24)</f>
      </c>
      <c r="F24" s="4">
        <f>LN('中国汇率&amp;期货（数据表）'!F24)</f>
      </c>
      <c r="G24" s="4">
        <f>LN('中国汇率&amp;期货（数据表）'!G24)</f>
      </c>
      <c r="H24" s="4">
        <f>LN('中国汇率&amp;期货（数据表）'!H24)</f>
      </c>
      <c r="I24" s="4">
        <f>LN('中国汇率&amp;期货（数据表）'!I24)</f>
      </c>
      <c r="J24" s="4">
        <f>LN('中国汇率&amp;期货（数据表）'!J24)</f>
      </c>
      <c r="K24" s="4">
        <f>LN('中国汇率&amp;期货（数据表）'!K24)</f>
      </c>
      <c r="L24" s="4">
        <f>LN('中国汇率&amp;期货（数据表）'!L24)</f>
      </c>
      <c r="M24" s="4">
        <f>LN('中国汇率&amp;期货（数据表）'!M24)</f>
      </c>
      <c r="N24" s="4">
        <f>LN('中国汇率&amp;期货（数据表）'!N24)</f>
      </c>
      <c r="O24" s="4">
        <f>LN('中国汇率&amp;期货（数据表）'!O24)</f>
      </c>
      <c r="P24" s="4">
        <f>LN('中国汇率&amp;期货（数据表）'!P24)</f>
      </c>
      <c r="Q24" s="4">
        <f>LN('中国汇率&amp;期货（数据表）'!Q24)</f>
      </c>
      <c r="R24" s="4">
        <f>LN('中国汇率&amp;期货（数据表）'!R24)</f>
      </c>
      <c r="S24" s="4">
        <f>LN('中国汇率&amp;期货（数据表）'!S24)</f>
      </c>
      <c r="T24" s="4">
        <f>LN('中国汇率&amp;期货（数据表）'!T24)</f>
      </c>
      <c r="U24" s="4">
        <f>LN('中国汇率&amp;期货（数据表）'!U24)</f>
      </c>
      <c r="V24" s="4">
        <f>LN('中国汇率&amp;期货（数据表）'!V24)</f>
      </c>
      <c r="W24" s="4">
        <f>LN('中国汇率&amp;期货（数据表）'!W24)</f>
      </c>
      <c r="X24" s="4">
        <f>LN('中国汇率&amp;期货（数据表）'!X24)</f>
      </c>
      <c r="Y24" s="4">
        <f>LN('中国汇率&amp;期货（数据表）'!Y24)</f>
      </c>
      <c r="Z24" s="4">
        <f>LN('中国汇率&amp;期货（数据表）'!Z24)</f>
      </c>
      <c r="AA24" s="4">
        <f>LN('中国汇率&amp;期货（数据表）'!AA24)</f>
      </c>
      <c r="AB24" s="4">
        <f>LN('中国汇率&amp;期货（数据表）'!AB24)</f>
      </c>
      <c r="AC24" s="4">
        <f>LN('中国汇率&amp;期货（数据表）'!AC24)</f>
      </c>
      <c r="AD24" s="4">
        <f>LN('中国汇率&amp;期货（数据表）'!AD24)</f>
      </c>
      <c r="AE24" s="4">
        <f>LN('中国汇率&amp;期货（数据表）'!AE24)</f>
      </c>
      <c r="AF24" s="4">
        <f>LN('中国汇率&amp;期货（数据表）'!AF24)</f>
      </c>
      <c r="AG24" s="4">
        <f>LN('中国汇率&amp;期货（数据表）'!AG24)</f>
      </c>
      <c r="AH24" s="4">
        <f>LN('中国汇率&amp;期货（数据表）'!AH24)</f>
      </c>
      <c r="AI24" s="4">
        <f>LN('中国汇率&amp;期货（数据表）'!AI24)</f>
      </c>
      <c r="AJ24" s="4">
        <f>LN('中国汇率&amp;期货（数据表）'!AJ24)</f>
      </c>
      <c r="AK24" s="4">
        <f>LN('中国汇率&amp;期货（数据表）'!AK24)</f>
      </c>
      <c r="AL24" s="4">
        <f>LN('中国汇率&amp;期货（数据表）'!AL24)</f>
      </c>
      <c r="AM24" s="4">
        <f>LN('中国汇率&amp;期货（数据表）'!AM24)</f>
      </c>
      <c r="AN24" s="4">
        <f>LN('中国汇率&amp;期货（数据表）'!AN24)</f>
      </c>
      <c r="AO24" s="4">
        <f>LN('中国汇率&amp;期货（数据表）'!AO24)</f>
      </c>
      <c r="AP24" s="4">
        <f>LN('中国汇率&amp;期货（数据表）'!AP24)</f>
      </c>
      <c r="AQ24" s="4">
        <f>LN('中国汇率&amp;期货（数据表）'!AQ24)</f>
      </c>
      <c r="AR24" s="4">
        <f>LN('中国汇率&amp;期货（数据表）'!AR24)</f>
      </c>
      <c r="AS24" s="4">
        <f>LN('中国汇率&amp;期货（数据表）'!AS24)</f>
      </c>
      <c r="AT24" s="4">
        <f>LN('中国汇率&amp;期货（数据表）'!AT24)</f>
      </c>
      <c r="AU24" s="4">
        <f>LN('中国汇率&amp;期货（数据表）'!AU24)</f>
      </c>
      <c r="AV24" s="4">
        <f>LN('中国汇率&amp;期货（数据表）'!AV24)</f>
      </c>
      <c r="AW24" s="4">
        <f>LN('中国汇率&amp;期货（数据表）'!AW24)</f>
      </c>
      <c r="AX24" s="4">
        <f>LN('中国汇率&amp;期货（数据表）'!AX24)</f>
      </c>
      <c r="AY24" s="4">
        <f>LN('中国汇率&amp;期货（数据表）'!AY24)</f>
      </c>
      <c r="AZ24" s="4">
        <f>LN('中国汇率&amp;期货（数据表）'!AZ24)</f>
      </c>
      <c r="BA24" s="4">
        <f>LN('中国汇率&amp;期货（数据表）'!BA24)</f>
      </c>
      <c r="BB24" s="4">
        <f>LN('中国汇率&amp;期货（数据表）'!BB24)</f>
      </c>
      <c r="BC24" s="4">
        <f>LN('中国汇率&amp;期货（数据表）'!BC24)</f>
      </c>
      <c r="BD24" s="4">
        <f>LN('中国汇率&amp;期货（数据表）'!BD24)</f>
      </c>
      <c r="BE24" s="4">
        <f>LN('中国汇率&amp;期货（数据表）'!BE24)</f>
      </c>
    </row>
    <row x14ac:dyDescent="0.25" r="25" customHeight="1" ht="18.75">
      <c r="A25" s="1"/>
      <c r="B25" s="4">
        <f>LN('中国汇率&amp;期货（数据表）'!B25)</f>
      </c>
      <c r="C25" s="4">
        <f>LN('中国汇率&amp;期货（数据表）'!C25)</f>
      </c>
      <c r="D25" s="4">
        <f>LN('中国汇率&amp;期货（数据表）'!D25)</f>
      </c>
      <c r="E25" s="4">
        <f>LN('中国汇率&amp;期货（数据表）'!E25)</f>
      </c>
      <c r="F25" s="4">
        <f>LN('中国汇率&amp;期货（数据表）'!F25)</f>
      </c>
      <c r="G25" s="4">
        <f>LN('中国汇率&amp;期货（数据表）'!G25)</f>
      </c>
      <c r="H25" s="4">
        <f>LN('中国汇率&amp;期货（数据表）'!H25)</f>
      </c>
      <c r="I25" s="4">
        <f>LN('中国汇率&amp;期货（数据表）'!I25)</f>
      </c>
      <c r="J25" s="4">
        <f>LN('中国汇率&amp;期货（数据表）'!J25)</f>
      </c>
      <c r="K25" s="4">
        <f>LN('中国汇率&amp;期货（数据表）'!K25)</f>
      </c>
      <c r="L25" s="4">
        <f>LN('中国汇率&amp;期货（数据表）'!L25)</f>
      </c>
      <c r="M25" s="4">
        <f>LN('中国汇率&amp;期货（数据表）'!M25)</f>
      </c>
      <c r="N25" s="4">
        <f>LN('中国汇率&amp;期货（数据表）'!N25)</f>
      </c>
      <c r="O25" s="4">
        <f>LN('中国汇率&amp;期货（数据表）'!O25)</f>
      </c>
      <c r="P25" s="4">
        <f>LN('中国汇率&amp;期货（数据表）'!P25)</f>
      </c>
      <c r="Q25" s="4">
        <f>LN('中国汇率&amp;期货（数据表）'!Q25)</f>
      </c>
      <c r="R25" s="4">
        <f>LN('中国汇率&amp;期货（数据表）'!R25)</f>
      </c>
      <c r="S25" s="4">
        <f>LN('中国汇率&amp;期货（数据表）'!S25)</f>
      </c>
      <c r="T25" s="4">
        <f>LN('中国汇率&amp;期货（数据表）'!T25)</f>
      </c>
      <c r="U25" s="4">
        <f>LN('中国汇率&amp;期货（数据表）'!U25)</f>
      </c>
      <c r="V25" s="4">
        <f>LN('中国汇率&amp;期货（数据表）'!V25)</f>
      </c>
      <c r="W25" s="4">
        <f>LN('中国汇率&amp;期货（数据表）'!W25)</f>
      </c>
      <c r="X25" s="4">
        <f>LN('中国汇率&amp;期货（数据表）'!X25)</f>
      </c>
      <c r="Y25" s="4">
        <f>LN('中国汇率&amp;期货（数据表）'!Y25)</f>
      </c>
      <c r="Z25" s="4">
        <f>LN('中国汇率&amp;期货（数据表）'!Z25)</f>
      </c>
      <c r="AA25" s="4">
        <f>LN('中国汇率&amp;期货（数据表）'!AA25)</f>
      </c>
      <c r="AB25" s="4">
        <f>LN('中国汇率&amp;期货（数据表）'!AB25)</f>
      </c>
      <c r="AC25" s="4">
        <f>LN('中国汇率&amp;期货（数据表）'!AC25)</f>
      </c>
      <c r="AD25" s="4">
        <f>LN('中国汇率&amp;期货（数据表）'!AD25)</f>
      </c>
      <c r="AE25" s="4">
        <f>LN('中国汇率&amp;期货（数据表）'!AE25)</f>
      </c>
      <c r="AF25" s="4">
        <f>LN('中国汇率&amp;期货（数据表）'!AF25)</f>
      </c>
      <c r="AG25" s="4">
        <f>LN('中国汇率&amp;期货（数据表）'!AG25)</f>
      </c>
      <c r="AH25" s="4">
        <f>LN('中国汇率&amp;期货（数据表）'!AH25)</f>
      </c>
      <c r="AI25" s="4">
        <f>LN('中国汇率&amp;期货（数据表）'!AI25)</f>
      </c>
      <c r="AJ25" s="4">
        <f>LN('中国汇率&amp;期货（数据表）'!AJ25)</f>
      </c>
      <c r="AK25" s="4">
        <f>LN('中国汇率&amp;期货（数据表）'!AK25)</f>
      </c>
      <c r="AL25" s="4">
        <f>LN('中国汇率&amp;期货（数据表）'!AL25)</f>
      </c>
      <c r="AM25" s="4">
        <f>LN('中国汇率&amp;期货（数据表）'!AM25)</f>
      </c>
      <c r="AN25" s="4">
        <f>LN('中国汇率&amp;期货（数据表）'!AN25)</f>
      </c>
      <c r="AO25" s="4">
        <f>LN('中国汇率&amp;期货（数据表）'!AO25)</f>
      </c>
      <c r="AP25" s="4">
        <f>LN('中国汇率&amp;期货（数据表）'!AP25)</f>
      </c>
      <c r="AQ25" s="4">
        <f>LN('中国汇率&amp;期货（数据表）'!AQ25)</f>
      </c>
      <c r="AR25" s="4">
        <f>LN('中国汇率&amp;期货（数据表）'!AR25)</f>
      </c>
      <c r="AS25" s="4">
        <f>LN('中国汇率&amp;期货（数据表）'!AS25)</f>
      </c>
      <c r="AT25" s="4">
        <f>LN('中国汇率&amp;期货（数据表）'!AT25)</f>
      </c>
      <c r="AU25" s="4">
        <f>LN('中国汇率&amp;期货（数据表）'!AU25)</f>
      </c>
      <c r="AV25" s="4">
        <f>LN('中国汇率&amp;期货（数据表）'!AV25)</f>
      </c>
      <c r="AW25" s="4">
        <f>LN('中国汇率&amp;期货（数据表）'!AW25)</f>
      </c>
      <c r="AX25" s="4">
        <f>LN('中国汇率&amp;期货（数据表）'!AX25)</f>
      </c>
      <c r="AY25" s="4">
        <f>LN('中国汇率&amp;期货（数据表）'!AY25)</f>
      </c>
      <c r="AZ25" s="4">
        <f>LN('中国汇率&amp;期货（数据表）'!AZ25)</f>
      </c>
      <c r="BA25" s="4">
        <f>LN('中国汇率&amp;期货（数据表）'!BA25)</f>
      </c>
      <c r="BB25" s="4">
        <f>LN('中国汇率&amp;期货（数据表）'!BB25)</f>
      </c>
      <c r="BC25" s="4">
        <f>LN('中国汇率&amp;期货（数据表）'!BC25)</f>
      </c>
      <c r="BD25" s="4">
        <f>LN('中国汇率&amp;期货（数据表）'!BD25)</f>
      </c>
      <c r="BE25" s="4">
        <f>LN('中国汇率&amp;期货（数据表）'!BE25)</f>
      </c>
    </row>
    <row x14ac:dyDescent="0.25" r="26" customHeight="1" ht="18.75">
      <c r="A26" s="1"/>
      <c r="B26" s="4">
        <f>LN('中国汇率&amp;期货（数据表）'!B26)</f>
      </c>
      <c r="C26" s="4">
        <f>LN('中国汇率&amp;期货（数据表）'!C26)</f>
      </c>
      <c r="D26" s="4">
        <f>LN('中国汇率&amp;期货（数据表）'!D26)</f>
      </c>
      <c r="E26" s="4">
        <f>LN('中国汇率&amp;期货（数据表）'!E26)</f>
      </c>
      <c r="F26" s="4">
        <f>LN('中国汇率&amp;期货（数据表）'!F26)</f>
      </c>
      <c r="G26" s="4">
        <f>LN('中国汇率&amp;期货（数据表）'!G26)</f>
      </c>
      <c r="H26" s="4">
        <f>LN('中国汇率&amp;期货（数据表）'!H26)</f>
      </c>
      <c r="I26" s="4">
        <f>LN('中国汇率&amp;期货（数据表）'!I26)</f>
      </c>
      <c r="J26" s="4">
        <f>LN('中国汇率&amp;期货（数据表）'!J26)</f>
      </c>
      <c r="K26" s="4">
        <f>LN('中国汇率&amp;期货（数据表）'!K26)</f>
      </c>
      <c r="L26" s="4">
        <f>LN('中国汇率&amp;期货（数据表）'!L26)</f>
      </c>
      <c r="M26" s="4">
        <f>LN('中国汇率&amp;期货（数据表）'!M26)</f>
      </c>
      <c r="N26" s="4">
        <f>LN('中国汇率&amp;期货（数据表）'!N26)</f>
      </c>
      <c r="O26" s="4">
        <f>LN('中国汇率&amp;期货（数据表）'!O26)</f>
      </c>
      <c r="P26" s="4">
        <f>LN('中国汇率&amp;期货（数据表）'!P26)</f>
      </c>
      <c r="Q26" s="4">
        <f>LN('中国汇率&amp;期货（数据表）'!Q26)</f>
      </c>
      <c r="R26" s="4">
        <f>LN('中国汇率&amp;期货（数据表）'!R26)</f>
      </c>
      <c r="S26" s="4">
        <f>LN('中国汇率&amp;期货（数据表）'!S26)</f>
      </c>
      <c r="T26" s="4">
        <f>LN('中国汇率&amp;期货（数据表）'!T26)</f>
      </c>
      <c r="U26" s="4">
        <f>LN('中国汇率&amp;期货（数据表）'!U26)</f>
      </c>
      <c r="V26" s="4">
        <f>LN('中国汇率&amp;期货（数据表）'!V26)</f>
      </c>
      <c r="W26" s="4">
        <f>LN('中国汇率&amp;期货（数据表）'!W26)</f>
      </c>
      <c r="X26" s="4">
        <f>LN('中国汇率&amp;期货（数据表）'!X26)</f>
      </c>
      <c r="Y26" s="4">
        <f>LN('中国汇率&amp;期货（数据表）'!Y26)</f>
      </c>
      <c r="Z26" s="4">
        <f>LN('中国汇率&amp;期货（数据表）'!Z26)</f>
      </c>
      <c r="AA26" s="4">
        <f>LN('中国汇率&amp;期货（数据表）'!AA26)</f>
      </c>
      <c r="AB26" s="4">
        <f>LN('中国汇率&amp;期货（数据表）'!AB26)</f>
      </c>
      <c r="AC26" s="4">
        <f>LN('中国汇率&amp;期货（数据表）'!AC26)</f>
      </c>
      <c r="AD26" s="4">
        <f>LN('中国汇率&amp;期货（数据表）'!AD26)</f>
      </c>
      <c r="AE26" s="4">
        <f>LN('中国汇率&amp;期货（数据表）'!AE26)</f>
      </c>
      <c r="AF26" s="4">
        <f>LN('中国汇率&amp;期货（数据表）'!AF26)</f>
      </c>
      <c r="AG26" s="4">
        <f>LN('中国汇率&amp;期货（数据表）'!AG26)</f>
      </c>
      <c r="AH26" s="4">
        <f>LN('中国汇率&amp;期货（数据表）'!AH26)</f>
      </c>
      <c r="AI26" s="4">
        <f>LN('中国汇率&amp;期货（数据表）'!AI26)</f>
      </c>
      <c r="AJ26" s="4">
        <f>LN('中国汇率&amp;期货（数据表）'!AJ26)</f>
      </c>
      <c r="AK26" s="4">
        <f>LN('中国汇率&amp;期货（数据表）'!AK26)</f>
      </c>
      <c r="AL26" s="4">
        <f>LN('中国汇率&amp;期货（数据表）'!AL26)</f>
      </c>
      <c r="AM26" s="4">
        <f>LN('中国汇率&amp;期货（数据表）'!AM26)</f>
      </c>
      <c r="AN26" s="4">
        <f>LN('中国汇率&amp;期货（数据表）'!AN26)</f>
      </c>
      <c r="AO26" s="4">
        <f>LN('中国汇率&amp;期货（数据表）'!AO26)</f>
      </c>
      <c r="AP26" s="4">
        <f>LN('中国汇率&amp;期货（数据表）'!AP26)</f>
      </c>
      <c r="AQ26" s="4">
        <f>LN('中国汇率&amp;期货（数据表）'!AQ26)</f>
      </c>
      <c r="AR26" s="4">
        <f>LN('中国汇率&amp;期货（数据表）'!AR26)</f>
      </c>
      <c r="AS26" s="4">
        <f>LN('中国汇率&amp;期货（数据表）'!AS26)</f>
      </c>
      <c r="AT26" s="4">
        <f>LN('中国汇率&amp;期货（数据表）'!AT26)</f>
      </c>
      <c r="AU26" s="4">
        <f>LN('中国汇率&amp;期货（数据表）'!AU26)</f>
      </c>
      <c r="AV26" s="4">
        <f>LN('中国汇率&amp;期货（数据表）'!AV26)</f>
      </c>
      <c r="AW26" s="4">
        <f>LN('中国汇率&amp;期货（数据表）'!AW26)</f>
      </c>
      <c r="AX26" s="4">
        <f>LN('中国汇率&amp;期货（数据表）'!AX26)</f>
      </c>
      <c r="AY26" s="4">
        <f>LN('中国汇率&amp;期货（数据表）'!AY26)</f>
      </c>
      <c r="AZ26" s="4">
        <f>LN('中国汇率&amp;期货（数据表）'!AZ26)</f>
      </c>
      <c r="BA26" s="4">
        <f>LN('中国汇率&amp;期货（数据表）'!BA26)</f>
      </c>
      <c r="BB26" s="4">
        <f>LN('中国汇率&amp;期货（数据表）'!BB26)</f>
      </c>
      <c r="BC26" s="4">
        <f>LN('中国汇率&amp;期货（数据表）'!BC26)</f>
      </c>
      <c r="BD26" s="4">
        <f>LN('中国汇率&amp;期货（数据表）'!BD26)</f>
      </c>
      <c r="BE26" s="4">
        <f>LN('中国汇率&amp;期货（数据表）'!BE26)</f>
      </c>
    </row>
    <row x14ac:dyDescent="0.25" r="27" customHeight="1" ht="18.75">
      <c r="A27" s="1"/>
      <c r="B27" s="4">
        <f>LN('中国汇率&amp;期货（数据表）'!B27)</f>
      </c>
      <c r="C27" s="4">
        <f>LN('中国汇率&amp;期货（数据表）'!C27)</f>
      </c>
      <c r="D27" s="4">
        <f>LN('中国汇率&amp;期货（数据表）'!D27)</f>
      </c>
      <c r="E27" s="4">
        <f>LN('中国汇率&amp;期货（数据表）'!E27)</f>
      </c>
      <c r="F27" s="4">
        <f>LN('中国汇率&amp;期货（数据表）'!F27)</f>
      </c>
      <c r="G27" s="4">
        <f>LN('中国汇率&amp;期货（数据表）'!G27)</f>
      </c>
      <c r="H27" s="4">
        <f>LN('中国汇率&amp;期货（数据表）'!H27)</f>
      </c>
      <c r="I27" s="4">
        <f>LN('中国汇率&amp;期货（数据表）'!I27)</f>
      </c>
      <c r="J27" s="4">
        <f>LN('中国汇率&amp;期货（数据表）'!J27)</f>
      </c>
      <c r="K27" s="4">
        <f>LN('中国汇率&amp;期货（数据表）'!K27)</f>
      </c>
      <c r="L27" s="4">
        <f>LN('中国汇率&amp;期货（数据表）'!L27)</f>
      </c>
      <c r="M27" s="4">
        <f>LN('中国汇率&amp;期货（数据表）'!M27)</f>
      </c>
      <c r="N27" s="4">
        <f>LN('中国汇率&amp;期货（数据表）'!N27)</f>
      </c>
      <c r="O27" s="4">
        <f>LN('中国汇率&amp;期货（数据表）'!O27)</f>
      </c>
      <c r="P27" s="4">
        <f>LN('中国汇率&amp;期货（数据表）'!P27)</f>
      </c>
      <c r="Q27" s="4">
        <f>LN('中国汇率&amp;期货（数据表）'!Q27)</f>
      </c>
      <c r="R27" s="4">
        <f>LN('中国汇率&amp;期货（数据表）'!R27)</f>
      </c>
      <c r="S27" s="4">
        <f>LN('中国汇率&amp;期货（数据表）'!S27)</f>
      </c>
      <c r="T27" s="4">
        <f>LN('中国汇率&amp;期货（数据表）'!T27)</f>
      </c>
      <c r="U27" s="4">
        <f>LN('中国汇率&amp;期货（数据表）'!U27)</f>
      </c>
      <c r="V27" s="4">
        <f>LN('中国汇率&amp;期货（数据表）'!V27)</f>
      </c>
      <c r="W27" s="4">
        <f>LN('中国汇率&amp;期货（数据表）'!W27)</f>
      </c>
      <c r="X27" s="4">
        <f>LN('中国汇率&amp;期货（数据表）'!X27)</f>
      </c>
      <c r="Y27" s="4">
        <f>LN('中国汇率&amp;期货（数据表）'!Y27)</f>
      </c>
      <c r="Z27" s="4">
        <f>LN('中国汇率&amp;期货（数据表）'!Z27)</f>
      </c>
      <c r="AA27" s="4">
        <f>LN('中国汇率&amp;期货（数据表）'!AA27)</f>
      </c>
      <c r="AB27" s="4">
        <f>LN('中国汇率&amp;期货（数据表）'!AB27)</f>
      </c>
      <c r="AC27" s="4">
        <f>LN('中国汇率&amp;期货（数据表）'!AC27)</f>
      </c>
      <c r="AD27" s="4">
        <f>LN('中国汇率&amp;期货（数据表）'!AD27)</f>
      </c>
      <c r="AE27" s="4">
        <f>LN('中国汇率&amp;期货（数据表）'!AE27)</f>
      </c>
      <c r="AF27" s="4">
        <f>LN('中国汇率&amp;期货（数据表）'!AF27)</f>
      </c>
      <c r="AG27" s="4">
        <f>LN('中国汇率&amp;期货（数据表）'!AG27)</f>
      </c>
      <c r="AH27" s="4">
        <f>LN('中国汇率&amp;期货（数据表）'!AH27)</f>
      </c>
      <c r="AI27" s="4">
        <f>LN('中国汇率&amp;期货（数据表）'!AI27)</f>
      </c>
      <c r="AJ27" s="4">
        <f>LN('中国汇率&amp;期货（数据表）'!AJ27)</f>
      </c>
      <c r="AK27" s="4">
        <f>LN('中国汇率&amp;期货（数据表）'!AK27)</f>
      </c>
      <c r="AL27" s="4">
        <f>LN('中国汇率&amp;期货（数据表）'!AL27)</f>
      </c>
      <c r="AM27" s="4">
        <f>LN('中国汇率&amp;期货（数据表）'!AM27)</f>
      </c>
      <c r="AN27" s="4">
        <f>LN('中国汇率&amp;期货（数据表）'!AN27)</f>
      </c>
      <c r="AO27" s="4">
        <f>LN('中国汇率&amp;期货（数据表）'!AO27)</f>
      </c>
      <c r="AP27" s="4">
        <f>LN('中国汇率&amp;期货（数据表）'!AP27)</f>
      </c>
      <c r="AQ27" s="4">
        <f>LN('中国汇率&amp;期货（数据表）'!AQ27)</f>
      </c>
      <c r="AR27" s="4">
        <f>LN('中国汇率&amp;期货（数据表）'!AR27)</f>
      </c>
      <c r="AS27" s="4">
        <f>LN('中国汇率&amp;期货（数据表）'!AS27)</f>
      </c>
      <c r="AT27" s="4">
        <f>LN('中国汇率&amp;期货（数据表）'!AT27)</f>
      </c>
      <c r="AU27" s="4">
        <f>LN('中国汇率&amp;期货（数据表）'!AU27)</f>
      </c>
      <c r="AV27" s="4">
        <f>LN('中国汇率&amp;期货（数据表）'!AV27)</f>
      </c>
      <c r="AW27" s="4">
        <f>LN('中国汇率&amp;期货（数据表）'!AW27)</f>
      </c>
      <c r="AX27" s="4">
        <f>LN('中国汇率&amp;期货（数据表）'!AX27)</f>
      </c>
      <c r="AY27" s="4">
        <f>LN('中国汇率&amp;期货（数据表）'!AY27)</f>
      </c>
      <c r="AZ27" s="4">
        <f>LN('中国汇率&amp;期货（数据表）'!AZ27)</f>
      </c>
      <c r="BA27" s="4">
        <f>LN('中国汇率&amp;期货（数据表）'!BA27)</f>
      </c>
      <c r="BB27" s="4">
        <f>LN('中国汇率&amp;期货（数据表）'!BB27)</f>
      </c>
      <c r="BC27" s="4">
        <f>LN('中国汇率&amp;期货（数据表）'!BC27)</f>
      </c>
      <c r="BD27" s="4">
        <f>LN('中国汇率&amp;期货（数据表）'!BD27)</f>
      </c>
      <c r="BE27" s="4">
        <f>LN('中国汇率&amp;期货（数据表）'!BE27)</f>
      </c>
    </row>
    <row x14ac:dyDescent="0.25" r="28" customHeight="1" ht="18.75">
      <c r="A28" s="1"/>
      <c r="B28" s="4">
        <f>LN('中国汇率&amp;期货（数据表）'!B28)</f>
      </c>
      <c r="C28" s="4">
        <f>LN('中国汇率&amp;期货（数据表）'!C28)</f>
      </c>
      <c r="D28" s="4">
        <f>LN('中国汇率&amp;期货（数据表）'!D28)</f>
      </c>
      <c r="E28" s="4">
        <f>LN('中国汇率&amp;期货（数据表）'!E28)</f>
      </c>
      <c r="F28" s="4">
        <f>LN('中国汇率&amp;期货（数据表）'!F28)</f>
      </c>
      <c r="G28" s="4">
        <f>LN('中国汇率&amp;期货（数据表）'!G28)</f>
      </c>
      <c r="H28" s="4">
        <f>LN('中国汇率&amp;期货（数据表）'!H28)</f>
      </c>
      <c r="I28" s="4">
        <f>LN('中国汇率&amp;期货（数据表）'!I28)</f>
      </c>
      <c r="J28" s="4">
        <f>LN('中国汇率&amp;期货（数据表）'!J28)</f>
      </c>
      <c r="K28" s="4">
        <f>LN('中国汇率&amp;期货（数据表）'!K28)</f>
      </c>
      <c r="L28" s="4">
        <f>LN('中国汇率&amp;期货（数据表）'!L28)</f>
      </c>
      <c r="M28" s="4">
        <f>LN('中国汇率&amp;期货（数据表）'!M28)</f>
      </c>
      <c r="N28" s="4">
        <f>LN('中国汇率&amp;期货（数据表）'!N28)</f>
      </c>
      <c r="O28" s="4">
        <f>LN('中国汇率&amp;期货（数据表）'!O28)</f>
      </c>
      <c r="P28" s="4">
        <f>LN('中国汇率&amp;期货（数据表）'!P28)</f>
      </c>
      <c r="Q28" s="4">
        <f>LN('中国汇率&amp;期货（数据表）'!Q28)</f>
      </c>
      <c r="R28" s="4">
        <f>LN('中国汇率&amp;期货（数据表）'!R28)</f>
      </c>
      <c r="S28" s="4">
        <f>LN('中国汇率&amp;期货（数据表）'!S28)</f>
      </c>
      <c r="T28" s="4">
        <f>LN('中国汇率&amp;期货（数据表）'!T28)</f>
      </c>
      <c r="U28" s="4">
        <f>LN('中国汇率&amp;期货（数据表）'!U28)</f>
      </c>
      <c r="V28" s="4">
        <f>LN('中国汇率&amp;期货（数据表）'!V28)</f>
      </c>
      <c r="W28" s="4">
        <f>LN('中国汇率&amp;期货（数据表）'!W28)</f>
      </c>
      <c r="X28" s="4">
        <f>LN('中国汇率&amp;期货（数据表）'!X28)</f>
      </c>
      <c r="Y28" s="4">
        <f>LN('中国汇率&amp;期货（数据表）'!Y28)</f>
      </c>
      <c r="Z28" s="4">
        <f>LN('中国汇率&amp;期货（数据表）'!Z28)</f>
      </c>
      <c r="AA28" s="4">
        <f>LN('中国汇率&amp;期货（数据表）'!AA28)</f>
      </c>
      <c r="AB28" s="4">
        <f>LN('中国汇率&amp;期货（数据表）'!AB28)</f>
      </c>
      <c r="AC28" s="4">
        <f>LN('中国汇率&amp;期货（数据表）'!AC28)</f>
      </c>
      <c r="AD28" s="4">
        <f>LN('中国汇率&amp;期货（数据表）'!AD28)</f>
      </c>
      <c r="AE28" s="4">
        <f>LN('中国汇率&amp;期货（数据表）'!AE28)</f>
      </c>
      <c r="AF28" s="4">
        <f>LN('中国汇率&amp;期货（数据表）'!AF28)</f>
      </c>
      <c r="AG28" s="4">
        <f>LN('中国汇率&amp;期货（数据表）'!AG28)</f>
      </c>
      <c r="AH28" s="4">
        <f>LN('中国汇率&amp;期货（数据表）'!AH28)</f>
      </c>
      <c r="AI28" s="4">
        <f>LN('中国汇率&amp;期货（数据表）'!AI28)</f>
      </c>
      <c r="AJ28" s="4">
        <f>LN('中国汇率&amp;期货（数据表）'!AJ28)</f>
      </c>
      <c r="AK28" s="4">
        <f>LN('中国汇率&amp;期货（数据表）'!AK28)</f>
      </c>
      <c r="AL28" s="4">
        <f>LN('中国汇率&amp;期货（数据表）'!AL28)</f>
      </c>
      <c r="AM28" s="4">
        <f>LN('中国汇率&amp;期货（数据表）'!AM28)</f>
      </c>
      <c r="AN28" s="4">
        <f>LN('中国汇率&amp;期货（数据表）'!AN28)</f>
      </c>
      <c r="AO28" s="4">
        <f>LN('中国汇率&amp;期货（数据表）'!AO28)</f>
      </c>
      <c r="AP28" s="4">
        <f>LN('中国汇率&amp;期货（数据表）'!AP28)</f>
      </c>
      <c r="AQ28" s="4">
        <f>LN('中国汇率&amp;期货（数据表）'!AQ28)</f>
      </c>
      <c r="AR28" s="4">
        <f>LN('中国汇率&amp;期货（数据表）'!AR28)</f>
      </c>
      <c r="AS28" s="4">
        <f>LN('中国汇率&amp;期货（数据表）'!AS28)</f>
      </c>
      <c r="AT28" s="4">
        <f>LN('中国汇率&amp;期货（数据表）'!AT28)</f>
      </c>
      <c r="AU28" s="4">
        <f>LN('中国汇率&amp;期货（数据表）'!AU28)</f>
      </c>
      <c r="AV28" s="4">
        <f>LN('中国汇率&amp;期货（数据表）'!AV28)</f>
      </c>
      <c r="AW28" s="4">
        <f>LN('中国汇率&amp;期货（数据表）'!AW28)</f>
      </c>
      <c r="AX28" s="4">
        <f>LN('中国汇率&amp;期货（数据表）'!AX28)</f>
      </c>
      <c r="AY28" s="4">
        <f>LN('中国汇率&amp;期货（数据表）'!AY28)</f>
      </c>
      <c r="AZ28" s="4">
        <f>LN('中国汇率&amp;期货（数据表）'!AZ28)</f>
      </c>
      <c r="BA28" s="4">
        <f>LN('中国汇率&amp;期货（数据表）'!BA28)</f>
      </c>
      <c r="BB28" s="4">
        <f>LN('中国汇率&amp;期货（数据表）'!BB28)</f>
      </c>
      <c r="BC28" s="4">
        <f>LN('中国汇率&amp;期货（数据表）'!BC28)</f>
      </c>
      <c r="BD28" s="4">
        <f>LN('中国汇率&amp;期货（数据表）'!BD28)</f>
      </c>
      <c r="BE28" s="4">
        <f>LN('中国汇率&amp;期货（数据表）'!BE28)</f>
      </c>
    </row>
    <row x14ac:dyDescent="0.25" r="29" customHeight="1" ht="18.75">
      <c r="A29" s="1"/>
      <c r="B29" s="4">
        <f>LN('中国汇率&amp;期货（数据表）'!B29)</f>
      </c>
      <c r="C29" s="4">
        <f>LN('中国汇率&amp;期货（数据表）'!C29)</f>
      </c>
      <c r="D29" s="4">
        <f>LN('中国汇率&amp;期货（数据表）'!D29)</f>
      </c>
      <c r="E29" s="4">
        <f>LN('中国汇率&amp;期货（数据表）'!E29)</f>
      </c>
      <c r="F29" s="4">
        <f>LN('中国汇率&amp;期货（数据表）'!F29)</f>
      </c>
      <c r="G29" s="4">
        <f>LN('中国汇率&amp;期货（数据表）'!G29)</f>
      </c>
      <c r="H29" s="4">
        <f>LN('中国汇率&amp;期货（数据表）'!H29)</f>
      </c>
      <c r="I29" s="4">
        <f>LN('中国汇率&amp;期货（数据表）'!I29)</f>
      </c>
      <c r="J29" s="4">
        <f>LN('中国汇率&amp;期货（数据表）'!J29)</f>
      </c>
      <c r="K29" s="4">
        <f>LN('中国汇率&amp;期货（数据表）'!K29)</f>
      </c>
      <c r="L29" s="4">
        <f>LN('中国汇率&amp;期货（数据表）'!L29)</f>
      </c>
      <c r="M29" s="4">
        <f>LN('中国汇率&amp;期货（数据表）'!M29)</f>
      </c>
      <c r="N29" s="4">
        <f>LN('中国汇率&amp;期货（数据表）'!N29)</f>
      </c>
      <c r="O29" s="4">
        <f>LN('中国汇率&amp;期货（数据表）'!O29)</f>
      </c>
      <c r="P29" s="4">
        <f>LN('中国汇率&amp;期货（数据表）'!P29)</f>
      </c>
      <c r="Q29" s="4">
        <f>LN('中国汇率&amp;期货（数据表）'!Q29)</f>
      </c>
      <c r="R29" s="4">
        <f>LN('中国汇率&amp;期货（数据表）'!R29)</f>
      </c>
      <c r="S29" s="4">
        <f>LN('中国汇率&amp;期货（数据表）'!S29)</f>
      </c>
      <c r="T29" s="4">
        <f>LN('中国汇率&amp;期货（数据表）'!T29)</f>
      </c>
      <c r="U29" s="4">
        <f>LN('中国汇率&amp;期货（数据表）'!U29)</f>
      </c>
      <c r="V29" s="4">
        <f>LN('中国汇率&amp;期货（数据表）'!V29)</f>
      </c>
      <c r="W29" s="4">
        <f>LN('中国汇率&amp;期货（数据表）'!W29)</f>
      </c>
      <c r="X29" s="4">
        <f>LN('中国汇率&amp;期货（数据表）'!X29)</f>
      </c>
      <c r="Y29" s="4">
        <f>LN('中国汇率&amp;期货（数据表）'!Y29)</f>
      </c>
      <c r="Z29" s="4">
        <f>LN('中国汇率&amp;期货（数据表）'!Z29)</f>
      </c>
      <c r="AA29" s="4">
        <f>LN('中国汇率&amp;期货（数据表）'!AA29)</f>
      </c>
      <c r="AB29" s="4">
        <f>LN('中国汇率&amp;期货（数据表）'!AB29)</f>
      </c>
      <c r="AC29" s="4">
        <f>LN('中国汇率&amp;期货（数据表）'!AC29)</f>
      </c>
      <c r="AD29" s="4">
        <f>LN('中国汇率&amp;期货（数据表）'!AD29)</f>
      </c>
      <c r="AE29" s="4">
        <f>LN('中国汇率&amp;期货（数据表）'!AE29)</f>
      </c>
      <c r="AF29" s="4">
        <f>LN('中国汇率&amp;期货（数据表）'!AF29)</f>
      </c>
      <c r="AG29" s="4">
        <f>LN('中国汇率&amp;期货（数据表）'!AG29)</f>
      </c>
      <c r="AH29" s="4">
        <f>LN('中国汇率&amp;期货（数据表）'!AH29)</f>
      </c>
      <c r="AI29" s="4">
        <f>LN('中国汇率&amp;期货（数据表）'!AI29)</f>
      </c>
      <c r="AJ29" s="4">
        <f>LN('中国汇率&amp;期货（数据表）'!AJ29)</f>
      </c>
      <c r="AK29" s="4">
        <f>LN('中国汇率&amp;期货（数据表）'!AK29)</f>
      </c>
      <c r="AL29" s="4">
        <f>LN('中国汇率&amp;期货（数据表）'!AL29)</f>
      </c>
      <c r="AM29" s="4">
        <f>LN('中国汇率&amp;期货（数据表）'!AM29)</f>
      </c>
      <c r="AN29" s="4">
        <f>LN('中国汇率&amp;期货（数据表）'!AN29)</f>
      </c>
      <c r="AO29" s="4">
        <f>LN('中国汇率&amp;期货（数据表）'!AO29)</f>
      </c>
      <c r="AP29" s="4">
        <f>LN('中国汇率&amp;期货（数据表）'!AP29)</f>
      </c>
      <c r="AQ29" s="4">
        <f>LN('中国汇率&amp;期货（数据表）'!AQ29)</f>
      </c>
      <c r="AR29" s="4">
        <f>LN('中国汇率&amp;期货（数据表）'!AR29)</f>
      </c>
      <c r="AS29" s="4">
        <f>LN('中国汇率&amp;期货（数据表）'!AS29)</f>
      </c>
      <c r="AT29" s="4">
        <f>LN('中国汇率&amp;期货（数据表）'!AT29)</f>
      </c>
      <c r="AU29" s="4">
        <f>LN('中国汇率&amp;期货（数据表）'!AU29)</f>
      </c>
      <c r="AV29" s="4">
        <f>LN('中国汇率&amp;期货（数据表）'!AV29)</f>
      </c>
      <c r="AW29" s="4">
        <f>LN('中国汇率&amp;期货（数据表）'!AW29)</f>
      </c>
      <c r="AX29" s="4">
        <f>LN('中国汇率&amp;期货（数据表）'!AX29)</f>
      </c>
      <c r="AY29" s="4">
        <f>LN('中国汇率&amp;期货（数据表）'!AY29)</f>
      </c>
      <c r="AZ29" s="4">
        <f>LN('中国汇率&amp;期货（数据表）'!AZ29)</f>
      </c>
      <c r="BA29" s="4">
        <f>LN('中国汇率&amp;期货（数据表）'!BA29)</f>
      </c>
      <c r="BB29" s="4">
        <f>LN('中国汇率&amp;期货（数据表）'!BB29)</f>
      </c>
      <c r="BC29" s="4">
        <f>LN('中国汇率&amp;期货（数据表）'!BC29)</f>
      </c>
      <c r="BD29" s="4">
        <f>LN('中国汇率&amp;期货（数据表）'!BD29)</f>
      </c>
      <c r="BE29" s="4">
        <f>LN('中国汇率&amp;期货（数据表）'!BE29)</f>
      </c>
    </row>
    <row x14ac:dyDescent="0.25" r="30" customHeight="1" ht="18.75">
      <c r="A30" s="1"/>
      <c r="B30" s="4">
        <f>LN('中国汇率&amp;期货（数据表）'!B30)</f>
      </c>
      <c r="C30" s="4">
        <f>LN('中国汇率&amp;期货（数据表）'!C30)</f>
      </c>
      <c r="D30" s="4">
        <f>LN('中国汇率&amp;期货（数据表）'!D30)</f>
      </c>
      <c r="E30" s="4">
        <f>LN('中国汇率&amp;期货（数据表）'!E30)</f>
      </c>
      <c r="F30" s="4">
        <f>LN('中国汇率&amp;期货（数据表）'!F30)</f>
      </c>
      <c r="G30" s="4">
        <f>LN('中国汇率&amp;期货（数据表）'!G30)</f>
      </c>
      <c r="H30" s="4">
        <f>LN('中国汇率&amp;期货（数据表）'!H30)</f>
      </c>
      <c r="I30" s="4">
        <f>LN('中国汇率&amp;期货（数据表）'!I30)</f>
      </c>
      <c r="J30" s="4">
        <f>LN('中国汇率&amp;期货（数据表）'!J30)</f>
      </c>
      <c r="K30" s="4">
        <f>LN('中国汇率&amp;期货（数据表）'!K30)</f>
      </c>
      <c r="L30" s="4">
        <f>LN('中国汇率&amp;期货（数据表）'!L30)</f>
      </c>
      <c r="M30" s="4">
        <f>LN('中国汇率&amp;期货（数据表）'!M30)</f>
      </c>
      <c r="N30" s="4">
        <f>LN('中国汇率&amp;期货（数据表）'!N30)</f>
      </c>
      <c r="O30" s="4">
        <f>LN('中国汇率&amp;期货（数据表）'!O30)</f>
      </c>
      <c r="P30" s="4">
        <f>LN('中国汇率&amp;期货（数据表）'!P30)</f>
      </c>
      <c r="Q30" s="4">
        <f>LN('中国汇率&amp;期货（数据表）'!Q30)</f>
      </c>
      <c r="R30" s="4">
        <f>LN('中国汇率&amp;期货（数据表）'!R30)</f>
      </c>
      <c r="S30" s="4">
        <f>LN('中国汇率&amp;期货（数据表）'!S30)</f>
      </c>
      <c r="T30" s="4">
        <f>LN('中国汇率&amp;期货（数据表）'!T30)</f>
      </c>
      <c r="U30" s="4">
        <f>LN('中国汇率&amp;期货（数据表）'!U30)</f>
      </c>
      <c r="V30" s="4">
        <f>LN('中国汇率&amp;期货（数据表）'!V30)</f>
      </c>
      <c r="W30" s="4">
        <f>LN('中国汇率&amp;期货（数据表）'!W30)</f>
      </c>
      <c r="X30" s="4">
        <f>LN('中国汇率&amp;期货（数据表）'!X30)</f>
      </c>
      <c r="Y30" s="4">
        <f>LN('中国汇率&amp;期货（数据表）'!Y30)</f>
      </c>
      <c r="Z30" s="4">
        <f>LN('中国汇率&amp;期货（数据表）'!Z30)</f>
      </c>
      <c r="AA30" s="4">
        <f>LN('中国汇率&amp;期货（数据表）'!AA30)</f>
      </c>
      <c r="AB30" s="4">
        <f>LN('中国汇率&amp;期货（数据表）'!AB30)</f>
      </c>
      <c r="AC30" s="4">
        <f>LN('中国汇率&amp;期货（数据表）'!AC30)</f>
      </c>
      <c r="AD30" s="4">
        <f>LN('中国汇率&amp;期货（数据表）'!AD30)</f>
      </c>
      <c r="AE30" s="4">
        <f>LN('中国汇率&amp;期货（数据表）'!AE30)</f>
      </c>
      <c r="AF30" s="4">
        <f>LN('中国汇率&amp;期货（数据表）'!AF30)</f>
      </c>
      <c r="AG30" s="4">
        <f>LN('中国汇率&amp;期货（数据表）'!AG30)</f>
      </c>
      <c r="AH30" s="4">
        <f>LN('中国汇率&amp;期货（数据表）'!AH30)</f>
      </c>
      <c r="AI30" s="4">
        <f>LN('中国汇率&amp;期货（数据表）'!AI30)</f>
      </c>
      <c r="AJ30" s="4">
        <f>LN('中国汇率&amp;期货（数据表）'!AJ30)</f>
      </c>
      <c r="AK30" s="4">
        <f>LN('中国汇率&amp;期货（数据表）'!AK30)</f>
      </c>
      <c r="AL30" s="4">
        <f>LN('中国汇率&amp;期货（数据表）'!AL30)</f>
      </c>
      <c r="AM30" s="4">
        <f>LN('中国汇率&amp;期货（数据表）'!AM30)</f>
      </c>
      <c r="AN30" s="4">
        <f>LN('中国汇率&amp;期货（数据表）'!AN30)</f>
      </c>
      <c r="AO30" s="4">
        <f>LN('中国汇率&amp;期货（数据表）'!AO30)</f>
      </c>
      <c r="AP30" s="4">
        <f>LN('中国汇率&amp;期货（数据表）'!AP30)</f>
      </c>
      <c r="AQ30" s="4">
        <f>LN('中国汇率&amp;期货（数据表）'!AQ30)</f>
      </c>
      <c r="AR30" s="4">
        <f>LN('中国汇率&amp;期货（数据表）'!AR30)</f>
      </c>
      <c r="AS30" s="4">
        <f>LN('中国汇率&amp;期货（数据表）'!AS30)</f>
      </c>
      <c r="AT30" s="4">
        <f>LN('中国汇率&amp;期货（数据表）'!AT30)</f>
      </c>
      <c r="AU30" s="4">
        <f>LN('中国汇率&amp;期货（数据表）'!AU30)</f>
      </c>
      <c r="AV30" s="4">
        <f>LN('中国汇率&amp;期货（数据表）'!AV30)</f>
      </c>
      <c r="AW30" s="4">
        <f>LN('中国汇率&amp;期货（数据表）'!AW30)</f>
      </c>
      <c r="AX30" s="4">
        <f>LN('中国汇率&amp;期货（数据表）'!AX30)</f>
      </c>
      <c r="AY30" s="4">
        <f>LN('中国汇率&amp;期货（数据表）'!AY30)</f>
      </c>
      <c r="AZ30" s="4">
        <f>LN('中国汇率&amp;期货（数据表）'!AZ30)</f>
      </c>
      <c r="BA30" s="4">
        <f>LN('中国汇率&amp;期货（数据表）'!BA30)</f>
      </c>
      <c r="BB30" s="4">
        <f>LN('中国汇率&amp;期货（数据表）'!BB30)</f>
      </c>
      <c r="BC30" s="4">
        <f>LN('中国汇率&amp;期货（数据表）'!BC30)</f>
      </c>
      <c r="BD30" s="4">
        <f>LN('中国汇率&amp;期货（数据表）'!BD30)</f>
      </c>
      <c r="BE30" s="4">
        <f>LN('中国汇率&amp;期货（数据表）'!BE30)</f>
      </c>
    </row>
    <row x14ac:dyDescent="0.25" r="31" customHeight="1" ht="18.75">
      <c r="A31" s="1"/>
      <c r="B31" s="4">
        <f>LN('中国汇率&amp;期货（数据表）'!B31)</f>
      </c>
      <c r="C31" s="4">
        <f>LN('中国汇率&amp;期货（数据表）'!C31)</f>
      </c>
      <c r="D31" s="4">
        <f>LN('中国汇率&amp;期货（数据表）'!D31)</f>
      </c>
      <c r="E31" s="4">
        <f>LN('中国汇率&amp;期货（数据表）'!E31)</f>
      </c>
      <c r="F31" s="4">
        <f>LN('中国汇率&amp;期货（数据表）'!F31)</f>
      </c>
      <c r="G31" s="4">
        <f>LN('中国汇率&amp;期货（数据表）'!G31)</f>
      </c>
      <c r="H31" s="4">
        <f>LN('中国汇率&amp;期货（数据表）'!H31)</f>
      </c>
      <c r="I31" s="4">
        <f>LN('中国汇率&amp;期货（数据表）'!I31)</f>
      </c>
      <c r="J31" s="4">
        <f>LN('中国汇率&amp;期货（数据表）'!J31)</f>
      </c>
      <c r="K31" s="4">
        <f>LN('中国汇率&amp;期货（数据表）'!K31)</f>
      </c>
      <c r="L31" s="4">
        <f>LN('中国汇率&amp;期货（数据表）'!L31)</f>
      </c>
      <c r="M31" s="4">
        <f>LN('中国汇率&amp;期货（数据表）'!M31)</f>
      </c>
      <c r="N31" s="4">
        <f>LN('中国汇率&amp;期货（数据表）'!N31)</f>
      </c>
      <c r="O31" s="4">
        <f>LN('中国汇率&amp;期货（数据表）'!O31)</f>
      </c>
      <c r="P31" s="4">
        <f>LN('中国汇率&amp;期货（数据表）'!P31)</f>
      </c>
      <c r="Q31" s="4">
        <f>LN('中国汇率&amp;期货（数据表）'!Q31)</f>
      </c>
      <c r="R31" s="4">
        <f>LN('中国汇率&amp;期货（数据表）'!R31)</f>
      </c>
      <c r="S31" s="4">
        <f>LN('中国汇率&amp;期货（数据表）'!S31)</f>
      </c>
      <c r="T31" s="4">
        <f>LN('中国汇率&amp;期货（数据表）'!T31)</f>
      </c>
      <c r="U31" s="4">
        <f>LN('中国汇率&amp;期货（数据表）'!U31)</f>
      </c>
      <c r="V31" s="4">
        <f>LN('中国汇率&amp;期货（数据表）'!V31)</f>
      </c>
      <c r="W31" s="4">
        <f>LN('中国汇率&amp;期货（数据表）'!W31)</f>
      </c>
      <c r="X31" s="4">
        <f>LN('中国汇率&amp;期货（数据表）'!X31)</f>
      </c>
      <c r="Y31" s="4">
        <f>LN('中国汇率&amp;期货（数据表）'!Y31)</f>
      </c>
      <c r="Z31" s="4">
        <f>LN('中国汇率&amp;期货（数据表）'!Z31)</f>
      </c>
      <c r="AA31" s="4">
        <f>LN('中国汇率&amp;期货（数据表）'!AA31)</f>
      </c>
      <c r="AB31" s="4">
        <f>LN('中国汇率&amp;期货（数据表）'!AB31)</f>
      </c>
      <c r="AC31" s="4">
        <f>LN('中国汇率&amp;期货（数据表）'!AC31)</f>
      </c>
      <c r="AD31" s="4">
        <f>LN('中国汇率&amp;期货（数据表）'!AD31)</f>
      </c>
      <c r="AE31" s="4">
        <f>LN('中国汇率&amp;期货（数据表）'!AE31)</f>
      </c>
      <c r="AF31" s="4">
        <f>LN('中国汇率&amp;期货（数据表）'!AF31)</f>
      </c>
      <c r="AG31" s="4">
        <f>LN('中国汇率&amp;期货（数据表）'!AG31)</f>
      </c>
      <c r="AH31" s="4">
        <f>LN('中国汇率&amp;期货（数据表）'!AH31)</f>
      </c>
      <c r="AI31" s="4">
        <f>LN('中国汇率&amp;期货（数据表）'!AI31)</f>
      </c>
      <c r="AJ31" s="4">
        <f>LN('中国汇率&amp;期货（数据表）'!AJ31)</f>
      </c>
      <c r="AK31" s="4">
        <f>LN('中国汇率&amp;期货（数据表）'!AK31)</f>
      </c>
      <c r="AL31" s="4">
        <f>LN('中国汇率&amp;期货（数据表）'!AL31)</f>
      </c>
      <c r="AM31" s="4">
        <f>LN('中国汇率&amp;期货（数据表）'!AM31)</f>
      </c>
      <c r="AN31" s="4">
        <f>LN('中国汇率&amp;期货（数据表）'!AN31)</f>
      </c>
      <c r="AO31" s="4">
        <f>LN('中国汇率&amp;期货（数据表）'!AO31)</f>
      </c>
      <c r="AP31" s="4">
        <f>LN('中国汇率&amp;期货（数据表）'!AP31)</f>
      </c>
      <c r="AQ31" s="4">
        <f>LN('中国汇率&amp;期货（数据表）'!AQ31)</f>
      </c>
      <c r="AR31" s="4">
        <f>LN('中国汇率&amp;期货（数据表）'!AR31)</f>
      </c>
      <c r="AS31" s="4">
        <f>LN('中国汇率&amp;期货（数据表）'!AS31)</f>
      </c>
      <c r="AT31" s="4">
        <f>LN('中国汇率&amp;期货（数据表）'!AT31)</f>
      </c>
      <c r="AU31" s="4">
        <f>LN('中国汇率&amp;期货（数据表）'!AU31)</f>
      </c>
      <c r="AV31" s="4">
        <f>LN('中国汇率&amp;期货（数据表）'!AV31)</f>
      </c>
      <c r="AW31" s="4">
        <f>LN('中国汇率&amp;期货（数据表）'!AW31)</f>
      </c>
      <c r="AX31" s="4">
        <f>LN('中国汇率&amp;期货（数据表）'!AX31)</f>
      </c>
      <c r="AY31" s="4">
        <f>LN('中国汇率&amp;期货（数据表）'!AY31)</f>
      </c>
      <c r="AZ31" s="4">
        <f>LN('中国汇率&amp;期货（数据表）'!AZ31)</f>
      </c>
      <c r="BA31" s="4">
        <f>LN('中国汇率&amp;期货（数据表）'!BA31)</f>
      </c>
      <c r="BB31" s="4">
        <f>LN('中国汇率&amp;期货（数据表）'!BB31)</f>
      </c>
      <c r="BC31" s="4">
        <f>LN('中国汇率&amp;期货（数据表）'!BC31)</f>
      </c>
      <c r="BD31" s="4">
        <f>LN('中国汇率&amp;期货（数据表）'!BD31)</f>
      </c>
      <c r="BE31" s="4">
        <f>LN('中国汇率&amp;期货（数据表）'!BE31)</f>
      </c>
    </row>
    <row x14ac:dyDescent="0.25" r="32" customHeight="1" ht="18.75">
      <c r="A32" s="1"/>
      <c r="B32" s="4">
        <f>LN('中国汇率&amp;期货（数据表）'!B32)</f>
      </c>
      <c r="C32" s="4">
        <f>LN('中国汇率&amp;期货（数据表）'!C32)</f>
      </c>
      <c r="D32" s="4">
        <f>LN('中国汇率&amp;期货（数据表）'!D32)</f>
      </c>
      <c r="E32" s="4">
        <f>LN('中国汇率&amp;期货（数据表）'!E32)</f>
      </c>
      <c r="F32" s="4">
        <f>LN('中国汇率&amp;期货（数据表）'!F32)</f>
      </c>
      <c r="G32" s="4">
        <f>LN('中国汇率&amp;期货（数据表）'!G32)</f>
      </c>
      <c r="H32" s="4">
        <f>LN('中国汇率&amp;期货（数据表）'!H32)</f>
      </c>
      <c r="I32" s="4">
        <f>LN('中国汇率&amp;期货（数据表）'!I32)</f>
      </c>
      <c r="J32" s="4">
        <f>LN('中国汇率&amp;期货（数据表）'!J32)</f>
      </c>
      <c r="K32" s="4">
        <f>LN('中国汇率&amp;期货（数据表）'!K32)</f>
      </c>
      <c r="L32" s="4">
        <f>LN('中国汇率&amp;期货（数据表）'!L32)</f>
      </c>
      <c r="M32" s="4">
        <f>LN('中国汇率&amp;期货（数据表）'!M32)</f>
      </c>
      <c r="N32" s="4">
        <f>LN('中国汇率&amp;期货（数据表）'!N32)</f>
      </c>
      <c r="O32" s="4">
        <f>LN('中国汇率&amp;期货（数据表）'!O32)</f>
      </c>
      <c r="P32" s="4">
        <f>LN('中国汇率&amp;期货（数据表）'!P32)</f>
      </c>
      <c r="Q32" s="4">
        <f>LN('中国汇率&amp;期货（数据表）'!Q32)</f>
      </c>
      <c r="R32" s="4">
        <f>LN('中国汇率&amp;期货（数据表）'!R32)</f>
      </c>
      <c r="S32" s="4">
        <f>LN('中国汇率&amp;期货（数据表）'!S32)</f>
      </c>
      <c r="T32" s="4">
        <f>LN('中国汇率&amp;期货（数据表）'!T32)</f>
      </c>
      <c r="U32" s="4">
        <f>LN('中国汇率&amp;期货（数据表）'!U32)</f>
      </c>
      <c r="V32" s="4">
        <f>LN('中国汇率&amp;期货（数据表）'!V32)</f>
      </c>
      <c r="W32" s="4">
        <f>LN('中国汇率&amp;期货（数据表）'!W32)</f>
      </c>
      <c r="X32" s="4">
        <f>LN('中国汇率&amp;期货（数据表）'!X32)</f>
      </c>
      <c r="Y32" s="4">
        <f>LN('中国汇率&amp;期货（数据表）'!Y32)</f>
      </c>
      <c r="Z32" s="4">
        <f>LN('中国汇率&amp;期货（数据表）'!Z32)</f>
      </c>
      <c r="AA32" s="4">
        <f>LN('中国汇率&amp;期货（数据表）'!AA32)</f>
      </c>
      <c r="AB32" s="4">
        <f>LN('中国汇率&amp;期货（数据表）'!AB32)</f>
      </c>
      <c r="AC32" s="4">
        <f>LN('中国汇率&amp;期货（数据表）'!AC32)</f>
      </c>
      <c r="AD32" s="4">
        <f>LN('中国汇率&amp;期货（数据表）'!AD32)</f>
      </c>
      <c r="AE32" s="4">
        <f>LN('中国汇率&amp;期货（数据表）'!AE32)</f>
      </c>
      <c r="AF32" s="4">
        <f>LN('中国汇率&amp;期货（数据表）'!AF32)</f>
      </c>
      <c r="AG32" s="4">
        <f>LN('中国汇率&amp;期货（数据表）'!AG32)</f>
      </c>
      <c r="AH32" s="4">
        <f>LN('中国汇率&amp;期货（数据表）'!AH32)</f>
      </c>
      <c r="AI32" s="4">
        <f>LN('中国汇率&amp;期货（数据表）'!AI32)</f>
      </c>
      <c r="AJ32" s="4">
        <f>LN('中国汇率&amp;期货（数据表）'!AJ32)</f>
      </c>
      <c r="AK32" s="4">
        <f>LN('中国汇率&amp;期货（数据表）'!AK32)</f>
      </c>
      <c r="AL32" s="4">
        <f>LN('中国汇率&amp;期货（数据表）'!AL32)</f>
      </c>
      <c r="AM32" s="4">
        <f>LN('中国汇率&amp;期货（数据表）'!AM32)</f>
      </c>
      <c r="AN32" s="4">
        <f>LN('中国汇率&amp;期货（数据表）'!AN32)</f>
      </c>
      <c r="AO32" s="4">
        <f>LN('中国汇率&amp;期货（数据表）'!AO32)</f>
      </c>
      <c r="AP32" s="4">
        <f>LN('中国汇率&amp;期货（数据表）'!AP32)</f>
      </c>
      <c r="AQ32" s="4">
        <f>LN('中国汇率&amp;期货（数据表）'!AQ32)</f>
      </c>
      <c r="AR32" s="4">
        <f>LN('中国汇率&amp;期货（数据表）'!AR32)</f>
      </c>
      <c r="AS32" s="4">
        <f>LN('中国汇率&amp;期货（数据表）'!AS32)</f>
      </c>
      <c r="AT32" s="4">
        <f>LN('中国汇率&amp;期货（数据表）'!AT32)</f>
      </c>
      <c r="AU32" s="4">
        <f>LN('中国汇率&amp;期货（数据表）'!AU32)</f>
      </c>
      <c r="AV32" s="4">
        <f>LN('中国汇率&amp;期货（数据表）'!AV32)</f>
      </c>
      <c r="AW32" s="4">
        <f>LN('中国汇率&amp;期货（数据表）'!AW32)</f>
      </c>
      <c r="AX32" s="4">
        <f>LN('中国汇率&amp;期货（数据表）'!AX32)</f>
      </c>
      <c r="AY32" s="4">
        <f>LN('中国汇率&amp;期货（数据表）'!AY32)</f>
      </c>
      <c r="AZ32" s="4">
        <f>LN('中国汇率&amp;期货（数据表）'!AZ32)</f>
      </c>
      <c r="BA32" s="4">
        <f>LN('中国汇率&amp;期货（数据表）'!BA32)</f>
      </c>
      <c r="BB32" s="4">
        <f>LN('中国汇率&amp;期货（数据表）'!BB32)</f>
      </c>
      <c r="BC32" s="4">
        <f>LN('中国汇率&amp;期货（数据表）'!BC32)</f>
      </c>
      <c r="BD32" s="4">
        <f>LN('中国汇率&amp;期货（数据表）'!BD32)</f>
      </c>
      <c r="BE32" s="4">
        <f>LN('中国汇率&amp;期货（数据表）'!BE32)</f>
      </c>
    </row>
    <row x14ac:dyDescent="0.25" r="33" customHeight="1" ht="18.75">
      <c r="A33" s="1"/>
      <c r="B33" s="4">
        <f>LN('中国汇率&amp;期货（数据表）'!B33)</f>
      </c>
      <c r="C33" s="4">
        <f>LN('中国汇率&amp;期货（数据表）'!C33)</f>
      </c>
      <c r="D33" s="4">
        <f>LN('中国汇率&amp;期货（数据表）'!D33)</f>
      </c>
      <c r="E33" s="4">
        <f>LN('中国汇率&amp;期货（数据表）'!E33)</f>
      </c>
      <c r="F33" s="4">
        <f>LN('中国汇率&amp;期货（数据表）'!F33)</f>
      </c>
      <c r="G33" s="4">
        <f>LN('中国汇率&amp;期货（数据表）'!G33)</f>
      </c>
      <c r="H33" s="4">
        <f>LN('中国汇率&amp;期货（数据表）'!H33)</f>
      </c>
      <c r="I33" s="4">
        <f>LN('中国汇率&amp;期货（数据表）'!I33)</f>
      </c>
      <c r="J33" s="4">
        <f>LN('中国汇率&amp;期货（数据表）'!J33)</f>
      </c>
      <c r="K33" s="4">
        <f>LN('中国汇率&amp;期货（数据表）'!K33)</f>
      </c>
      <c r="L33" s="4">
        <f>LN('中国汇率&amp;期货（数据表）'!L33)</f>
      </c>
      <c r="M33" s="4">
        <f>LN('中国汇率&amp;期货（数据表）'!M33)</f>
      </c>
      <c r="N33" s="4">
        <f>LN('中国汇率&amp;期货（数据表）'!N33)</f>
      </c>
      <c r="O33" s="4">
        <f>LN('中国汇率&amp;期货（数据表）'!O33)</f>
      </c>
      <c r="P33" s="4">
        <f>LN('中国汇率&amp;期货（数据表）'!P33)</f>
      </c>
      <c r="Q33" s="4">
        <f>LN('中国汇率&amp;期货（数据表）'!Q33)</f>
      </c>
      <c r="R33" s="4">
        <f>LN('中国汇率&amp;期货（数据表）'!R33)</f>
      </c>
      <c r="S33" s="4">
        <f>LN('中国汇率&amp;期货（数据表）'!S33)</f>
      </c>
      <c r="T33" s="4">
        <f>LN('中国汇率&amp;期货（数据表）'!T33)</f>
      </c>
      <c r="U33" s="4">
        <f>LN('中国汇率&amp;期货（数据表）'!U33)</f>
      </c>
      <c r="V33" s="4">
        <f>LN('中国汇率&amp;期货（数据表）'!V33)</f>
      </c>
      <c r="W33" s="4">
        <f>LN('中国汇率&amp;期货（数据表）'!W33)</f>
      </c>
      <c r="X33" s="4">
        <f>LN('中国汇率&amp;期货（数据表）'!X33)</f>
      </c>
      <c r="Y33" s="4">
        <f>LN('中国汇率&amp;期货（数据表）'!Y33)</f>
      </c>
      <c r="Z33" s="4">
        <f>LN('中国汇率&amp;期货（数据表）'!Z33)</f>
      </c>
      <c r="AA33" s="4">
        <f>LN('中国汇率&amp;期货（数据表）'!AA33)</f>
      </c>
      <c r="AB33" s="4">
        <f>LN('中国汇率&amp;期货（数据表）'!AB33)</f>
      </c>
      <c r="AC33" s="4">
        <f>LN('中国汇率&amp;期货（数据表）'!AC33)</f>
      </c>
      <c r="AD33" s="4">
        <f>LN('中国汇率&amp;期货（数据表）'!AD33)</f>
      </c>
      <c r="AE33" s="4">
        <f>LN('中国汇率&amp;期货（数据表）'!AE33)</f>
      </c>
      <c r="AF33" s="4">
        <f>LN('中国汇率&amp;期货（数据表）'!AF33)</f>
      </c>
      <c r="AG33" s="4">
        <f>LN('中国汇率&amp;期货（数据表）'!AG33)</f>
      </c>
      <c r="AH33" s="4">
        <f>LN('中国汇率&amp;期货（数据表）'!AH33)</f>
      </c>
      <c r="AI33" s="4">
        <f>LN('中国汇率&amp;期货（数据表）'!AI33)</f>
      </c>
      <c r="AJ33" s="4">
        <f>LN('中国汇率&amp;期货（数据表）'!AJ33)</f>
      </c>
      <c r="AK33" s="4">
        <f>LN('中国汇率&amp;期货（数据表）'!AK33)</f>
      </c>
      <c r="AL33" s="4">
        <f>LN('中国汇率&amp;期货（数据表）'!AL33)</f>
      </c>
      <c r="AM33" s="4">
        <f>LN('中国汇率&amp;期货（数据表）'!AM33)</f>
      </c>
      <c r="AN33" s="4">
        <f>LN('中国汇率&amp;期货（数据表）'!AN33)</f>
      </c>
      <c r="AO33" s="4">
        <f>LN('中国汇率&amp;期货（数据表）'!AO33)</f>
      </c>
      <c r="AP33" s="4">
        <f>LN('中国汇率&amp;期货（数据表）'!AP33)</f>
      </c>
      <c r="AQ33" s="4">
        <f>LN('中国汇率&amp;期货（数据表）'!AQ33)</f>
      </c>
      <c r="AR33" s="4">
        <f>LN('中国汇率&amp;期货（数据表）'!AR33)</f>
      </c>
      <c r="AS33" s="4">
        <f>LN('中国汇率&amp;期货（数据表）'!AS33)</f>
      </c>
      <c r="AT33" s="4">
        <f>LN('中国汇率&amp;期货（数据表）'!AT33)</f>
      </c>
      <c r="AU33" s="4">
        <f>LN('中国汇率&amp;期货（数据表）'!AU33)</f>
      </c>
      <c r="AV33" s="4">
        <f>LN('中国汇率&amp;期货（数据表）'!AV33)</f>
      </c>
      <c r="AW33" s="4">
        <f>LN('中国汇率&amp;期货（数据表）'!AW33)</f>
      </c>
      <c r="AX33" s="4">
        <f>LN('中国汇率&amp;期货（数据表）'!AX33)</f>
      </c>
      <c r="AY33" s="4">
        <f>LN('中国汇率&amp;期货（数据表）'!AY33)</f>
      </c>
      <c r="AZ33" s="4">
        <f>LN('中国汇率&amp;期货（数据表）'!AZ33)</f>
      </c>
      <c r="BA33" s="4">
        <f>LN('中国汇率&amp;期货（数据表）'!BA33)</f>
      </c>
      <c r="BB33" s="4">
        <f>LN('中国汇率&amp;期货（数据表）'!BB33)</f>
      </c>
      <c r="BC33" s="4">
        <f>LN('中国汇率&amp;期货（数据表）'!BC33)</f>
      </c>
      <c r="BD33" s="4">
        <f>LN('中国汇率&amp;期货（数据表）'!BD33)</f>
      </c>
      <c r="BE33" s="4">
        <f>LN('中国汇率&amp;期货（数据表）'!BE33)</f>
      </c>
    </row>
    <row x14ac:dyDescent="0.25" r="34" customHeight="1" ht="18.75">
      <c r="A34" s="1"/>
      <c r="B34" s="4">
        <f>LN('中国汇率&amp;期货（数据表）'!B34)</f>
      </c>
      <c r="C34" s="4">
        <f>LN('中国汇率&amp;期货（数据表）'!C34)</f>
      </c>
      <c r="D34" s="4">
        <f>LN('中国汇率&amp;期货（数据表）'!D34)</f>
      </c>
      <c r="E34" s="4">
        <f>LN('中国汇率&amp;期货（数据表）'!E34)</f>
      </c>
      <c r="F34" s="4">
        <f>LN('中国汇率&amp;期货（数据表）'!F34)</f>
      </c>
      <c r="G34" s="4">
        <f>LN('中国汇率&amp;期货（数据表）'!G34)</f>
      </c>
      <c r="H34" s="4">
        <f>LN('中国汇率&amp;期货（数据表）'!H34)</f>
      </c>
      <c r="I34" s="4">
        <f>LN('中国汇率&amp;期货（数据表）'!I34)</f>
      </c>
      <c r="J34" s="4">
        <f>LN('中国汇率&amp;期货（数据表）'!J34)</f>
      </c>
      <c r="K34" s="4">
        <f>LN('中国汇率&amp;期货（数据表）'!K34)</f>
      </c>
      <c r="L34" s="4">
        <f>LN('中国汇率&amp;期货（数据表）'!L34)</f>
      </c>
      <c r="M34" s="4">
        <f>LN('中国汇率&amp;期货（数据表）'!M34)</f>
      </c>
      <c r="N34" s="4">
        <f>LN('中国汇率&amp;期货（数据表）'!N34)</f>
      </c>
      <c r="O34" s="4">
        <f>LN('中国汇率&amp;期货（数据表）'!O34)</f>
      </c>
      <c r="P34" s="4">
        <f>LN('中国汇率&amp;期货（数据表）'!P34)</f>
      </c>
      <c r="Q34" s="4">
        <f>LN('中国汇率&amp;期货（数据表）'!Q34)</f>
      </c>
      <c r="R34" s="4">
        <f>LN('中国汇率&amp;期货（数据表）'!R34)</f>
      </c>
      <c r="S34" s="4">
        <f>LN('中国汇率&amp;期货（数据表）'!S34)</f>
      </c>
      <c r="T34" s="4">
        <f>LN('中国汇率&amp;期货（数据表）'!T34)</f>
      </c>
      <c r="U34" s="4">
        <f>LN('中国汇率&amp;期货（数据表）'!U34)</f>
      </c>
      <c r="V34" s="4">
        <f>LN('中国汇率&amp;期货（数据表）'!V34)</f>
      </c>
      <c r="W34" s="4">
        <f>LN('中国汇率&amp;期货（数据表）'!W34)</f>
      </c>
      <c r="X34" s="4">
        <f>LN('中国汇率&amp;期货（数据表）'!X34)</f>
      </c>
      <c r="Y34" s="4">
        <f>LN('中国汇率&amp;期货（数据表）'!Y34)</f>
      </c>
      <c r="Z34" s="4">
        <f>LN('中国汇率&amp;期货（数据表）'!Z34)</f>
      </c>
      <c r="AA34" s="4">
        <f>LN('中国汇率&amp;期货（数据表）'!AA34)</f>
      </c>
      <c r="AB34" s="4">
        <f>LN('中国汇率&amp;期货（数据表）'!AB34)</f>
      </c>
      <c r="AC34" s="4">
        <f>LN('中国汇率&amp;期货（数据表）'!AC34)</f>
      </c>
      <c r="AD34" s="4">
        <f>LN('中国汇率&amp;期货（数据表）'!AD34)</f>
      </c>
      <c r="AE34" s="4">
        <f>LN('中国汇率&amp;期货（数据表）'!AE34)</f>
      </c>
      <c r="AF34" s="4">
        <f>LN('中国汇率&amp;期货（数据表）'!AF34)</f>
      </c>
      <c r="AG34" s="4">
        <f>LN('中国汇率&amp;期货（数据表）'!AG34)</f>
      </c>
      <c r="AH34" s="4">
        <f>LN('中国汇率&amp;期货（数据表）'!AH34)</f>
      </c>
      <c r="AI34" s="4">
        <f>LN('中国汇率&amp;期货（数据表）'!AI34)</f>
      </c>
      <c r="AJ34" s="4">
        <f>LN('中国汇率&amp;期货（数据表）'!AJ34)</f>
      </c>
      <c r="AK34" s="4">
        <f>LN('中国汇率&amp;期货（数据表）'!AK34)</f>
      </c>
      <c r="AL34" s="4">
        <f>LN('中国汇率&amp;期货（数据表）'!AL34)</f>
      </c>
      <c r="AM34" s="4">
        <f>LN('中国汇率&amp;期货（数据表）'!AM34)</f>
      </c>
      <c r="AN34" s="4">
        <f>LN('中国汇率&amp;期货（数据表）'!AN34)</f>
      </c>
      <c r="AO34" s="4">
        <f>LN('中国汇率&amp;期货（数据表）'!AO34)</f>
      </c>
      <c r="AP34" s="4">
        <f>LN('中国汇率&amp;期货（数据表）'!AP34)</f>
      </c>
      <c r="AQ34" s="4">
        <f>LN('中国汇率&amp;期货（数据表）'!AQ34)</f>
      </c>
      <c r="AR34" s="4">
        <f>LN('中国汇率&amp;期货（数据表）'!AR34)</f>
      </c>
      <c r="AS34" s="4">
        <f>LN('中国汇率&amp;期货（数据表）'!AS34)</f>
      </c>
      <c r="AT34" s="4">
        <f>LN('中国汇率&amp;期货（数据表）'!AT34)</f>
      </c>
      <c r="AU34" s="4">
        <f>LN('中国汇率&amp;期货（数据表）'!AU34)</f>
      </c>
      <c r="AV34" s="4">
        <f>LN('中国汇率&amp;期货（数据表）'!AV34)</f>
      </c>
      <c r="AW34" s="4">
        <f>LN('中国汇率&amp;期货（数据表）'!AW34)</f>
      </c>
      <c r="AX34" s="4">
        <f>LN('中国汇率&amp;期货（数据表）'!AX34)</f>
      </c>
      <c r="AY34" s="4">
        <f>LN('中国汇率&amp;期货（数据表）'!AY34)</f>
      </c>
      <c r="AZ34" s="4">
        <f>LN('中国汇率&amp;期货（数据表）'!AZ34)</f>
      </c>
      <c r="BA34" s="4">
        <f>LN('中国汇率&amp;期货（数据表）'!BA34)</f>
      </c>
      <c r="BB34" s="4">
        <f>LN('中国汇率&amp;期货（数据表）'!BB34)</f>
      </c>
      <c r="BC34" s="4">
        <f>LN('中国汇率&amp;期货（数据表）'!BC34)</f>
      </c>
      <c r="BD34" s="4">
        <f>LN('中国汇率&amp;期货（数据表）'!BD34)</f>
      </c>
      <c r="BE34" s="4">
        <f>LN('中国汇率&amp;期货（数据表）'!BE34)</f>
      </c>
    </row>
    <row x14ac:dyDescent="0.25" r="35" customHeight="1" ht="18.75">
      <c r="A35" s="1"/>
      <c r="B35" s="4">
        <f>LN('中国汇率&amp;期货（数据表）'!B35)</f>
      </c>
      <c r="C35" s="4">
        <f>LN('中国汇率&amp;期货（数据表）'!C35)</f>
      </c>
      <c r="D35" s="4">
        <f>LN('中国汇率&amp;期货（数据表）'!D35)</f>
      </c>
      <c r="E35" s="4">
        <f>LN('中国汇率&amp;期货（数据表）'!E35)</f>
      </c>
      <c r="F35" s="4">
        <f>LN('中国汇率&amp;期货（数据表）'!F35)</f>
      </c>
      <c r="G35" s="4">
        <f>LN('中国汇率&amp;期货（数据表）'!G35)</f>
      </c>
      <c r="H35" s="4">
        <f>LN('中国汇率&amp;期货（数据表）'!H35)</f>
      </c>
      <c r="I35" s="4">
        <f>LN('中国汇率&amp;期货（数据表）'!I35)</f>
      </c>
      <c r="J35" s="4">
        <f>LN('中国汇率&amp;期货（数据表）'!J35)</f>
      </c>
      <c r="K35" s="4">
        <f>LN('中国汇率&amp;期货（数据表）'!K35)</f>
      </c>
      <c r="L35" s="4">
        <f>LN('中国汇率&amp;期货（数据表）'!L35)</f>
      </c>
      <c r="M35" s="4">
        <f>LN('中国汇率&amp;期货（数据表）'!M35)</f>
      </c>
      <c r="N35" s="4">
        <f>LN('中国汇率&amp;期货（数据表）'!N35)</f>
      </c>
      <c r="O35" s="4">
        <f>LN('中国汇率&amp;期货（数据表）'!O35)</f>
      </c>
      <c r="P35" s="4">
        <f>LN('中国汇率&amp;期货（数据表）'!P35)</f>
      </c>
      <c r="Q35" s="4">
        <f>LN('中国汇率&amp;期货（数据表）'!Q35)</f>
      </c>
      <c r="R35" s="4">
        <f>LN('中国汇率&amp;期货（数据表）'!R35)</f>
      </c>
      <c r="S35" s="4">
        <f>LN('中国汇率&amp;期货（数据表）'!S35)</f>
      </c>
      <c r="T35" s="4">
        <f>LN('中国汇率&amp;期货（数据表）'!T35)</f>
      </c>
      <c r="U35" s="4">
        <f>LN('中国汇率&amp;期货（数据表）'!U35)</f>
      </c>
      <c r="V35" s="4">
        <f>LN('中国汇率&amp;期货（数据表）'!V35)</f>
      </c>
      <c r="W35" s="4">
        <f>LN('中国汇率&amp;期货（数据表）'!W35)</f>
      </c>
      <c r="X35" s="4">
        <f>LN('中国汇率&amp;期货（数据表）'!X35)</f>
      </c>
      <c r="Y35" s="4">
        <f>LN('中国汇率&amp;期货（数据表）'!Y35)</f>
      </c>
      <c r="Z35" s="4">
        <f>LN('中国汇率&amp;期货（数据表）'!Z35)</f>
      </c>
      <c r="AA35" s="4">
        <f>LN('中国汇率&amp;期货（数据表）'!AA35)</f>
      </c>
      <c r="AB35" s="4">
        <f>LN('中国汇率&amp;期货（数据表）'!AB35)</f>
      </c>
      <c r="AC35" s="4">
        <f>LN('中国汇率&amp;期货（数据表）'!AC35)</f>
      </c>
      <c r="AD35" s="4">
        <f>LN('中国汇率&amp;期货（数据表）'!AD35)</f>
      </c>
      <c r="AE35" s="4">
        <f>LN('中国汇率&amp;期货（数据表）'!AE35)</f>
      </c>
      <c r="AF35" s="4">
        <f>LN('中国汇率&amp;期货（数据表）'!AF35)</f>
      </c>
      <c r="AG35" s="4">
        <f>LN('中国汇率&amp;期货（数据表）'!AG35)</f>
      </c>
      <c r="AH35" s="4">
        <f>LN('中国汇率&amp;期货（数据表）'!AH35)</f>
      </c>
      <c r="AI35" s="4">
        <f>LN('中国汇率&amp;期货（数据表）'!AI35)</f>
      </c>
      <c r="AJ35" s="4">
        <f>LN('中国汇率&amp;期货（数据表）'!AJ35)</f>
      </c>
      <c r="AK35" s="4">
        <f>LN('中国汇率&amp;期货（数据表）'!AK35)</f>
      </c>
      <c r="AL35" s="4">
        <f>LN('中国汇率&amp;期货（数据表）'!AL35)</f>
      </c>
      <c r="AM35" s="4">
        <f>LN('中国汇率&amp;期货（数据表）'!AM35)</f>
      </c>
      <c r="AN35" s="4">
        <f>LN('中国汇率&amp;期货（数据表）'!AN35)</f>
      </c>
      <c r="AO35" s="4">
        <f>LN('中国汇率&amp;期货（数据表）'!AO35)</f>
      </c>
      <c r="AP35" s="4">
        <f>LN('中国汇率&amp;期货（数据表）'!AP35)</f>
      </c>
      <c r="AQ35" s="4">
        <f>LN('中国汇率&amp;期货（数据表）'!AQ35)</f>
      </c>
      <c r="AR35" s="4">
        <f>LN('中国汇率&amp;期货（数据表）'!AR35)</f>
      </c>
      <c r="AS35" s="4">
        <f>LN('中国汇率&amp;期货（数据表）'!AS35)</f>
      </c>
      <c r="AT35" s="4">
        <f>LN('中国汇率&amp;期货（数据表）'!AT35)</f>
      </c>
      <c r="AU35" s="4">
        <f>LN('中国汇率&amp;期货（数据表）'!AU35)</f>
      </c>
      <c r="AV35" s="4">
        <f>LN('中国汇率&amp;期货（数据表）'!AV35)</f>
      </c>
      <c r="AW35" s="4">
        <f>LN('中国汇率&amp;期货（数据表）'!AW35)</f>
      </c>
      <c r="AX35" s="4">
        <f>LN('中国汇率&amp;期货（数据表）'!AX35)</f>
      </c>
      <c r="AY35" s="4">
        <f>LN('中国汇率&amp;期货（数据表）'!AY35)</f>
      </c>
      <c r="AZ35" s="4">
        <f>LN('中国汇率&amp;期货（数据表）'!AZ35)</f>
      </c>
      <c r="BA35" s="4">
        <f>LN('中国汇率&amp;期货（数据表）'!BA35)</f>
      </c>
      <c r="BB35" s="4">
        <f>LN('中国汇率&amp;期货（数据表）'!BB35)</f>
      </c>
      <c r="BC35" s="4">
        <f>LN('中国汇率&amp;期货（数据表）'!BC35)</f>
      </c>
      <c r="BD35" s="4">
        <f>LN('中国汇率&amp;期货（数据表）'!BD35)</f>
      </c>
      <c r="BE35" s="4">
        <f>LN('中国汇率&amp;期货（数据表）'!BE35)</f>
      </c>
    </row>
    <row x14ac:dyDescent="0.25" r="36" customHeight="1" ht="18.75">
      <c r="A36" s="1"/>
      <c r="B36" s="4">
        <f>LN('中国汇率&amp;期货（数据表）'!B36)</f>
      </c>
      <c r="C36" s="4">
        <f>LN('中国汇率&amp;期货（数据表）'!C36)</f>
      </c>
      <c r="D36" s="4">
        <f>LN('中国汇率&amp;期货（数据表）'!D36)</f>
      </c>
      <c r="E36" s="4">
        <f>LN('中国汇率&amp;期货（数据表）'!E36)</f>
      </c>
      <c r="F36" s="4">
        <f>LN('中国汇率&amp;期货（数据表）'!F36)</f>
      </c>
      <c r="G36" s="4">
        <f>LN('中国汇率&amp;期货（数据表）'!G36)</f>
      </c>
      <c r="H36" s="4">
        <f>LN('中国汇率&amp;期货（数据表）'!H36)</f>
      </c>
      <c r="I36" s="4">
        <f>LN('中国汇率&amp;期货（数据表）'!I36)</f>
      </c>
      <c r="J36" s="4">
        <f>LN('中国汇率&amp;期货（数据表）'!J36)</f>
      </c>
      <c r="K36" s="4">
        <f>LN('中国汇率&amp;期货（数据表）'!K36)</f>
      </c>
      <c r="L36" s="4">
        <f>LN('中国汇率&amp;期货（数据表）'!L36)</f>
      </c>
      <c r="M36" s="4">
        <f>LN('中国汇率&amp;期货（数据表）'!M36)</f>
      </c>
      <c r="N36" s="4">
        <f>LN('中国汇率&amp;期货（数据表）'!N36)</f>
      </c>
      <c r="O36" s="4">
        <f>LN('中国汇率&amp;期货（数据表）'!O36)</f>
      </c>
      <c r="P36" s="4">
        <f>LN('中国汇率&amp;期货（数据表）'!P36)</f>
      </c>
      <c r="Q36" s="4">
        <f>LN('中国汇率&amp;期货（数据表）'!Q36)</f>
      </c>
      <c r="R36" s="4">
        <f>LN('中国汇率&amp;期货（数据表）'!R36)</f>
      </c>
      <c r="S36" s="4">
        <f>LN('中国汇率&amp;期货（数据表）'!S36)</f>
      </c>
      <c r="T36" s="4">
        <f>LN('中国汇率&amp;期货（数据表）'!T36)</f>
      </c>
      <c r="U36" s="4">
        <f>LN('中国汇率&amp;期货（数据表）'!U36)</f>
      </c>
      <c r="V36" s="4">
        <f>LN('中国汇率&amp;期货（数据表）'!V36)</f>
      </c>
      <c r="W36" s="4">
        <f>LN('中国汇率&amp;期货（数据表）'!W36)</f>
      </c>
      <c r="X36" s="4">
        <f>LN('中国汇率&amp;期货（数据表）'!X36)</f>
      </c>
      <c r="Y36" s="4">
        <f>LN('中国汇率&amp;期货（数据表）'!Y36)</f>
      </c>
      <c r="Z36" s="4">
        <f>LN('中国汇率&amp;期货（数据表）'!Z36)</f>
      </c>
      <c r="AA36" s="4">
        <f>LN('中国汇率&amp;期货（数据表）'!AA36)</f>
      </c>
      <c r="AB36" s="4">
        <f>LN('中国汇率&amp;期货（数据表）'!AB36)</f>
      </c>
      <c r="AC36" s="4">
        <f>LN('中国汇率&amp;期货（数据表）'!AC36)</f>
      </c>
      <c r="AD36" s="4">
        <f>LN('中国汇率&amp;期货（数据表）'!AD36)</f>
      </c>
      <c r="AE36" s="4">
        <f>LN('中国汇率&amp;期货（数据表）'!AE36)</f>
      </c>
      <c r="AF36" s="4">
        <f>LN('中国汇率&amp;期货（数据表）'!AF36)</f>
      </c>
      <c r="AG36" s="4">
        <f>LN('中国汇率&amp;期货（数据表）'!AG36)</f>
      </c>
      <c r="AH36" s="4">
        <f>LN('中国汇率&amp;期货（数据表）'!AH36)</f>
      </c>
      <c r="AI36" s="4">
        <f>LN('中国汇率&amp;期货（数据表）'!AI36)</f>
      </c>
      <c r="AJ36" s="4">
        <f>LN('中国汇率&amp;期货（数据表）'!AJ36)</f>
      </c>
      <c r="AK36" s="4">
        <f>LN('中国汇率&amp;期货（数据表）'!AK36)</f>
      </c>
      <c r="AL36" s="4">
        <f>LN('中国汇率&amp;期货（数据表）'!AL36)</f>
      </c>
      <c r="AM36" s="4">
        <f>LN('中国汇率&amp;期货（数据表）'!AM36)</f>
      </c>
      <c r="AN36" s="4">
        <f>LN('中国汇率&amp;期货（数据表）'!AN36)</f>
      </c>
      <c r="AO36" s="4">
        <f>LN('中国汇率&amp;期货（数据表）'!AO36)</f>
      </c>
      <c r="AP36" s="4">
        <f>LN('中国汇率&amp;期货（数据表）'!AP36)</f>
      </c>
      <c r="AQ36" s="4">
        <f>LN('中国汇率&amp;期货（数据表）'!AQ36)</f>
      </c>
      <c r="AR36" s="4">
        <f>LN('中国汇率&amp;期货（数据表）'!AR36)</f>
      </c>
      <c r="AS36" s="4">
        <f>LN('中国汇率&amp;期货（数据表）'!AS36)</f>
      </c>
      <c r="AT36" s="4">
        <f>LN('中国汇率&amp;期货（数据表）'!AT36)</f>
      </c>
      <c r="AU36" s="4">
        <f>LN('中国汇率&amp;期货（数据表）'!AU36)</f>
      </c>
      <c r="AV36" s="4">
        <f>LN('中国汇率&amp;期货（数据表）'!AV36)</f>
      </c>
      <c r="AW36" s="4">
        <f>LN('中国汇率&amp;期货（数据表）'!AW36)</f>
      </c>
      <c r="AX36" s="4">
        <f>LN('中国汇率&amp;期货（数据表）'!AX36)</f>
      </c>
      <c r="AY36" s="4">
        <f>LN('中国汇率&amp;期货（数据表）'!AY36)</f>
      </c>
      <c r="AZ36" s="4">
        <f>LN('中国汇率&amp;期货（数据表）'!AZ36)</f>
      </c>
      <c r="BA36" s="4">
        <f>LN('中国汇率&amp;期货（数据表）'!BA36)</f>
      </c>
      <c r="BB36" s="4">
        <f>LN('中国汇率&amp;期货（数据表）'!BB36)</f>
      </c>
      <c r="BC36" s="4">
        <f>LN('中国汇率&amp;期货（数据表）'!BC36)</f>
      </c>
      <c r="BD36" s="4">
        <f>LN('中国汇率&amp;期货（数据表）'!BD36)</f>
      </c>
      <c r="BE36" s="4">
        <f>LN('中国汇率&amp;期货（数据表）'!BE36)</f>
      </c>
    </row>
    <row x14ac:dyDescent="0.25" r="37" customHeight="1" ht="18.75">
      <c r="A37" s="1"/>
      <c r="B37" s="4">
        <f>LN('中国汇率&amp;期货（数据表）'!B37)</f>
      </c>
      <c r="C37" s="4">
        <f>LN('中国汇率&amp;期货（数据表）'!C37)</f>
      </c>
      <c r="D37" s="4">
        <f>LN('中国汇率&amp;期货（数据表）'!D37)</f>
      </c>
      <c r="E37" s="4">
        <f>LN('中国汇率&amp;期货（数据表）'!E37)</f>
      </c>
      <c r="F37" s="4">
        <f>LN('中国汇率&amp;期货（数据表）'!F37)</f>
      </c>
      <c r="G37" s="4">
        <f>LN('中国汇率&amp;期货（数据表）'!G37)</f>
      </c>
      <c r="H37" s="4">
        <f>LN('中国汇率&amp;期货（数据表）'!H37)</f>
      </c>
      <c r="I37" s="4">
        <f>LN('中国汇率&amp;期货（数据表）'!I37)</f>
      </c>
      <c r="J37" s="4">
        <f>LN('中国汇率&amp;期货（数据表）'!J37)</f>
      </c>
      <c r="K37" s="4">
        <f>LN('中国汇率&amp;期货（数据表）'!K37)</f>
      </c>
      <c r="L37" s="4">
        <f>LN('中国汇率&amp;期货（数据表）'!L37)</f>
      </c>
      <c r="M37" s="4">
        <f>LN('中国汇率&amp;期货（数据表）'!M37)</f>
      </c>
      <c r="N37" s="4">
        <f>LN('中国汇率&amp;期货（数据表）'!N37)</f>
      </c>
      <c r="O37" s="4">
        <f>LN('中国汇率&amp;期货（数据表）'!O37)</f>
      </c>
      <c r="P37" s="4">
        <f>LN('中国汇率&amp;期货（数据表）'!P37)</f>
      </c>
      <c r="Q37" s="4">
        <f>LN('中国汇率&amp;期货（数据表）'!Q37)</f>
      </c>
      <c r="R37" s="4">
        <f>LN('中国汇率&amp;期货（数据表）'!R37)</f>
      </c>
      <c r="S37" s="4">
        <f>LN('中国汇率&amp;期货（数据表）'!S37)</f>
      </c>
      <c r="T37" s="4">
        <f>LN('中国汇率&amp;期货（数据表）'!T37)</f>
      </c>
      <c r="U37" s="4">
        <f>LN('中国汇率&amp;期货（数据表）'!U37)</f>
      </c>
      <c r="V37" s="4">
        <f>LN('中国汇率&amp;期货（数据表）'!V37)</f>
      </c>
      <c r="W37" s="4">
        <f>LN('中国汇率&amp;期货（数据表）'!W37)</f>
      </c>
      <c r="X37" s="4">
        <f>LN('中国汇率&amp;期货（数据表）'!X37)</f>
      </c>
      <c r="Y37" s="4">
        <f>LN('中国汇率&amp;期货（数据表）'!Y37)</f>
      </c>
      <c r="Z37" s="4">
        <f>LN('中国汇率&amp;期货（数据表）'!Z37)</f>
      </c>
      <c r="AA37" s="4">
        <f>LN('中国汇率&amp;期货（数据表）'!AA37)</f>
      </c>
      <c r="AB37" s="4">
        <f>LN('中国汇率&amp;期货（数据表）'!AB37)</f>
      </c>
      <c r="AC37" s="4">
        <f>LN('中国汇率&amp;期货（数据表）'!AC37)</f>
      </c>
      <c r="AD37" s="4">
        <f>LN('中国汇率&amp;期货（数据表）'!AD37)</f>
      </c>
      <c r="AE37" s="4">
        <f>LN('中国汇率&amp;期货（数据表）'!AE37)</f>
      </c>
      <c r="AF37" s="4">
        <f>LN('中国汇率&amp;期货（数据表）'!AF37)</f>
      </c>
      <c r="AG37" s="4">
        <f>LN('中国汇率&amp;期货（数据表）'!AG37)</f>
      </c>
      <c r="AH37" s="4">
        <f>LN('中国汇率&amp;期货（数据表）'!AH37)</f>
      </c>
      <c r="AI37" s="4">
        <f>LN('中国汇率&amp;期货（数据表）'!AI37)</f>
      </c>
      <c r="AJ37" s="4">
        <f>LN('中国汇率&amp;期货（数据表）'!AJ37)</f>
      </c>
      <c r="AK37" s="4">
        <f>LN('中国汇率&amp;期货（数据表）'!AK37)</f>
      </c>
      <c r="AL37" s="4">
        <f>LN('中国汇率&amp;期货（数据表）'!AL37)</f>
      </c>
      <c r="AM37" s="4">
        <f>LN('中国汇率&amp;期货（数据表）'!AM37)</f>
      </c>
      <c r="AN37" s="4">
        <f>LN('中国汇率&amp;期货（数据表）'!AN37)</f>
      </c>
      <c r="AO37" s="4">
        <f>LN('中国汇率&amp;期货（数据表）'!AO37)</f>
      </c>
      <c r="AP37" s="4">
        <f>LN('中国汇率&amp;期货（数据表）'!AP37)</f>
      </c>
      <c r="AQ37" s="4">
        <f>LN('中国汇率&amp;期货（数据表）'!AQ37)</f>
      </c>
      <c r="AR37" s="4">
        <f>LN('中国汇率&amp;期货（数据表）'!AR37)</f>
      </c>
      <c r="AS37" s="4">
        <f>LN('中国汇率&amp;期货（数据表）'!AS37)</f>
      </c>
      <c r="AT37" s="4">
        <f>LN('中国汇率&amp;期货（数据表）'!AT37)</f>
      </c>
      <c r="AU37" s="4">
        <f>LN('中国汇率&amp;期货（数据表）'!AU37)</f>
      </c>
      <c r="AV37" s="4">
        <f>LN('中国汇率&amp;期货（数据表）'!AV37)</f>
      </c>
      <c r="AW37" s="4">
        <f>LN('中国汇率&amp;期货（数据表）'!AW37)</f>
      </c>
      <c r="AX37" s="4">
        <f>LN('中国汇率&amp;期货（数据表）'!AX37)</f>
      </c>
      <c r="AY37" s="4">
        <f>LN('中国汇率&amp;期货（数据表）'!AY37)</f>
      </c>
      <c r="AZ37" s="4">
        <f>LN('中国汇率&amp;期货（数据表）'!AZ37)</f>
      </c>
      <c r="BA37" s="4">
        <f>LN('中国汇率&amp;期货（数据表）'!BA37)</f>
      </c>
      <c r="BB37" s="4">
        <f>LN('中国汇率&amp;期货（数据表）'!BB37)</f>
      </c>
      <c r="BC37" s="4">
        <f>LN('中国汇率&amp;期货（数据表）'!BC37)</f>
      </c>
      <c r="BD37" s="4">
        <f>LN('中国汇率&amp;期货（数据表）'!BD37)</f>
      </c>
      <c r="BE37" s="4">
        <f>LN('中国汇率&amp;期货（数据表）'!BE37)</f>
      </c>
    </row>
    <row x14ac:dyDescent="0.25" r="38" customHeight="1" ht="18.75">
      <c r="A38" s="1"/>
      <c r="B38" s="4">
        <f>LN('中国汇率&amp;期货（数据表）'!B38)</f>
      </c>
      <c r="C38" s="4">
        <f>LN('中国汇率&amp;期货（数据表）'!C38)</f>
      </c>
      <c r="D38" s="4">
        <f>LN('中国汇率&amp;期货（数据表）'!D38)</f>
      </c>
      <c r="E38" s="4">
        <f>LN('中国汇率&amp;期货（数据表）'!E38)</f>
      </c>
      <c r="F38" s="4">
        <f>LN('中国汇率&amp;期货（数据表）'!F38)</f>
      </c>
      <c r="G38" s="4">
        <f>LN('中国汇率&amp;期货（数据表）'!G38)</f>
      </c>
      <c r="H38" s="4">
        <f>LN('中国汇率&amp;期货（数据表）'!H38)</f>
      </c>
      <c r="I38" s="4">
        <f>LN('中国汇率&amp;期货（数据表）'!I38)</f>
      </c>
      <c r="J38" s="4">
        <f>LN('中国汇率&amp;期货（数据表）'!J38)</f>
      </c>
      <c r="K38" s="4">
        <f>LN('中国汇率&amp;期货（数据表）'!K38)</f>
      </c>
      <c r="L38" s="4">
        <f>LN('中国汇率&amp;期货（数据表）'!L38)</f>
      </c>
      <c r="M38" s="4">
        <f>LN('中国汇率&amp;期货（数据表）'!M38)</f>
      </c>
      <c r="N38" s="4">
        <f>LN('中国汇率&amp;期货（数据表）'!N38)</f>
      </c>
      <c r="O38" s="4">
        <f>LN('中国汇率&amp;期货（数据表）'!O38)</f>
      </c>
      <c r="P38" s="4">
        <f>LN('中国汇率&amp;期货（数据表）'!P38)</f>
      </c>
      <c r="Q38" s="4">
        <f>LN('中国汇率&amp;期货（数据表）'!Q38)</f>
      </c>
      <c r="R38" s="4">
        <f>LN('中国汇率&amp;期货（数据表）'!R38)</f>
      </c>
      <c r="S38" s="4">
        <f>LN('中国汇率&amp;期货（数据表）'!S38)</f>
      </c>
      <c r="T38" s="4">
        <f>LN('中国汇率&amp;期货（数据表）'!T38)</f>
      </c>
      <c r="U38" s="4">
        <f>LN('中国汇率&amp;期货（数据表）'!U38)</f>
      </c>
      <c r="V38" s="4">
        <f>LN('中国汇率&amp;期货（数据表）'!V38)</f>
      </c>
      <c r="W38" s="4">
        <f>LN('中国汇率&amp;期货（数据表）'!W38)</f>
      </c>
      <c r="X38" s="4">
        <f>LN('中国汇率&amp;期货（数据表）'!X38)</f>
      </c>
      <c r="Y38" s="4">
        <f>LN('中国汇率&amp;期货（数据表）'!Y38)</f>
      </c>
      <c r="Z38" s="4">
        <f>LN('中国汇率&amp;期货（数据表）'!Z38)</f>
      </c>
      <c r="AA38" s="4">
        <f>LN('中国汇率&amp;期货（数据表）'!AA38)</f>
      </c>
      <c r="AB38" s="4">
        <f>LN('中国汇率&amp;期货（数据表）'!AB38)</f>
      </c>
      <c r="AC38" s="4">
        <f>LN('中国汇率&amp;期货（数据表）'!AC38)</f>
      </c>
      <c r="AD38" s="4">
        <f>LN('中国汇率&amp;期货（数据表）'!AD38)</f>
      </c>
      <c r="AE38" s="4">
        <f>LN('中国汇率&amp;期货（数据表）'!AE38)</f>
      </c>
      <c r="AF38" s="4">
        <f>LN('中国汇率&amp;期货（数据表）'!AF38)</f>
      </c>
      <c r="AG38" s="4">
        <f>LN('中国汇率&amp;期货（数据表）'!AG38)</f>
      </c>
      <c r="AH38" s="4">
        <f>LN('中国汇率&amp;期货（数据表）'!AH38)</f>
      </c>
      <c r="AI38" s="4">
        <f>LN('中国汇率&amp;期货（数据表）'!AI38)</f>
      </c>
      <c r="AJ38" s="4">
        <f>LN('中国汇率&amp;期货（数据表）'!AJ38)</f>
      </c>
      <c r="AK38" s="4">
        <f>LN('中国汇率&amp;期货（数据表）'!AK38)</f>
      </c>
      <c r="AL38" s="4">
        <f>LN('中国汇率&amp;期货（数据表）'!AL38)</f>
      </c>
      <c r="AM38" s="4">
        <f>LN('中国汇率&amp;期货（数据表）'!AM38)</f>
      </c>
      <c r="AN38" s="4">
        <f>LN('中国汇率&amp;期货（数据表）'!AN38)</f>
      </c>
      <c r="AO38" s="4">
        <f>LN('中国汇率&amp;期货（数据表）'!AO38)</f>
      </c>
      <c r="AP38" s="4">
        <f>LN('中国汇率&amp;期货（数据表）'!AP38)</f>
      </c>
      <c r="AQ38" s="4">
        <f>LN('中国汇率&amp;期货（数据表）'!AQ38)</f>
      </c>
      <c r="AR38" s="4">
        <f>LN('中国汇率&amp;期货（数据表）'!AR38)</f>
      </c>
      <c r="AS38" s="4">
        <f>LN('中国汇率&amp;期货（数据表）'!AS38)</f>
      </c>
      <c r="AT38" s="4">
        <f>LN('中国汇率&amp;期货（数据表）'!AT38)</f>
      </c>
      <c r="AU38" s="4">
        <f>LN('中国汇率&amp;期货（数据表）'!AU38)</f>
      </c>
      <c r="AV38" s="4">
        <f>LN('中国汇率&amp;期货（数据表）'!AV38)</f>
      </c>
      <c r="AW38" s="4">
        <f>LN('中国汇率&amp;期货（数据表）'!AW38)</f>
      </c>
      <c r="AX38" s="4">
        <f>LN('中国汇率&amp;期货（数据表）'!AX38)</f>
      </c>
      <c r="AY38" s="4">
        <f>LN('中国汇率&amp;期货（数据表）'!AY38)</f>
      </c>
      <c r="AZ38" s="4">
        <f>LN('中国汇率&amp;期货（数据表）'!AZ38)</f>
      </c>
      <c r="BA38" s="4">
        <f>LN('中国汇率&amp;期货（数据表）'!BA38)</f>
      </c>
      <c r="BB38" s="4">
        <f>LN('中国汇率&amp;期货（数据表）'!BB38)</f>
      </c>
      <c r="BC38" s="4">
        <f>LN('中国汇率&amp;期货（数据表）'!BC38)</f>
      </c>
      <c r="BD38" s="4">
        <f>LN('中国汇率&amp;期货（数据表）'!BD38)</f>
      </c>
      <c r="BE38" s="4">
        <f>LN('中国汇率&amp;期货（数据表）'!BE38)</f>
      </c>
    </row>
    <row x14ac:dyDescent="0.25" r="39" customHeight="1" ht="18.75">
      <c r="A39" s="1"/>
      <c r="B39" s="4">
        <f>LN('中国汇率&amp;期货（数据表）'!B39)</f>
      </c>
      <c r="C39" s="4">
        <f>LN('中国汇率&amp;期货（数据表）'!C39)</f>
      </c>
      <c r="D39" s="4">
        <f>LN('中国汇率&amp;期货（数据表）'!D39)</f>
      </c>
      <c r="E39" s="4">
        <f>LN('中国汇率&amp;期货（数据表）'!E39)</f>
      </c>
      <c r="F39" s="4">
        <f>LN('中国汇率&amp;期货（数据表）'!F39)</f>
      </c>
      <c r="G39" s="4">
        <f>LN('中国汇率&amp;期货（数据表）'!G39)</f>
      </c>
      <c r="H39" s="4">
        <f>LN('中国汇率&amp;期货（数据表）'!H39)</f>
      </c>
      <c r="I39" s="4">
        <f>LN('中国汇率&amp;期货（数据表）'!I39)</f>
      </c>
      <c r="J39" s="4">
        <f>LN('中国汇率&amp;期货（数据表）'!J39)</f>
      </c>
      <c r="K39" s="4">
        <f>LN('中国汇率&amp;期货（数据表）'!K39)</f>
      </c>
      <c r="L39" s="4">
        <f>LN('中国汇率&amp;期货（数据表）'!L39)</f>
      </c>
      <c r="M39" s="4">
        <f>LN('中国汇率&amp;期货（数据表）'!M39)</f>
      </c>
      <c r="N39" s="4">
        <f>LN('中国汇率&amp;期货（数据表）'!N39)</f>
      </c>
      <c r="O39" s="4">
        <f>LN('中国汇率&amp;期货（数据表）'!O39)</f>
      </c>
      <c r="P39" s="4">
        <f>LN('中国汇率&amp;期货（数据表）'!P39)</f>
      </c>
      <c r="Q39" s="4">
        <f>LN('中国汇率&amp;期货（数据表）'!Q39)</f>
      </c>
      <c r="R39" s="4">
        <f>LN('中国汇率&amp;期货（数据表）'!R39)</f>
      </c>
      <c r="S39" s="4">
        <f>LN('中国汇率&amp;期货（数据表）'!S39)</f>
      </c>
      <c r="T39" s="4">
        <f>LN('中国汇率&amp;期货（数据表）'!T39)</f>
      </c>
      <c r="U39" s="4">
        <f>LN('中国汇率&amp;期货（数据表）'!U39)</f>
      </c>
      <c r="V39" s="4">
        <f>LN('中国汇率&amp;期货（数据表）'!V39)</f>
      </c>
      <c r="W39" s="4">
        <f>LN('中国汇率&amp;期货（数据表）'!W39)</f>
      </c>
      <c r="X39" s="4">
        <f>LN('中国汇率&amp;期货（数据表）'!X39)</f>
      </c>
      <c r="Y39" s="4">
        <f>LN('中国汇率&amp;期货（数据表）'!Y39)</f>
      </c>
      <c r="Z39" s="4">
        <f>LN('中国汇率&amp;期货（数据表）'!Z39)</f>
      </c>
      <c r="AA39" s="4">
        <f>LN('中国汇率&amp;期货（数据表）'!AA39)</f>
      </c>
      <c r="AB39" s="4">
        <f>LN('中国汇率&amp;期货（数据表）'!AB39)</f>
      </c>
      <c r="AC39" s="4">
        <f>LN('中国汇率&amp;期货（数据表）'!AC39)</f>
      </c>
      <c r="AD39" s="4">
        <f>LN('中国汇率&amp;期货（数据表）'!AD39)</f>
      </c>
      <c r="AE39" s="4">
        <f>LN('中国汇率&amp;期货（数据表）'!AE39)</f>
      </c>
      <c r="AF39" s="4">
        <f>LN('中国汇率&amp;期货（数据表）'!AF39)</f>
      </c>
      <c r="AG39" s="4">
        <f>LN('中国汇率&amp;期货（数据表）'!AG39)</f>
      </c>
      <c r="AH39" s="4">
        <f>LN('中国汇率&amp;期货（数据表）'!AH39)</f>
      </c>
      <c r="AI39" s="4">
        <f>LN('中国汇率&amp;期货（数据表）'!AI39)</f>
      </c>
      <c r="AJ39" s="4">
        <f>LN('中国汇率&amp;期货（数据表）'!AJ39)</f>
      </c>
      <c r="AK39" s="4">
        <f>LN('中国汇率&amp;期货（数据表）'!AK39)</f>
      </c>
      <c r="AL39" s="4">
        <f>LN('中国汇率&amp;期货（数据表）'!AL39)</f>
      </c>
      <c r="AM39" s="4">
        <f>LN('中国汇率&amp;期货（数据表）'!AM39)</f>
      </c>
      <c r="AN39" s="4">
        <f>LN('中国汇率&amp;期货（数据表）'!AN39)</f>
      </c>
      <c r="AO39" s="4">
        <f>LN('中国汇率&amp;期货（数据表）'!AO39)</f>
      </c>
      <c r="AP39" s="4">
        <f>LN('中国汇率&amp;期货（数据表）'!AP39)</f>
      </c>
      <c r="AQ39" s="4">
        <f>LN('中国汇率&amp;期货（数据表）'!AQ39)</f>
      </c>
      <c r="AR39" s="4">
        <f>LN('中国汇率&amp;期货（数据表）'!AR39)</f>
      </c>
      <c r="AS39" s="4">
        <f>LN('中国汇率&amp;期货（数据表）'!AS39)</f>
      </c>
      <c r="AT39" s="4">
        <f>LN('中国汇率&amp;期货（数据表）'!AT39)</f>
      </c>
      <c r="AU39" s="4">
        <f>LN('中国汇率&amp;期货（数据表）'!AU39)</f>
      </c>
      <c r="AV39" s="4">
        <f>LN('中国汇率&amp;期货（数据表）'!AV39)</f>
      </c>
      <c r="AW39" s="4">
        <f>LN('中国汇率&amp;期货（数据表）'!AW39)</f>
      </c>
      <c r="AX39" s="4">
        <f>LN('中国汇率&amp;期货（数据表）'!AX39)</f>
      </c>
      <c r="AY39" s="4">
        <f>LN('中国汇率&amp;期货（数据表）'!AY39)</f>
      </c>
      <c r="AZ39" s="4">
        <f>LN('中国汇率&amp;期货（数据表）'!AZ39)</f>
      </c>
      <c r="BA39" s="4">
        <f>LN('中国汇率&amp;期货（数据表）'!BA39)</f>
      </c>
      <c r="BB39" s="4">
        <f>LN('中国汇率&amp;期货（数据表）'!BB39)</f>
      </c>
      <c r="BC39" s="4">
        <f>LN('中国汇率&amp;期货（数据表）'!BC39)</f>
      </c>
      <c r="BD39" s="4">
        <f>LN('中国汇率&amp;期货（数据表）'!BD39)</f>
      </c>
      <c r="BE39" s="4">
        <f>LN('中国汇率&amp;期货（数据表）'!BE39)</f>
      </c>
    </row>
    <row x14ac:dyDescent="0.25" r="40" customHeight="1" ht="18.75">
      <c r="A40" s="1"/>
      <c r="B40" s="4">
        <f>LN('中国汇率&amp;期货（数据表）'!B40)</f>
      </c>
      <c r="C40" s="4">
        <f>LN('中国汇率&amp;期货（数据表）'!C40)</f>
      </c>
      <c r="D40" s="4">
        <f>LN('中国汇率&amp;期货（数据表）'!D40)</f>
      </c>
      <c r="E40" s="4">
        <f>LN('中国汇率&amp;期货（数据表）'!E40)</f>
      </c>
      <c r="F40" s="4">
        <f>LN('中国汇率&amp;期货（数据表）'!F40)</f>
      </c>
      <c r="G40" s="4">
        <f>LN('中国汇率&amp;期货（数据表）'!G40)</f>
      </c>
      <c r="H40" s="4">
        <f>LN('中国汇率&amp;期货（数据表）'!H40)</f>
      </c>
      <c r="I40" s="4">
        <f>LN('中国汇率&amp;期货（数据表）'!I40)</f>
      </c>
      <c r="J40" s="4">
        <f>LN('中国汇率&amp;期货（数据表）'!J40)</f>
      </c>
      <c r="K40" s="4">
        <f>LN('中国汇率&amp;期货（数据表）'!K40)</f>
      </c>
      <c r="L40" s="4">
        <f>LN('中国汇率&amp;期货（数据表）'!L40)</f>
      </c>
      <c r="M40" s="4">
        <f>LN('中国汇率&amp;期货（数据表）'!M40)</f>
      </c>
      <c r="N40" s="4">
        <f>LN('中国汇率&amp;期货（数据表）'!N40)</f>
      </c>
      <c r="O40" s="4">
        <f>LN('中国汇率&amp;期货（数据表）'!O40)</f>
      </c>
      <c r="P40" s="4">
        <f>LN('中国汇率&amp;期货（数据表）'!P40)</f>
      </c>
      <c r="Q40" s="4">
        <f>LN('中国汇率&amp;期货（数据表）'!Q40)</f>
      </c>
      <c r="R40" s="4">
        <f>LN('中国汇率&amp;期货（数据表）'!R40)</f>
      </c>
      <c r="S40" s="4">
        <f>LN('中国汇率&amp;期货（数据表）'!S40)</f>
      </c>
      <c r="T40" s="4">
        <f>LN('中国汇率&amp;期货（数据表）'!T40)</f>
      </c>
      <c r="U40" s="4">
        <f>LN('中国汇率&amp;期货（数据表）'!U40)</f>
      </c>
      <c r="V40" s="4">
        <f>LN('中国汇率&amp;期货（数据表）'!V40)</f>
      </c>
      <c r="W40" s="4">
        <f>LN('中国汇率&amp;期货（数据表）'!W40)</f>
      </c>
      <c r="X40" s="4">
        <f>LN('中国汇率&amp;期货（数据表）'!X40)</f>
      </c>
      <c r="Y40" s="4">
        <f>LN('中国汇率&amp;期货（数据表）'!Y40)</f>
      </c>
      <c r="Z40" s="4">
        <f>LN('中国汇率&amp;期货（数据表）'!Z40)</f>
      </c>
      <c r="AA40" s="4">
        <f>LN('中国汇率&amp;期货（数据表）'!AA40)</f>
      </c>
      <c r="AB40" s="4">
        <f>LN('中国汇率&amp;期货（数据表）'!AB40)</f>
      </c>
      <c r="AC40" s="4">
        <f>LN('中国汇率&amp;期货（数据表）'!AC40)</f>
      </c>
      <c r="AD40" s="4">
        <f>LN('中国汇率&amp;期货（数据表）'!AD40)</f>
      </c>
      <c r="AE40" s="4">
        <f>LN('中国汇率&amp;期货（数据表）'!AE40)</f>
      </c>
      <c r="AF40" s="4">
        <f>LN('中国汇率&amp;期货（数据表）'!AF40)</f>
      </c>
      <c r="AG40" s="4">
        <f>LN('中国汇率&amp;期货（数据表）'!AG40)</f>
      </c>
      <c r="AH40" s="4">
        <f>LN('中国汇率&amp;期货（数据表）'!AH40)</f>
      </c>
      <c r="AI40" s="4">
        <f>LN('中国汇率&amp;期货（数据表）'!AI40)</f>
      </c>
      <c r="AJ40" s="4">
        <f>LN('中国汇率&amp;期货（数据表）'!AJ40)</f>
      </c>
      <c r="AK40" s="4">
        <f>LN('中国汇率&amp;期货（数据表）'!AK40)</f>
      </c>
      <c r="AL40" s="4">
        <f>LN('中国汇率&amp;期货（数据表）'!AL40)</f>
      </c>
      <c r="AM40" s="4">
        <f>LN('中国汇率&amp;期货（数据表）'!AM40)</f>
      </c>
      <c r="AN40" s="4">
        <f>LN('中国汇率&amp;期货（数据表）'!AN40)</f>
      </c>
      <c r="AO40" s="4">
        <f>LN('中国汇率&amp;期货（数据表）'!AO40)</f>
      </c>
      <c r="AP40" s="4">
        <f>LN('中国汇率&amp;期货（数据表）'!AP40)</f>
      </c>
      <c r="AQ40" s="4">
        <f>LN('中国汇率&amp;期货（数据表）'!AQ40)</f>
      </c>
      <c r="AR40" s="4">
        <f>LN('中国汇率&amp;期货（数据表）'!AR40)</f>
      </c>
      <c r="AS40" s="4">
        <f>LN('中国汇率&amp;期货（数据表）'!AS40)</f>
      </c>
      <c r="AT40" s="4">
        <f>LN('中国汇率&amp;期货（数据表）'!AT40)</f>
      </c>
      <c r="AU40" s="4">
        <f>LN('中国汇率&amp;期货（数据表）'!AU40)</f>
      </c>
      <c r="AV40" s="4">
        <f>LN('中国汇率&amp;期货（数据表）'!AV40)</f>
      </c>
      <c r="AW40" s="4">
        <f>LN('中国汇率&amp;期货（数据表）'!AW40)</f>
      </c>
      <c r="AX40" s="4">
        <f>LN('中国汇率&amp;期货（数据表）'!AX40)</f>
      </c>
      <c r="AY40" s="4">
        <f>LN('中国汇率&amp;期货（数据表）'!AY40)</f>
      </c>
      <c r="AZ40" s="4">
        <f>LN('中国汇率&amp;期货（数据表）'!AZ40)</f>
      </c>
      <c r="BA40" s="4">
        <f>LN('中国汇率&amp;期货（数据表）'!BA40)</f>
      </c>
      <c r="BB40" s="4">
        <f>LN('中国汇率&amp;期货（数据表）'!BB40)</f>
      </c>
      <c r="BC40" s="4">
        <f>LN('中国汇率&amp;期货（数据表）'!BC40)</f>
      </c>
      <c r="BD40" s="4">
        <f>LN('中国汇率&amp;期货（数据表）'!BD40)</f>
      </c>
      <c r="BE40" s="4">
        <f>LN('中国汇率&amp;期货（数据表）'!BE40)</f>
      </c>
    </row>
    <row x14ac:dyDescent="0.25" r="41" customHeight="1" ht="18.75">
      <c r="A41" s="1"/>
      <c r="B41" s="4">
        <f>LN('中国汇率&amp;期货（数据表）'!B41)</f>
      </c>
      <c r="C41" s="4">
        <f>LN('中国汇率&amp;期货（数据表）'!C41)</f>
      </c>
      <c r="D41" s="4">
        <f>LN('中国汇率&amp;期货（数据表）'!D41)</f>
      </c>
      <c r="E41" s="4">
        <f>LN('中国汇率&amp;期货（数据表）'!E41)</f>
      </c>
      <c r="F41" s="4">
        <f>LN('中国汇率&amp;期货（数据表）'!F41)</f>
      </c>
      <c r="G41" s="4">
        <f>LN('中国汇率&amp;期货（数据表）'!G41)</f>
      </c>
      <c r="H41" s="4">
        <f>LN('中国汇率&amp;期货（数据表）'!H41)</f>
      </c>
      <c r="I41" s="4">
        <f>LN('中国汇率&amp;期货（数据表）'!I41)</f>
      </c>
      <c r="J41" s="4">
        <f>LN('中国汇率&amp;期货（数据表）'!J41)</f>
      </c>
      <c r="K41" s="4">
        <f>LN('中国汇率&amp;期货（数据表）'!K41)</f>
      </c>
      <c r="L41" s="4">
        <f>LN('中国汇率&amp;期货（数据表）'!L41)</f>
      </c>
      <c r="M41" s="4">
        <f>LN('中国汇率&amp;期货（数据表）'!M41)</f>
      </c>
      <c r="N41" s="4">
        <f>LN('中国汇率&amp;期货（数据表）'!N41)</f>
      </c>
      <c r="O41" s="4">
        <f>LN('中国汇率&amp;期货（数据表）'!O41)</f>
      </c>
      <c r="P41" s="4">
        <f>LN('中国汇率&amp;期货（数据表）'!P41)</f>
      </c>
      <c r="Q41" s="4">
        <f>LN('中国汇率&amp;期货（数据表）'!Q41)</f>
      </c>
      <c r="R41" s="4">
        <f>LN('中国汇率&amp;期货（数据表）'!R41)</f>
      </c>
      <c r="S41" s="4">
        <f>LN('中国汇率&amp;期货（数据表）'!S41)</f>
      </c>
      <c r="T41" s="4">
        <f>LN('中国汇率&amp;期货（数据表）'!T41)</f>
      </c>
      <c r="U41" s="4">
        <f>LN('中国汇率&amp;期货（数据表）'!U41)</f>
      </c>
      <c r="V41" s="4">
        <f>LN('中国汇率&amp;期货（数据表）'!V41)</f>
      </c>
      <c r="W41" s="4">
        <f>LN('中国汇率&amp;期货（数据表）'!W41)</f>
      </c>
      <c r="X41" s="4">
        <f>LN('中国汇率&amp;期货（数据表）'!X41)</f>
      </c>
      <c r="Y41" s="4">
        <f>LN('中国汇率&amp;期货（数据表）'!Y41)</f>
      </c>
      <c r="Z41" s="4">
        <f>LN('中国汇率&amp;期货（数据表）'!Z41)</f>
      </c>
      <c r="AA41" s="4">
        <f>LN('中国汇率&amp;期货（数据表）'!AA41)</f>
      </c>
      <c r="AB41" s="4">
        <f>LN('中国汇率&amp;期货（数据表）'!AB41)</f>
      </c>
      <c r="AC41" s="4">
        <f>LN('中国汇率&amp;期货（数据表）'!AC41)</f>
      </c>
      <c r="AD41" s="4">
        <f>LN('中国汇率&amp;期货（数据表）'!AD41)</f>
      </c>
      <c r="AE41" s="4">
        <f>LN('中国汇率&amp;期货（数据表）'!AE41)</f>
      </c>
      <c r="AF41" s="4">
        <f>LN('中国汇率&amp;期货（数据表）'!AF41)</f>
      </c>
      <c r="AG41" s="4">
        <f>LN('中国汇率&amp;期货（数据表）'!AG41)</f>
      </c>
      <c r="AH41" s="4">
        <f>LN('中国汇率&amp;期货（数据表）'!AH41)</f>
      </c>
      <c r="AI41" s="4">
        <f>LN('中国汇率&amp;期货（数据表）'!AI41)</f>
      </c>
      <c r="AJ41" s="4">
        <f>LN('中国汇率&amp;期货（数据表）'!AJ41)</f>
      </c>
      <c r="AK41" s="4">
        <f>LN('中国汇率&amp;期货（数据表）'!AK41)</f>
      </c>
      <c r="AL41" s="4">
        <f>LN('中国汇率&amp;期货（数据表）'!AL41)</f>
      </c>
      <c r="AM41" s="4">
        <f>LN('中国汇率&amp;期货（数据表）'!AM41)</f>
      </c>
      <c r="AN41" s="4">
        <f>LN('中国汇率&amp;期货（数据表）'!AN41)</f>
      </c>
      <c r="AO41" s="4">
        <f>LN('中国汇率&amp;期货（数据表）'!AO41)</f>
      </c>
      <c r="AP41" s="4">
        <f>LN('中国汇率&amp;期货（数据表）'!AP41)</f>
      </c>
      <c r="AQ41" s="4">
        <f>LN('中国汇率&amp;期货（数据表）'!AQ41)</f>
      </c>
      <c r="AR41" s="4">
        <f>LN('中国汇率&amp;期货（数据表）'!AR41)</f>
      </c>
      <c r="AS41" s="4">
        <f>LN('中国汇率&amp;期货（数据表）'!AS41)</f>
      </c>
      <c r="AT41" s="4">
        <f>LN('中国汇率&amp;期货（数据表）'!AT41)</f>
      </c>
      <c r="AU41" s="4">
        <f>LN('中国汇率&amp;期货（数据表）'!AU41)</f>
      </c>
      <c r="AV41" s="4">
        <f>LN('中国汇率&amp;期货（数据表）'!AV41)</f>
      </c>
      <c r="AW41" s="4">
        <f>LN('中国汇率&amp;期货（数据表）'!AW41)</f>
      </c>
      <c r="AX41" s="4">
        <f>LN('中国汇率&amp;期货（数据表）'!AX41)</f>
      </c>
      <c r="AY41" s="4">
        <f>LN('中国汇率&amp;期货（数据表）'!AY41)</f>
      </c>
      <c r="AZ41" s="4">
        <f>LN('中国汇率&amp;期货（数据表）'!AZ41)</f>
      </c>
      <c r="BA41" s="4">
        <f>LN('中国汇率&amp;期货（数据表）'!BA41)</f>
      </c>
      <c r="BB41" s="4">
        <f>LN('中国汇率&amp;期货（数据表）'!BB41)</f>
      </c>
      <c r="BC41" s="4">
        <f>LN('中国汇率&amp;期货（数据表）'!BC41)</f>
      </c>
      <c r="BD41" s="4">
        <f>LN('中国汇率&amp;期货（数据表）'!BD41)</f>
      </c>
      <c r="BE41" s="4">
        <f>LN('中国汇率&amp;期货（数据表）'!BE41)</f>
      </c>
    </row>
    <row x14ac:dyDescent="0.25" r="42" customHeight="1" ht="18.75">
      <c r="A42" s="1"/>
      <c r="B42" s="4">
        <f>LN('中国汇率&amp;期货（数据表）'!B42)</f>
      </c>
      <c r="C42" s="4">
        <f>LN('中国汇率&amp;期货（数据表）'!C42)</f>
      </c>
      <c r="D42" s="4">
        <f>LN('中国汇率&amp;期货（数据表）'!D42)</f>
      </c>
      <c r="E42" s="4">
        <f>LN('中国汇率&amp;期货（数据表）'!E42)</f>
      </c>
      <c r="F42" s="4">
        <f>LN('中国汇率&amp;期货（数据表）'!F42)</f>
      </c>
      <c r="G42" s="4">
        <f>LN('中国汇率&amp;期货（数据表）'!G42)</f>
      </c>
      <c r="H42" s="4">
        <f>LN('中国汇率&amp;期货（数据表）'!H42)</f>
      </c>
      <c r="I42" s="4">
        <f>LN('中国汇率&amp;期货（数据表）'!I42)</f>
      </c>
      <c r="J42" s="4">
        <f>LN('中国汇率&amp;期货（数据表）'!J42)</f>
      </c>
      <c r="K42" s="4">
        <f>LN('中国汇率&amp;期货（数据表）'!K42)</f>
      </c>
      <c r="L42" s="4">
        <f>LN('中国汇率&amp;期货（数据表）'!L42)</f>
      </c>
      <c r="M42" s="4">
        <f>LN('中国汇率&amp;期货（数据表）'!M42)</f>
      </c>
      <c r="N42" s="4">
        <f>LN('中国汇率&amp;期货（数据表）'!N42)</f>
      </c>
      <c r="O42" s="4">
        <f>LN('中国汇率&amp;期货（数据表）'!O42)</f>
      </c>
      <c r="P42" s="4">
        <f>LN('中国汇率&amp;期货（数据表）'!P42)</f>
      </c>
      <c r="Q42" s="4">
        <f>LN('中国汇率&amp;期货（数据表）'!Q42)</f>
      </c>
      <c r="R42" s="4">
        <f>LN('中国汇率&amp;期货（数据表）'!R42)</f>
      </c>
      <c r="S42" s="4">
        <f>LN('中国汇率&amp;期货（数据表）'!S42)</f>
      </c>
      <c r="T42" s="4">
        <f>LN('中国汇率&amp;期货（数据表）'!T42)</f>
      </c>
      <c r="U42" s="4">
        <f>LN('中国汇率&amp;期货（数据表）'!U42)</f>
      </c>
      <c r="V42" s="4">
        <f>LN('中国汇率&amp;期货（数据表）'!V42)</f>
      </c>
      <c r="W42" s="4">
        <f>LN('中国汇率&amp;期货（数据表）'!W42)</f>
      </c>
      <c r="X42" s="4">
        <f>LN('中国汇率&amp;期货（数据表）'!X42)</f>
      </c>
      <c r="Y42" s="4">
        <f>LN('中国汇率&amp;期货（数据表）'!Y42)</f>
      </c>
      <c r="Z42" s="4">
        <f>LN('中国汇率&amp;期货（数据表）'!Z42)</f>
      </c>
      <c r="AA42" s="4">
        <f>LN('中国汇率&amp;期货（数据表）'!AA42)</f>
      </c>
      <c r="AB42" s="4">
        <f>LN('中国汇率&amp;期货（数据表）'!AB42)</f>
      </c>
      <c r="AC42" s="4">
        <f>LN('中国汇率&amp;期货（数据表）'!AC42)</f>
      </c>
      <c r="AD42" s="4">
        <f>LN('中国汇率&amp;期货（数据表）'!AD42)</f>
      </c>
      <c r="AE42" s="4">
        <f>LN('中国汇率&amp;期货（数据表）'!AE42)</f>
      </c>
      <c r="AF42" s="4">
        <f>LN('中国汇率&amp;期货（数据表）'!AF42)</f>
      </c>
      <c r="AG42" s="4">
        <f>LN('中国汇率&amp;期货（数据表）'!AG42)</f>
      </c>
      <c r="AH42" s="4">
        <f>LN('中国汇率&amp;期货（数据表）'!AH42)</f>
      </c>
      <c r="AI42" s="4">
        <f>LN('中国汇率&amp;期货（数据表）'!AI42)</f>
      </c>
      <c r="AJ42" s="4">
        <f>LN('中国汇率&amp;期货（数据表）'!AJ42)</f>
      </c>
      <c r="AK42" s="4">
        <f>LN('中国汇率&amp;期货（数据表）'!AK42)</f>
      </c>
      <c r="AL42" s="4">
        <f>LN('中国汇率&amp;期货（数据表）'!AL42)</f>
      </c>
      <c r="AM42" s="4">
        <f>LN('中国汇率&amp;期货（数据表）'!AM42)</f>
      </c>
      <c r="AN42" s="4">
        <f>LN('中国汇率&amp;期货（数据表）'!AN42)</f>
      </c>
      <c r="AO42" s="4">
        <f>LN('中国汇率&amp;期货（数据表）'!AO42)</f>
      </c>
      <c r="AP42" s="4">
        <f>LN('中国汇率&amp;期货（数据表）'!AP42)</f>
      </c>
      <c r="AQ42" s="4">
        <f>LN('中国汇率&amp;期货（数据表）'!AQ42)</f>
      </c>
      <c r="AR42" s="4">
        <f>LN('中国汇率&amp;期货（数据表）'!AR42)</f>
      </c>
      <c r="AS42" s="4">
        <f>LN('中国汇率&amp;期货（数据表）'!AS42)</f>
      </c>
      <c r="AT42" s="4">
        <f>LN('中国汇率&amp;期货（数据表）'!AT42)</f>
      </c>
      <c r="AU42" s="4">
        <f>LN('中国汇率&amp;期货（数据表）'!AU42)</f>
      </c>
      <c r="AV42" s="4">
        <f>LN('中国汇率&amp;期货（数据表）'!AV42)</f>
      </c>
      <c r="AW42" s="4">
        <f>LN('中国汇率&amp;期货（数据表）'!AW42)</f>
      </c>
      <c r="AX42" s="4">
        <f>LN('中国汇率&amp;期货（数据表）'!AX42)</f>
      </c>
      <c r="AY42" s="4">
        <f>LN('中国汇率&amp;期货（数据表）'!AY42)</f>
      </c>
      <c r="AZ42" s="4">
        <f>LN('中国汇率&amp;期货（数据表）'!AZ42)</f>
      </c>
      <c r="BA42" s="4">
        <f>LN('中国汇率&amp;期货（数据表）'!BA42)</f>
      </c>
      <c r="BB42" s="4">
        <f>LN('中国汇率&amp;期货（数据表）'!BB42)</f>
      </c>
      <c r="BC42" s="4">
        <f>LN('中国汇率&amp;期货（数据表）'!BC42)</f>
      </c>
      <c r="BD42" s="4">
        <f>LN('中国汇率&amp;期货（数据表）'!BD42)</f>
      </c>
      <c r="BE42" s="4">
        <f>LN('中国汇率&amp;期货（数据表）'!BE42)</f>
      </c>
    </row>
    <row x14ac:dyDescent="0.25" r="43" customHeight="1" ht="18.75">
      <c r="A43" s="1"/>
      <c r="B43" s="4">
        <f>LN('中国汇率&amp;期货（数据表）'!B43)</f>
      </c>
      <c r="C43" s="4">
        <f>LN('中国汇率&amp;期货（数据表）'!C43)</f>
      </c>
      <c r="D43" s="4">
        <f>LN('中国汇率&amp;期货（数据表）'!D43)</f>
      </c>
      <c r="E43" s="4">
        <f>LN('中国汇率&amp;期货（数据表）'!E43)</f>
      </c>
      <c r="F43" s="4">
        <f>LN('中国汇率&amp;期货（数据表）'!F43)</f>
      </c>
      <c r="G43" s="4">
        <f>LN('中国汇率&amp;期货（数据表）'!G43)</f>
      </c>
      <c r="H43" s="4">
        <f>LN('中国汇率&amp;期货（数据表）'!H43)</f>
      </c>
      <c r="I43" s="4">
        <f>LN('中国汇率&amp;期货（数据表）'!I43)</f>
      </c>
      <c r="J43" s="4">
        <f>LN('中国汇率&amp;期货（数据表）'!J43)</f>
      </c>
      <c r="K43" s="4">
        <f>LN('中国汇率&amp;期货（数据表）'!K43)</f>
      </c>
      <c r="L43" s="4">
        <f>LN('中国汇率&amp;期货（数据表）'!L43)</f>
      </c>
      <c r="M43" s="4">
        <f>LN('中国汇率&amp;期货（数据表）'!M43)</f>
      </c>
      <c r="N43" s="4">
        <f>LN('中国汇率&amp;期货（数据表）'!N43)</f>
      </c>
      <c r="O43" s="4">
        <f>LN('中国汇率&amp;期货（数据表）'!O43)</f>
      </c>
      <c r="P43" s="4">
        <f>LN('中国汇率&amp;期货（数据表）'!P43)</f>
      </c>
      <c r="Q43" s="4">
        <f>LN('中国汇率&amp;期货（数据表）'!Q43)</f>
      </c>
      <c r="R43" s="4">
        <f>LN('中国汇率&amp;期货（数据表）'!R43)</f>
      </c>
      <c r="S43" s="4">
        <f>LN('中国汇率&amp;期货（数据表）'!S43)</f>
      </c>
      <c r="T43" s="4">
        <f>LN('中国汇率&amp;期货（数据表）'!T43)</f>
      </c>
      <c r="U43" s="4">
        <f>LN('中国汇率&amp;期货（数据表）'!U43)</f>
      </c>
      <c r="V43" s="4">
        <f>LN('中国汇率&amp;期货（数据表）'!V43)</f>
      </c>
      <c r="W43" s="4">
        <f>LN('中国汇率&amp;期货（数据表）'!W43)</f>
      </c>
      <c r="X43" s="4">
        <f>LN('中国汇率&amp;期货（数据表）'!X43)</f>
      </c>
      <c r="Y43" s="4">
        <f>LN('中国汇率&amp;期货（数据表）'!Y43)</f>
      </c>
      <c r="Z43" s="4">
        <f>LN('中国汇率&amp;期货（数据表）'!Z43)</f>
      </c>
      <c r="AA43" s="4">
        <f>LN('中国汇率&amp;期货（数据表）'!AA43)</f>
      </c>
      <c r="AB43" s="4">
        <f>LN('中国汇率&amp;期货（数据表）'!AB43)</f>
      </c>
      <c r="AC43" s="4">
        <f>LN('中国汇率&amp;期货（数据表）'!AC43)</f>
      </c>
      <c r="AD43" s="4">
        <f>LN('中国汇率&amp;期货（数据表）'!AD43)</f>
      </c>
      <c r="AE43" s="4">
        <f>LN('中国汇率&amp;期货（数据表）'!AE43)</f>
      </c>
      <c r="AF43" s="4">
        <f>LN('中国汇率&amp;期货（数据表）'!AF43)</f>
      </c>
      <c r="AG43" s="4">
        <f>LN('中国汇率&amp;期货（数据表）'!AG43)</f>
      </c>
      <c r="AH43" s="4">
        <f>LN('中国汇率&amp;期货（数据表）'!AH43)</f>
      </c>
      <c r="AI43" s="4">
        <f>LN('中国汇率&amp;期货（数据表）'!AI43)</f>
      </c>
      <c r="AJ43" s="4">
        <f>LN('中国汇率&amp;期货（数据表）'!AJ43)</f>
      </c>
      <c r="AK43" s="4">
        <f>LN('中国汇率&amp;期货（数据表）'!AK43)</f>
      </c>
      <c r="AL43" s="4">
        <f>LN('中国汇率&amp;期货（数据表）'!AL43)</f>
      </c>
      <c r="AM43" s="4">
        <f>LN('中国汇率&amp;期货（数据表）'!AM43)</f>
      </c>
      <c r="AN43" s="4">
        <f>LN('中国汇率&amp;期货（数据表）'!AN43)</f>
      </c>
      <c r="AO43" s="4">
        <f>LN('中国汇率&amp;期货（数据表）'!AO43)</f>
      </c>
      <c r="AP43" s="4">
        <f>LN('中国汇率&amp;期货（数据表）'!AP43)</f>
      </c>
      <c r="AQ43" s="4">
        <f>LN('中国汇率&amp;期货（数据表）'!AQ43)</f>
      </c>
      <c r="AR43" s="4">
        <f>LN('中国汇率&amp;期货（数据表）'!AR43)</f>
      </c>
      <c r="AS43" s="4">
        <f>LN('中国汇率&amp;期货（数据表）'!AS43)</f>
      </c>
      <c r="AT43" s="4">
        <f>LN('中国汇率&amp;期货（数据表）'!AT43)</f>
      </c>
      <c r="AU43" s="4">
        <f>LN('中国汇率&amp;期货（数据表）'!AU43)</f>
      </c>
      <c r="AV43" s="4">
        <f>LN('中国汇率&amp;期货（数据表）'!AV43)</f>
      </c>
      <c r="AW43" s="4">
        <f>LN('中国汇率&amp;期货（数据表）'!AW43)</f>
      </c>
      <c r="AX43" s="4">
        <f>LN('中国汇率&amp;期货（数据表）'!AX43)</f>
      </c>
      <c r="AY43" s="4">
        <f>LN('中国汇率&amp;期货（数据表）'!AY43)</f>
      </c>
      <c r="AZ43" s="4">
        <f>LN('中国汇率&amp;期货（数据表）'!AZ43)</f>
      </c>
      <c r="BA43" s="4">
        <f>LN('中国汇率&amp;期货（数据表）'!BA43)</f>
      </c>
      <c r="BB43" s="4">
        <f>LN('中国汇率&amp;期货（数据表）'!BB43)</f>
      </c>
      <c r="BC43" s="4">
        <f>LN('中国汇率&amp;期货（数据表）'!BC43)</f>
      </c>
      <c r="BD43" s="4">
        <f>LN('中国汇率&amp;期货（数据表）'!BD43)</f>
      </c>
      <c r="BE43" s="4">
        <f>LN('中国汇率&amp;期货（数据表）'!BE43)</f>
      </c>
    </row>
    <row x14ac:dyDescent="0.25" r="44" customHeight="1" ht="18.75">
      <c r="A44" s="1"/>
      <c r="B44" s="4">
        <f>LN('中国汇率&amp;期货（数据表）'!B44)</f>
      </c>
      <c r="C44" s="4">
        <f>LN('中国汇率&amp;期货（数据表）'!C44)</f>
      </c>
      <c r="D44" s="4">
        <f>LN('中国汇率&amp;期货（数据表）'!D44)</f>
      </c>
      <c r="E44" s="4">
        <f>LN('中国汇率&amp;期货（数据表）'!E44)</f>
      </c>
      <c r="F44" s="4">
        <f>LN('中国汇率&amp;期货（数据表）'!F44)</f>
      </c>
      <c r="G44" s="4">
        <f>LN('中国汇率&amp;期货（数据表）'!G44)</f>
      </c>
      <c r="H44" s="4">
        <f>LN('中国汇率&amp;期货（数据表）'!H44)</f>
      </c>
      <c r="I44" s="4">
        <f>LN('中国汇率&amp;期货（数据表）'!I44)</f>
      </c>
      <c r="J44" s="4">
        <f>LN('中国汇率&amp;期货（数据表）'!J44)</f>
      </c>
      <c r="K44" s="4">
        <f>LN('中国汇率&amp;期货（数据表）'!K44)</f>
      </c>
      <c r="L44" s="4">
        <f>LN('中国汇率&amp;期货（数据表）'!L44)</f>
      </c>
      <c r="M44" s="4">
        <f>LN('中国汇率&amp;期货（数据表）'!M44)</f>
      </c>
      <c r="N44" s="4">
        <f>LN('中国汇率&amp;期货（数据表）'!N44)</f>
      </c>
      <c r="O44" s="4">
        <f>LN('中国汇率&amp;期货（数据表）'!O44)</f>
      </c>
      <c r="P44" s="4">
        <f>LN('中国汇率&amp;期货（数据表）'!P44)</f>
      </c>
      <c r="Q44" s="4">
        <f>LN('中国汇率&amp;期货（数据表）'!Q44)</f>
      </c>
      <c r="R44" s="4">
        <f>LN('中国汇率&amp;期货（数据表）'!R44)</f>
      </c>
      <c r="S44" s="4">
        <f>LN('中国汇率&amp;期货（数据表）'!S44)</f>
      </c>
      <c r="T44" s="4">
        <f>LN('中国汇率&amp;期货（数据表）'!T44)</f>
      </c>
      <c r="U44" s="4">
        <f>LN('中国汇率&amp;期货（数据表）'!U44)</f>
      </c>
      <c r="V44" s="4">
        <f>LN('中国汇率&amp;期货（数据表）'!V44)</f>
      </c>
      <c r="W44" s="4">
        <f>LN('中国汇率&amp;期货（数据表）'!W44)</f>
      </c>
      <c r="X44" s="4">
        <f>LN('中国汇率&amp;期货（数据表）'!X44)</f>
      </c>
      <c r="Y44" s="4">
        <f>LN('中国汇率&amp;期货（数据表）'!Y44)</f>
      </c>
      <c r="Z44" s="4">
        <f>LN('中国汇率&amp;期货（数据表）'!Z44)</f>
      </c>
      <c r="AA44" s="4">
        <f>LN('中国汇率&amp;期货（数据表）'!AA44)</f>
      </c>
      <c r="AB44" s="4">
        <f>LN('中国汇率&amp;期货（数据表）'!AB44)</f>
      </c>
      <c r="AC44" s="4">
        <f>LN('中国汇率&amp;期货（数据表）'!AC44)</f>
      </c>
      <c r="AD44" s="4">
        <f>LN('中国汇率&amp;期货（数据表）'!AD44)</f>
      </c>
      <c r="AE44" s="4">
        <f>LN('中国汇率&amp;期货（数据表）'!AE44)</f>
      </c>
      <c r="AF44" s="4">
        <f>LN('中国汇率&amp;期货（数据表）'!AF44)</f>
      </c>
      <c r="AG44" s="4">
        <f>LN('中国汇率&amp;期货（数据表）'!AG44)</f>
      </c>
      <c r="AH44" s="4">
        <f>LN('中国汇率&amp;期货（数据表）'!AH44)</f>
      </c>
      <c r="AI44" s="4">
        <f>LN('中国汇率&amp;期货（数据表）'!AI44)</f>
      </c>
      <c r="AJ44" s="4">
        <f>LN('中国汇率&amp;期货（数据表）'!AJ44)</f>
      </c>
      <c r="AK44" s="4">
        <f>LN('中国汇率&amp;期货（数据表）'!AK44)</f>
      </c>
      <c r="AL44" s="4">
        <f>LN('中国汇率&amp;期货（数据表）'!AL44)</f>
      </c>
      <c r="AM44" s="4">
        <f>LN('中国汇率&amp;期货（数据表）'!AM44)</f>
      </c>
      <c r="AN44" s="4">
        <f>LN('中国汇率&amp;期货（数据表）'!AN44)</f>
      </c>
      <c r="AO44" s="4">
        <f>LN('中国汇率&amp;期货（数据表）'!AO44)</f>
      </c>
      <c r="AP44" s="4">
        <f>LN('中国汇率&amp;期货（数据表）'!AP44)</f>
      </c>
      <c r="AQ44" s="4">
        <f>LN('中国汇率&amp;期货（数据表）'!AQ44)</f>
      </c>
      <c r="AR44" s="4">
        <f>LN('中国汇率&amp;期货（数据表）'!AR44)</f>
      </c>
      <c r="AS44" s="4">
        <f>LN('中国汇率&amp;期货（数据表）'!AS44)</f>
      </c>
      <c r="AT44" s="4">
        <f>LN('中国汇率&amp;期货（数据表）'!AT44)</f>
      </c>
      <c r="AU44" s="4">
        <f>LN('中国汇率&amp;期货（数据表）'!AU44)</f>
      </c>
      <c r="AV44" s="4">
        <f>LN('中国汇率&amp;期货（数据表）'!AV44)</f>
      </c>
      <c r="AW44" s="4">
        <f>LN('中国汇率&amp;期货（数据表）'!AW44)</f>
      </c>
      <c r="AX44" s="4">
        <f>LN('中国汇率&amp;期货（数据表）'!AX44)</f>
      </c>
      <c r="AY44" s="4">
        <f>LN('中国汇率&amp;期货（数据表）'!AY44)</f>
      </c>
      <c r="AZ44" s="4">
        <f>LN('中国汇率&amp;期货（数据表）'!AZ44)</f>
      </c>
      <c r="BA44" s="4">
        <f>LN('中国汇率&amp;期货（数据表）'!BA44)</f>
      </c>
      <c r="BB44" s="4">
        <f>LN('中国汇率&amp;期货（数据表）'!BB44)</f>
      </c>
      <c r="BC44" s="4">
        <f>LN('中国汇率&amp;期货（数据表）'!BC44)</f>
      </c>
      <c r="BD44" s="4">
        <f>LN('中国汇率&amp;期货（数据表）'!BD44)</f>
      </c>
      <c r="BE44" s="4">
        <f>LN('中国汇率&amp;期货（数据表）'!BE44)</f>
      </c>
    </row>
    <row x14ac:dyDescent="0.25" r="45" customHeight="1" ht="18.75">
      <c r="A45" s="1"/>
      <c r="B45" s="4">
        <f>LN('中国汇率&amp;期货（数据表）'!B45)</f>
      </c>
      <c r="C45" s="4">
        <f>LN('中国汇率&amp;期货（数据表）'!C45)</f>
      </c>
      <c r="D45" s="4">
        <f>LN('中国汇率&amp;期货（数据表）'!D45)</f>
      </c>
      <c r="E45" s="4">
        <f>LN('中国汇率&amp;期货（数据表）'!E45)</f>
      </c>
      <c r="F45" s="4">
        <f>LN('中国汇率&amp;期货（数据表）'!F45)</f>
      </c>
      <c r="G45" s="4">
        <f>LN('中国汇率&amp;期货（数据表）'!G45)</f>
      </c>
      <c r="H45" s="4">
        <f>LN('中国汇率&amp;期货（数据表）'!H45)</f>
      </c>
      <c r="I45" s="4">
        <f>LN('中国汇率&amp;期货（数据表）'!I45)</f>
      </c>
      <c r="J45" s="4">
        <f>LN('中国汇率&amp;期货（数据表）'!J45)</f>
      </c>
      <c r="K45" s="4">
        <f>LN('中国汇率&amp;期货（数据表）'!K45)</f>
      </c>
      <c r="L45" s="4">
        <f>LN('中国汇率&amp;期货（数据表）'!L45)</f>
      </c>
      <c r="M45" s="4">
        <f>LN('中国汇率&amp;期货（数据表）'!M45)</f>
      </c>
      <c r="N45" s="4">
        <f>LN('中国汇率&amp;期货（数据表）'!N45)</f>
      </c>
      <c r="O45" s="4">
        <f>LN('中国汇率&amp;期货（数据表）'!O45)</f>
      </c>
      <c r="P45" s="4">
        <f>LN('中国汇率&amp;期货（数据表）'!P45)</f>
      </c>
      <c r="Q45" s="4">
        <f>LN('中国汇率&amp;期货（数据表）'!Q45)</f>
      </c>
      <c r="R45" s="4">
        <f>LN('中国汇率&amp;期货（数据表）'!R45)</f>
      </c>
      <c r="S45" s="4">
        <f>LN('中国汇率&amp;期货（数据表）'!S45)</f>
      </c>
      <c r="T45" s="4">
        <f>LN('中国汇率&amp;期货（数据表）'!T45)</f>
      </c>
      <c r="U45" s="4">
        <f>LN('中国汇率&amp;期货（数据表）'!U45)</f>
      </c>
      <c r="V45" s="4">
        <f>LN('中国汇率&amp;期货（数据表）'!V45)</f>
      </c>
      <c r="W45" s="4">
        <f>LN('中国汇率&amp;期货（数据表）'!W45)</f>
      </c>
      <c r="X45" s="4">
        <f>LN('中国汇率&amp;期货（数据表）'!X45)</f>
      </c>
      <c r="Y45" s="4">
        <f>LN('中国汇率&amp;期货（数据表）'!Y45)</f>
      </c>
      <c r="Z45" s="4">
        <f>LN('中国汇率&amp;期货（数据表）'!Z45)</f>
      </c>
      <c r="AA45" s="4">
        <f>LN('中国汇率&amp;期货（数据表）'!AA45)</f>
      </c>
      <c r="AB45" s="4">
        <f>LN('中国汇率&amp;期货（数据表）'!AB45)</f>
      </c>
      <c r="AC45" s="4">
        <f>LN('中国汇率&amp;期货（数据表）'!AC45)</f>
      </c>
      <c r="AD45" s="4">
        <f>LN('中国汇率&amp;期货（数据表）'!AD45)</f>
      </c>
      <c r="AE45" s="4">
        <f>LN('中国汇率&amp;期货（数据表）'!AE45)</f>
      </c>
      <c r="AF45" s="4">
        <f>LN('中国汇率&amp;期货（数据表）'!AF45)</f>
      </c>
      <c r="AG45" s="4">
        <f>LN('中国汇率&amp;期货（数据表）'!AG45)</f>
      </c>
      <c r="AH45" s="4">
        <f>LN('中国汇率&amp;期货（数据表）'!AH45)</f>
      </c>
      <c r="AI45" s="4">
        <f>LN('中国汇率&amp;期货（数据表）'!AI45)</f>
      </c>
      <c r="AJ45" s="4">
        <f>LN('中国汇率&amp;期货（数据表）'!AJ45)</f>
      </c>
      <c r="AK45" s="4">
        <f>LN('中国汇率&amp;期货（数据表）'!AK45)</f>
      </c>
      <c r="AL45" s="4">
        <f>LN('中国汇率&amp;期货（数据表）'!AL45)</f>
      </c>
      <c r="AM45" s="4">
        <f>LN('中国汇率&amp;期货（数据表）'!AM45)</f>
      </c>
      <c r="AN45" s="4">
        <f>LN('中国汇率&amp;期货（数据表）'!AN45)</f>
      </c>
      <c r="AO45" s="4">
        <f>LN('中国汇率&amp;期货（数据表）'!AO45)</f>
      </c>
      <c r="AP45" s="4">
        <f>LN('中国汇率&amp;期货（数据表）'!AP45)</f>
      </c>
      <c r="AQ45" s="4">
        <f>LN('中国汇率&amp;期货（数据表）'!AQ45)</f>
      </c>
      <c r="AR45" s="4">
        <f>LN('中国汇率&amp;期货（数据表）'!AR45)</f>
      </c>
      <c r="AS45" s="4">
        <f>LN('中国汇率&amp;期货（数据表）'!AS45)</f>
      </c>
      <c r="AT45" s="4">
        <f>LN('中国汇率&amp;期货（数据表）'!AT45)</f>
      </c>
      <c r="AU45" s="4">
        <f>LN('中国汇率&amp;期货（数据表）'!AU45)</f>
      </c>
      <c r="AV45" s="4">
        <f>LN('中国汇率&amp;期货（数据表）'!AV45)</f>
      </c>
      <c r="AW45" s="4">
        <f>LN('中国汇率&amp;期货（数据表）'!AW45)</f>
      </c>
      <c r="AX45" s="4">
        <f>LN('中国汇率&amp;期货（数据表）'!AX45)</f>
      </c>
      <c r="AY45" s="4">
        <f>LN('中国汇率&amp;期货（数据表）'!AY45)</f>
      </c>
      <c r="AZ45" s="4">
        <f>LN('中国汇率&amp;期货（数据表）'!AZ45)</f>
      </c>
      <c r="BA45" s="4">
        <f>LN('中国汇率&amp;期货（数据表）'!BA45)</f>
      </c>
      <c r="BB45" s="4">
        <f>LN('中国汇率&amp;期货（数据表）'!BB45)</f>
      </c>
      <c r="BC45" s="4">
        <f>LN('中国汇率&amp;期货（数据表）'!BC45)</f>
      </c>
      <c r="BD45" s="4">
        <f>LN('中国汇率&amp;期货（数据表）'!BD45)</f>
      </c>
      <c r="BE45" s="4">
        <f>LN('中国汇率&amp;期货（数据表）'!BE45)</f>
      </c>
    </row>
    <row x14ac:dyDescent="0.25" r="46" customHeight="1" ht="18.75">
      <c r="A46" s="1"/>
      <c r="B46" s="4">
        <f>LN('中国汇率&amp;期货（数据表）'!B46)</f>
      </c>
      <c r="C46" s="4">
        <f>LN('中国汇率&amp;期货（数据表）'!C46)</f>
      </c>
      <c r="D46" s="4">
        <f>LN('中国汇率&amp;期货（数据表）'!D46)</f>
      </c>
      <c r="E46" s="4">
        <f>LN('中国汇率&amp;期货（数据表）'!E46)</f>
      </c>
      <c r="F46" s="4">
        <f>LN('中国汇率&amp;期货（数据表）'!F46)</f>
      </c>
      <c r="G46" s="4">
        <f>LN('中国汇率&amp;期货（数据表）'!G46)</f>
      </c>
      <c r="H46" s="4">
        <f>LN('中国汇率&amp;期货（数据表）'!H46)</f>
      </c>
      <c r="I46" s="4">
        <f>LN('中国汇率&amp;期货（数据表）'!I46)</f>
      </c>
      <c r="J46" s="4">
        <f>LN('中国汇率&amp;期货（数据表）'!J46)</f>
      </c>
      <c r="K46" s="4">
        <f>LN('中国汇率&amp;期货（数据表）'!K46)</f>
      </c>
      <c r="L46" s="4">
        <f>LN('中国汇率&amp;期货（数据表）'!L46)</f>
      </c>
      <c r="M46" s="4">
        <f>LN('中国汇率&amp;期货（数据表）'!M46)</f>
      </c>
      <c r="N46" s="4">
        <f>LN('中国汇率&amp;期货（数据表）'!N46)</f>
      </c>
      <c r="O46" s="4">
        <f>LN('中国汇率&amp;期货（数据表）'!O46)</f>
      </c>
      <c r="P46" s="4">
        <f>LN('中国汇率&amp;期货（数据表）'!P46)</f>
      </c>
      <c r="Q46" s="4">
        <f>LN('中国汇率&amp;期货（数据表）'!Q46)</f>
      </c>
      <c r="R46" s="4">
        <f>LN('中国汇率&amp;期货（数据表）'!R46)</f>
      </c>
      <c r="S46" s="4">
        <f>LN('中国汇率&amp;期货（数据表）'!S46)</f>
      </c>
      <c r="T46" s="4">
        <f>LN('中国汇率&amp;期货（数据表）'!T46)</f>
      </c>
      <c r="U46" s="4">
        <f>LN('中国汇率&amp;期货（数据表）'!U46)</f>
      </c>
      <c r="V46" s="4">
        <f>LN('中国汇率&amp;期货（数据表）'!V46)</f>
      </c>
      <c r="W46" s="4">
        <f>LN('中国汇率&amp;期货（数据表）'!W46)</f>
      </c>
      <c r="X46" s="4">
        <f>LN('中国汇率&amp;期货（数据表）'!X46)</f>
      </c>
      <c r="Y46" s="4">
        <f>LN('中国汇率&amp;期货（数据表）'!Y46)</f>
      </c>
      <c r="Z46" s="4">
        <f>LN('中国汇率&amp;期货（数据表）'!Z46)</f>
      </c>
      <c r="AA46" s="4">
        <f>LN('中国汇率&amp;期货（数据表）'!AA46)</f>
      </c>
      <c r="AB46" s="4">
        <f>LN('中国汇率&amp;期货（数据表）'!AB46)</f>
      </c>
      <c r="AC46" s="4">
        <f>LN('中国汇率&amp;期货（数据表）'!AC46)</f>
      </c>
      <c r="AD46" s="4">
        <f>LN('中国汇率&amp;期货（数据表）'!AD46)</f>
      </c>
      <c r="AE46" s="4">
        <f>LN('中国汇率&amp;期货（数据表）'!AE46)</f>
      </c>
      <c r="AF46" s="4">
        <f>LN('中国汇率&amp;期货（数据表）'!AF46)</f>
      </c>
      <c r="AG46" s="4">
        <f>LN('中国汇率&amp;期货（数据表）'!AG46)</f>
      </c>
      <c r="AH46" s="4">
        <f>LN('中国汇率&amp;期货（数据表）'!AH46)</f>
      </c>
      <c r="AI46" s="4">
        <f>LN('中国汇率&amp;期货（数据表）'!AI46)</f>
      </c>
      <c r="AJ46" s="4">
        <f>LN('中国汇率&amp;期货（数据表）'!AJ46)</f>
      </c>
      <c r="AK46" s="4">
        <f>LN('中国汇率&amp;期货（数据表）'!AK46)</f>
      </c>
      <c r="AL46" s="4">
        <f>LN('中国汇率&amp;期货（数据表）'!AL46)</f>
      </c>
      <c r="AM46" s="4">
        <f>LN('中国汇率&amp;期货（数据表）'!AM46)</f>
      </c>
      <c r="AN46" s="4">
        <f>LN('中国汇率&amp;期货（数据表）'!AN46)</f>
      </c>
      <c r="AO46" s="4">
        <f>LN('中国汇率&amp;期货（数据表）'!AO46)</f>
      </c>
      <c r="AP46" s="4">
        <f>LN('中国汇率&amp;期货（数据表）'!AP46)</f>
      </c>
      <c r="AQ46" s="4">
        <f>LN('中国汇率&amp;期货（数据表）'!AQ46)</f>
      </c>
      <c r="AR46" s="4">
        <f>LN('中国汇率&amp;期货（数据表）'!AR46)</f>
      </c>
      <c r="AS46" s="4">
        <f>LN('中国汇率&amp;期货（数据表）'!AS46)</f>
      </c>
      <c r="AT46" s="4">
        <f>LN('中国汇率&amp;期货（数据表）'!AT46)</f>
      </c>
      <c r="AU46" s="4">
        <f>LN('中国汇率&amp;期货（数据表）'!AU46)</f>
      </c>
      <c r="AV46" s="4">
        <f>LN('中国汇率&amp;期货（数据表）'!AV46)</f>
      </c>
      <c r="AW46" s="4">
        <f>LN('中国汇率&amp;期货（数据表）'!AW46)</f>
      </c>
      <c r="AX46" s="4">
        <f>LN('中国汇率&amp;期货（数据表）'!AX46)</f>
      </c>
      <c r="AY46" s="4">
        <f>LN('中国汇率&amp;期货（数据表）'!AY46)</f>
      </c>
      <c r="AZ46" s="4">
        <f>LN('中国汇率&amp;期货（数据表）'!AZ46)</f>
      </c>
      <c r="BA46" s="4">
        <f>LN('中国汇率&amp;期货（数据表）'!BA46)</f>
      </c>
      <c r="BB46" s="4">
        <f>LN('中国汇率&amp;期货（数据表）'!BB46)</f>
      </c>
      <c r="BC46" s="4">
        <f>LN('中国汇率&amp;期货（数据表）'!BC46)</f>
      </c>
      <c r="BD46" s="4">
        <f>LN('中国汇率&amp;期货（数据表）'!BD46)</f>
      </c>
      <c r="BE46" s="4">
        <f>LN('中国汇率&amp;期货（数据表）'!BE46)</f>
      </c>
    </row>
    <row x14ac:dyDescent="0.25" r="47" customHeight="1" ht="18.75">
      <c r="A47" s="1"/>
      <c r="B47" s="4">
        <f>LN('中国汇率&amp;期货（数据表）'!B47)</f>
      </c>
      <c r="C47" s="4">
        <f>LN('中国汇率&amp;期货（数据表）'!C47)</f>
      </c>
      <c r="D47" s="4">
        <f>LN('中国汇率&amp;期货（数据表）'!D47)</f>
      </c>
      <c r="E47" s="4">
        <f>LN('中国汇率&amp;期货（数据表）'!E47)</f>
      </c>
      <c r="F47" s="4">
        <f>LN('中国汇率&amp;期货（数据表）'!F47)</f>
      </c>
      <c r="G47" s="4">
        <f>LN('中国汇率&amp;期货（数据表）'!G47)</f>
      </c>
      <c r="H47" s="4">
        <f>LN('中国汇率&amp;期货（数据表）'!H47)</f>
      </c>
      <c r="I47" s="4">
        <f>LN('中国汇率&amp;期货（数据表）'!I47)</f>
      </c>
      <c r="J47" s="4">
        <f>LN('中国汇率&amp;期货（数据表）'!J47)</f>
      </c>
      <c r="K47" s="4">
        <f>LN('中国汇率&amp;期货（数据表）'!K47)</f>
      </c>
      <c r="L47" s="4">
        <f>LN('中国汇率&amp;期货（数据表）'!L47)</f>
      </c>
      <c r="M47" s="4">
        <f>LN('中国汇率&amp;期货（数据表）'!M47)</f>
      </c>
      <c r="N47" s="4">
        <f>LN('中国汇率&amp;期货（数据表）'!N47)</f>
      </c>
      <c r="O47" s="4">
        <f>LN('中国汇率&amp;期货（数据表）'!O47)</f>
      </c>
      <c r="P47" s="4">
        <f>LN('中国汇率&amp;期货（数据表）'!P47)</f>
      </c>
      <c r="Q47" s="4">
        <f>LN('中国汇率&amp;期货（数据表）'!Q47)</f>
      </c>
      <c r="R47" s="4">
        <f>LN('中国汇率&amp;期货（数据表）'!R47)</f>
      </c>
      <c r="S47" s="4">
        <f>LN('中国汇率&amp;期货（数据表）'!S47)</f>
      </c>
      <c r="T47" s="4">
        <f>LN('中国汇率&amp;期货（数据表）'!T47)</f>
      </c>
      <c r="U47" s="4">
        <f>LN('中国汇率&amp;期货（数据表）'!U47)</f>
      </c>
      <c r="V47" s="4">
        <f>LN('中国汇率&amp;期货（数据表）'!V47)</f>
      </c>
      <c r="W47" s="4">
        <f>LN('中国汇率&amp;期货（数据表）'!W47)</f>
      </c>
      <c r="X47" s="4">
        <f>LN('中国汇率&amp;期货（数据表）'!X47)</f>
      </c>
      <c r="Y47" s="4">
        <f>LN('中国汇率&amp;期货（数据表）'!Y47)</f>
      </c>
      <c r="Z47" s="4">
        <f>LN('中国汇率&amp;期货（数据表）'!Z47)</f>
      </c>
      <c r="AA47" s="4">
        <f>LN('中国汇率&amp;期货（数据表）'!AA47)</f>
      </c>
      <c r="AB47" s="4">
        <f>LN('中国汇率&amp;期货（数据表）'!AB47)</f>
      </c>
      <c r="AC47" s="4">
        <f>LN('中国汇率&amp;期货（数据表）'!AC47)</f>
      </c>
      <c r="AD47" s="4">
        <f>LN('中国汇率&amp;期货（数据表）'!AD47)</f>
      </c>
      <c r="AE47" s="4">
        <f>LN('中国汇率&amp;期货（数据表）'!AE47)</f>
      </c>
      <c r="AF47" s="4">
        <f>LN('中国汇率&amp;期货（数据表）'!AF47)</f>
      </c>
      <c r="AG47" s="4">
        <f>LN('中国汇率&amp;期货（数据表）'!AG47)</f>
      </c>
      <c r="AH47" s="4">
        <f>LN('中国汇率&amp;期货（数据表）'!AH47)</f>
      </c>
      <c r="AI47" s="4">
        <f>LN('中国汇率&amp;期货（数据表）'!AI47)</f>
      </c>
      <c r="AJ47" s="4">
        <f>LN('中国汇率&amp;期货（数据表）'!AJ47)</f>
      </c>
      <c r="AK47" s="4">
        <f>LN('中国汇率&amp;期货（数据表）'!AK47)</f>
      </c>
      <c r="AL47" s="4">
        <f>LN('中国汇率&amp;期货（数据表）'!AL47)</f>
      </c>
      <c r="AM47" s="4">
        <f>LN('中国汇率&amp;期货（数据表）'!AM47)</f>
      </c>
      <c r="AN47" s="4">
        <f>LN('中国汇率&amp;期货（数据表）'!AN47)</f>
      </c>
      <c r="AO47" s="4">
        <f>LN('中国汇率&amp;期货（数据表）'!AO47)</f>
      </c>
      <c r="AP47" s="4">
        <f>LN('中国汇率&amp;期货（数据表）'!AP47)</f>
      </c>
      <c r="AQ47" s="4">
        <f>LN('中国汇率&amp;期货（数据表）'!AQ47)</f>
      </c>
      <c r="AR47" s="4">
        <f>LN('中国汇率&amp;期货（数据表）'!AR47)</f>
      </c>
      <c r="AS47" s="4">
        <f>LN('中国汇率&amp;期货（数据表）'!AS47)</f>
      </c>
      <c r="AT47" s="4">
        <f>LN('中国汇率&amp;期货（数据表）'!AT47)</f>
      </c>
      <c r="AU47" s="4">
        <f>LN('中国汇率&amp;期货（数据表）'!AU47)</f>
      </c>
      <c r="AV47" s="4">
        <f>LN('中国汇率&amp;期货（数据表）'!AV47)</f>
      </c>
      <c r="AW47" s="4">
        <f>LN('中国汇率&amp;期货（数据表）'!AW47)</f>
      </c>
      <c r="AX47" s="4">
        <f>LN('中国汇率&amp;期货（数据表）'!AX47)</f>
      </c>
      <c r="AY47" s="4">
        <f>LN('中国汇率&amp;期货（数据表）'!AY47)</f>
      </c>
      <c r="AZ47" s="4">
        <f>LN('中国汇率&amp;期货（数据表）'!AZ47)</f>
      </c>
      <c r="BA47" s="4">
        <f>LN('中国汇率&amp;期货（数据表）'!BA47)</f>
      </c>
      <c r="BB47" s="4">
        <f>LN('中国汇率&amp;期货（数据表）'!BB47)</f>
      </c>
      <c r="BC47" s="4">
        <f>LN('中国汇率&amp;期货（数据表）'!BC47)</f>
      </c>
      <c r="BD47" s="4">
        <f>LN('中国汇率&amp;期货（数据表）'!BD47)</f>
      </c>
      <c r="BE47" s="4">
        <f>LN('中国汇率&amp;期货（数据表）'!BE47)</f>
      </c>
    </row>
    <row x14ac:dyDescent="0.25" r="48" customHeight="1" ht="18.75">
      <c r="A48" s="1"/>
      <c r="B48" s="4">
        <f>LN('中国汇率&amp;期货（数据表）'!B48)</f>
      </c>
      <c r="C48" s="4">
        <f>LN('中国汇率&amp;期货（数据表）'!C48)</f>
      </c>
      <c r="D48" s="4">
        <f>LN('中国汇率&amp;期货（数据表）'!D48)</f>
      </c>
      <c r="E48" s="4">
        <f>LN('中国汇率&amp;期货（数据表）'!E48)</f>
      </c>
      <c r="F48" s="4">
        <f>LN('中国汇率&amp;期货（数据表）'!F48)</f>
      </c>
      <c r="G48" s="4">
        <f>LN('中国汇率&amp;期货（数据表）'!G48)</f>
      </c>
      <c r="H48" s="4">
        <f>LN('中国汇率&amp;期货（数据表）'!H48)</f>
      </c>
      <c r="I48" s="4">
        <f>LN('中国汇率&amp;期货（数据表）'!I48)</f>
      </c>
      <c r="J48" s="4">
        <f>LN('中国汇率&amp;期货（数据表）'!J48)</f>
      </c>
      <c r="K48" s="4">
        <f>LN('中国汇率&amp;期货（数据表）'!K48)</f>
      </c>
      <c r="L48" s="4">
        <f>LN('中国汇率&amp;期货（数据表）'!L48)</f>
      </c>
      <c r="M48" s="4">
        <f>LN('中国汇率&amp;期货（数据表）'!M48)</f>
      </c>
      <c r="N48" s="4">
        <f>LN('中国汇率&amp;期货（数据表）'!N48)</f>
      </c>
      <c r="O48" s="4">
        <f>LN('中国汇率&amp;期货（数据表）'!O48)</f>
      </c>
      <c r="P48" s="4">
        <f>LN('中国汇率&amp;期货（数据表）'!P48)</f>
      </c>
      <c r="Q48" s="4">
        <f>LN('中国汇率&amp;期货（数据表）'!Q48)</f>
      </c>
      <c r="R48" s="4">
        <f>LN('中国汇率&amp;期货（数据表）'!R48)</f>
      </c>
      <c r="S48" s="4">
        <f>LN('中国汇率&amp;期货（数据表）'!S48)</f>
      </c>
      <c r="T48" s="4">
        <f>LN('中国汇率&amp;期货（数据表）'!T48)</f>
      </c>
      <c r="U48" s="4">
        <f>LN('中国汇率&amp;期货（数据表）'!U48)</f>
      </c>
      <c r="V48" s="4">
        <f>LN('中国汇率&amp;期货（数据表）'!V48)</f>
      </c>
      <c r="W48" s="4">
        <f>LN('中国汇率&amp;期货（数据表）'!W48)</f>
      </c>
      <c r="X48" s="4">
        <f>LN('中国汇率&amp;期货（数据表）'!X48)</f>
      </c>
      <c r="Y48" s="4">
        <f>LN('中国汇率&amp;期货（数据表）'!Y48)</f>
      </c>
      <c r="Z48" s="4">
        <f>LN('中国汇率&amp;期货（数据表）'!Z48)</f>
      </c>
      <c r="AA48" s="4">
        <f>LN('中国汇率&amp;期货（数据表）'!AA48)</f>
      </c>
      <c r="AB48" s="4">
        <f>LN('中国汇率&amp;期货（数据表）'!AB48)</f>
      </c>
      <c r="AC48" s="4">
        <f>LN('中国汇率&amp;期货（数据表）'!AC48)</f>
      </c>
      <c r="AD48" s="4">
        <f>LN('中国汇率&amp;期货（数据表）'!AD48)</f>
      </c>
      <c r="AE48" s="4">
        <f>LN('中国汇率&amp;期货（数据表）'!AE48)</f>
      </c>
      <c r="AF48" s="4">
        <f>LN('中国汇率&amp;期货（数据表）'!AF48)</f>
      </c>
      <c r="AG48" s="4">
        <f>LN('中国汇率&amp;期货（数据表）'!AG48)</f>
      </c>
      <c r="AH48" s="4">
        <f>LN('中国汇率&amp;期货（数据表）'!AH48)</f>
      </c>
      <c r="AI48" s="4">
        <f>LN('中国汇率&amp;期货（数据表）'!AI48)</f>
      </c>
      <c r="AJ48" s="4">
        <f>LN('中国汇率&amp;期货（数据表）'!AJ48)</f>
      </c>
      <c r="AK48" s="4">
        <f>LN('中国汇率&amp;期货（数据表）'!AK48)</f>
      </c>
      <c r="AL48" s="4">
        <f>LN('中国汇率&amp;期货（数据表）'!AL48)</f>
      </c>
      <c r="AM48" s="4">
        <f>LN('中国汇率&amp;期货（数据表）'!AM48)</f>
      </c>
      <c r="AN48" s="4">
        <f>LN('中国汇率&amp;期货（数据表）'!AN48)</f>
      </c>
      <c r="AO48" s="4">
        <f>LN('中国汇率&amp;期货（数据表）'!AO48)</f>
      </c>
      <c r="AP48" s="4">
        <f>LN('中国汇率&amp;期货（数据表）'!AP48)</f>
      </c>
      <c r="AQ48" s="4">
        <f>LN('中国汇率&amp;期货（数据表）'!AQ48)</f>
      </c>
      <c r="AR48" s="4">
        <f>LN('中国汇率&amp;期货（数据表）'!AR48)</f>
      </c>
      <c r="AS48" s="4">
        <f>LN('中国汇率&amp;期货（数据表）'!AS48)</f>
      </c>
      <c r="AT48" s="4">
        <f>LN('中国汇率&amp;期货（数据表）'!AT48)</f>
      </c>
      <c r="AU48" s="4">
        <f>LN('中国汇率&amp;期货（数据表）'!AU48)</f>
      </c>
      <c r="AV48" s="4">
        <f>LN('中国汇率&amp;期货（数据表）'!AV48)</f>
      </c>
      <c r="AW48" s="4">
        <f>LN('中国汇率&amp;期货（数据表）'!AW48)</f>
      </c>
      <c r="AX48" s="4">
        <f>LN('中国汇率&amp;期货（数据表）'!AX48)</f>
      </c>
      <c r="AY48" s="4">
        <f>LN('中国汇率&amp;期货（数据表）'!AY48)</f>
      </c>
      <c r="AZ48" s="4">
        <f>LN('中国汇率&amp;期货（数据表）'!AZ48)</f>
      </c>
      <c r="BA48" s="4">
        <f>LN('中国汇率&amp;期货（数据表）'!BA48)</f>
      </c>
      <c r="BB48" s="4">
        <f>LN('中国汇率&amp;期货（数据表）'!BB48)</f>
      </c>
      <c r="BC48" s="4">
        <f>LN('中国汇率&amp;期货（数据表）'!BC48)</f>
      </c>
      <c r="BD48" s="4">
        <f>LN('中国汇率&amp;期货（数据表）'!BD48)</f>
      </c>
      <c r="BE48" s="4">
        <f>LN('中国汇率&amp;期货（数据表）'!BE48)</f>
      </c>
    </row>
    <row x14ac:dyDescent="0.25" r="49" customHeight="1" ht="18.75">
      <c r="A49" s="1"/>
      <c r="B49" s="4">
        <f>LN('中国汇率&amp;期货（数据表）'!B49)</f>
      </c>
      <c r="C49" s="4">
        <f>LN('中国汇率&amp;期货（数据表）'!C49)</f>
      </c>
      <c r="D49" s="4">
        <f>LN('中国汇率&amp;期货（数据表）'!D49)</f>
      </c>
      <c r="E49" s="4">
        <f>LN('中国汇率&amp;期货（数据表）'!E49)</f>
      </c>
      <c r="F49" s="4">
        <f>LN('中国汇率&amp;期货（数据表）'!F49)</f>
      </c>
      <c r="G49" s="4">
        <f>LN('中国汇率&amp;期货（数据表）'!G49)</f>
      </c>
      <c r="H49" s="4">
        <f>LN('中国汇率&amp;期货（数据表）'!H49)</f>
      </c>
      <c r="I49" s="4">
        <f>LN('中国汇率&amp;期货（数据表）'!I49)</f>
      </c>
      <c r="J49" s="4">
        <f>LN('中国汇率&amp;期货（数据表）'!J49)</f>
      </c>
      <c r="K49" s="4">
        <f>LN('中国汇率&amp;期货（数据表）'!K49)</f>
      </c>
      <c r="L49" s="4">
        <f>LN('中国汇率&amp;期货（数据表）'!L49)</f>
      </c>
      <c r="M49" s="4">
        <f>LN('中国汇率&amp;期货（数据表）'!M49)</f>
      </c>
      <c r="N49" s="4">
        <f>LN('中国汇率&amp;期货（数据表）'!N49)</f>
      </c>
      <c r="O49" s="4">
        <f>LN('中国汇率&amp;期货（数据表）'!O49)</f>
      </c>
      <c r="P49" s="4">
        <f>LN('中国汇率&amp;期货（数据表）'!P49)</f>
      </c>
      <c r="Q49" s="4">
        <f>LN('中国汇率&amp;期货（数据表）'!Q49)</f>
      </c>
      <c r="R49" s="4">
        <f>LN('中国汇率&amp;期货（数据表）'!R49)</f>
      </c>
      <c r="S49" s="4">
        <f>LN('中国汇率&amp;期货（数据表）'!S49)</f>
      </c>
      <c r="T49" s="4">
        <f>LN('中国汇率&amp;期货（数据表）'!T49)</f>
      </c>
      <c r="U49" s="4">
        <f>LN('中国汇率&amp;期货（数据表）'!U49)</f>
      </c>
      <c r="V49" s="4">
        <f>LN('中国汇率&amp;期货（数据表）'!V49)</f>
      </c>
      <c r="W49" s="4">
        <f>LN('中国汇率&amp;期货（数据表）'!W49)</f>
      </c>
      <c r="X49" s="4">
        <f>LN('中国汇率&amp;期货（数据表）'!X49)</f>
      </c>
      <c r="Y49" s="4">
        <f>LN('中国汇率&amp;期货（数据表）'!Y49)</f>
      </c>
      <c r="Z49" s="4">
        <f>LN('中国汇率&amp;期货（数据表）'!Z49)</f>
      </c>
      <c r="AA49" s="4">
        <f>LN('中国汇率&amp;期货（数据表）'!AA49)</f>
      </c>
      <c r="AB49" s="4">
        <f>LN('中国汇率&amp;期货（数据表）'!AB49)</f>
      </c>
      <c r="AC49" s="4">
        <f>LN('中国汇率&amp;期货（数据表）'!AC49)</f>
      </c>
      <c r="AD49" s="4">
        <f>LN('中国汇率&amp;期货（数据表）'!AD49)</f>
      </c>
      <c r="AE49" s="4">
        <f>LN('中国汇率&amp;期货（数据表）'!AE49)</f>
      </c>
      <c r="AF49" s="4">
        <f>LN('中国汇率&amp;期货（数据表）'!AF49)</f>
      </c>
      <c r="AG49" s="4">
        <f>LN('中国汇率&amp;期货（数据表）'!AG49)</f>
      </c>
      <c r="AH49" s="4">
        <f>LN('中国汇率&amp;期货（数据表）'!AH49)</f>
      </c>
      <c r="AI49" s="4">
        <f>LN('中国汇率&amp;期货（数据表）'!AI49)</f>
      </c>
      <c r="AJ49" s="4">
        <f>LN('中国汇率&amp;期货（数据表）'!AJ49)</f>
      </c>
      <c r="AK49" s="4">
        <f>LN('中国汇率&amp;期货（数据表）'!AK49)</f>
      </c>
      <c r="AL49" s="4">
        <f>LN('中国汇率&amp;期货（数据表）'!AL49)</f>
      </c>
      <c r="AM49" s="4">
        <f>LN('中国汇率&amp;期货（数据表）'!AM49)</f>
      </c>
      <c r="AN49" s="4">
        <f>LN('中国汇率&amp;期货（数据表）'!AN49)</f>
      </c>
      <c r="AO49" s="4">
        <f>LN('中国汇率&amp;期货（数据表）'!AO49)</f>
      </c>
      <c r="AP49" s="4">
        <f>LN('中国汇率&amp;期货（数据表）'!AP49)</f>
      </c>
      <c r="AQ49" s="4">
        <f>LN('中国汇率&amp;期货（数据表）'!AQ49)</f>
      </c>
      <c r="AR49" s="4">
        <f>LN('中国汇率&amp;期货（数据表）'!AR49)</f>
      </c>
      <c r="AS49" s="4">
        <f>LN('中国汇率&amp;期货（数据表）'!AS49)</f>
      </c>
      <c r="AT49" s="4">
        <f>LN('中国汇率&amp;期货（数据表）'!AT49)</f>
      </c>
      <c r="AU49" s="4">
        <f>LN('中国汇率&amp;期货（数据表）'!AU49)</f>
      </c>
      <c r="AV49" s="4">
        <f>LN('中国汇率&amp;期货（数据表）'!AV49)</f>
      </c>
      <c r="AW49" s="4">
        <f>LN('中国汇率&amp;期货（数据表）'!AW49)</f>
      </c>
      <c r="AX49" s="4">
        <f>LN('中国汇率&amp;期货（数据表）'!AX49)</f>
      </c>
      <c r="AY49" s="4">
        <f>LN('中国汇率&amp;期货（数据表）'!AY49)</f>
      </c>
      <c r="AZ49" s="4">
        <f>LN('中国汇率&amp;期货（数据表）'!AZ49)</f>
      </c>
      <c r="BA49" s="4">
        <f>LN('中国汇率&amp;期货（数据表）'!BA49)</f>
      </c>
      <c r="BB49" s="4">
        <f>LN('中国汇率&amp;期货（数据表）'!BB49)</f>
      </c>
      <c r="BC49" s="4">
        <f>LN('中国汇率&amp;期货（数据表）'!BC49)</f>
      </c>
      <c r="BD49" s="4">
        <f>LN('中国汇率&amp;期货（数据表）'!BD49)</f>
      </c>
      <c r="BE49" s="4">
        <f>LN('中国汇率&amp;期货（数据表）'!BE49)</f>
      </c>
    </row>
    <row x14ac:dyDescent="0.25" r="50" customHeight="1" ht="18.75">
      <c r="A50" s="1"/>
      <c r="B50" s="4">
        <f>LN('中国汇率&amp;期货（数据表）'!B50)</f>
      </c>
      <c r="C50" s="4">
        <f>LN('中国汇率&amp;期货（数据表）'!C50)</f>
      </c>
      <c r="D50" s="4">
        <f>LN('中国汇率&amp;期货（数据表）'!D50)</f>
      </c>
      <c r="E50" s="4">
        <f>LN('中国汇率&amp;期货（数据表）'!E50)</f>
      </c>
      <c r="F50" s="4">
        <f>LN('中国汇率&amp;期货（数据表）'!F50)</f>
      </c>
      <c r="G50" s="4">
        <f>LN('中国汇率&amp;期货（数据表）'!G50)</f>
      </c>
      <c r="H50" s="4">
        <f>LN('中国汇率&amp;期货（数据表）'!H50)</f>
      </c>
      <c r="I50" s="4">
        <f>LN('中国汇率&amp;期货（数据表）'!I50)</f>
      </c>
      <c r="J50" s="4">
        <f>LN('中国汇率&amp;期货（数据表）'!J50)</f>
      </c>
      <c r="K50" s="4">
        <f>LN('中国汇率&amp;期货（数据表）'!K50)</f>
      </c>
      <c r="L50" s="4">
        <f>LN('中国汇率&amp;期货（数据表）'!L50)</f>
      </c>
      <c r="M50" s="4">
        <f>LN('中国汇率&amp;期货（数据表）'!M50)</f>
      </c>
      <c r="N50" s="4">
        <f>LN('中国汇率&amp;期货（数据表）'!N50)</f>
      </c>
      <c r="O50" s="4">
        <f>LN('中国汇率&amp;期货（数据表）'!O50)</f>
      </c>
      <c r="P50" s="4">
        <f>LN('中国汇率&amp;期货（数据表）'!P50)</f>
      </c>
      <c r="Q50" s="4">
        <f>LN('中国汇率&amp;期货（数据表）'!Q50)</f>
      </c>
      <c r="R50" s="4">
        <f>LN('中国汇率&amp;期货（数据表）'!R50)</f>
      </c>
      <c r="S50" s="4">
        <f>LN('中国汇率&amp;期货（数据表）'!S50)</f>
      </c>
      <c r="T50" s="4">
        <f>LN('中国汇率&amp;期货（数据表）'!T50)</f>
      </c>
      <c r="U50" s="4">
        <f>LN('中国汇率&amp;期货（数据表）'!U50)</f>
      </c>
      <c r="V50" s="4">
        <f>LN('中国汇率&amp;期货（数据表）'!V50)</f>
      </c>
      <c r="W50" s="4">
        <f>LN('中国汇率&amp;期货（数据表）'!W50)</f>
      </c>
      <c r="X50" s="4">
        <f>LN('中国汇率&amp;期货（数据表）'!X50)</f>
      </c>
      <c r="Y50" s="4">
        <f>LN('中国汇率&amp;期货（数据表）'!Y50)</f>
      </c>
      <c r="Z50" s="4">
        <f>LN('中国汇率&amp;期货（数据表）'!Z50)</f>
      </c>
      <c r="AA50" s="4">
        <f>LN('中国汇率&amp;期货（数据表）'!AA50)</f>
      </c>
      <c r="AB50" s="4">
        <f>LN('中国汇率&amp;期货（数据表）'!AB50)</f>
      </c>
      <c r="AC50" s="4">
        <f>LN('中国汇率&amp;期货（数据表）'!AC50)</f>
      </c>
      <c r="AD50" s="4">
        <f>LN('中国汇率&amp;期货（数据表）'!AD50)</f>
      </c>
      <c r="AE50" s="4">
        <f>LN('中国汇率&amp;期货（数据表）'!AE50)</f>
      </c>
      <c r="AF50" s="4">
        <f>LN('中国汇率&amp;期货（数据表）'!AF50)</f>
      </c>
      <c r="AG50" s="4">
        <f>LN('中国汇率&amp;期货（数据表）'!AG50)</f>
      </c>
      <c r="AH50" s="4">
        <f>LN('中国汇率&amp;期货（数据表）'!AH50)</f>
      </c>
      <c r="AI50" s="4">
        <f>LN('中国汇率&amp;期货（数据表）'!AI50)</f>
      </c>
      <c r="AJ50" s="4">
        <f>LN('中国汇率&amp;期货（数据表）'!AJ50)</f>
      </c>
      <c r="AK50" s="4">
        <f>LN('中国汇率&amp;期货（数据表）'!AK50)</f>
      </c>
      <c r="AL50" s="4">
        <f>LN('中国汇率&amp;期货（数据表）'!AL50)</f>
      </c>
      <c r="AM50" s="4">
        <f>LN('中国汇率&amp;期货（数据表）'!AM50)</f>
      </c>
      <c r="AN50" s="4">
        <f>LN('中国汇率&amp;期货（数据表）'!AN50)</f>
      </c>
      <c r="AO50" s="4">
        <f>LN('中国汇率&amp;期货（数据表）'!AO50)</f>
      </c>
      <c r="AP50" s="4">
        <f>LN('中国汇率&amp;期货（数据表）'!AP50)</f>
      </c>
      <c r="AQ50" s="4">
        <f>LN('中国汇率&amp;期货（数据表）'!AQ50)</f>
      </c>
      <c r="AR50" s="4">
        <f>LN('中国汇率&amp;期货（数据表）'!AR50)</f>
      </c>
      <c r="AS50" s="4">
        <f>LN('中国汇率&amp;期货（数据表）'!AS50)</f>
      </c>
      <c r="AT50" s="4">
        <f>LN('中国汇率&amp;期货（数据表）'!AT50)</f>
      </c>
      <c r="AU50" s="4">
        <f>LN('中国汇率&amp;期货（数据表）'!AU50)</f>
      </c>
      <c r="AV50" s="4">
        <f>LN('中国汇率&amp;期货（数据表）'!AV50)</f>
      </c>
      <c r="AW50" s="4">
        <f>LN('中国汇率&amp;期货（数据表）'!AW50)</f>
      </c>
      <c r="AX50" s="4">
        <f>LN('中国汇率&amp;期货（数据表）'!AX50)</f>
      </c>
      <c r="AY50" s="4">
        <f>LN('中国汇率&amp;期货（数据表）'!AY50)</f>
      </c>
      <c r="AZ50" s="4">
        <f>LN('中国汇率&amp;期货（数据表）'!AZ50)</f>
      </c>
      <c r="BA50" s="4">
        <f>LN('中国汇率&amp;期货（数据表）'!BA50)</f>
      </c>
      <c r="BB50" s="4">
        <f>LN('中国汇率&amp;期货（数据表）'!BB50)</f>
      </c>
      <c r="BC50" s="4">
        <f>LN('中国汇率&amp;期货（数据表）'!BC50)</f>
      </c>
      <c r="BD50" s="4">
        <f>LN('中国汇率&amp;期货（数据表）'!BD50)</f>
      </c>
      <c r="BE50" s="4">
        <f>LN('中国汇率&amp;期货（数据表）'!BE50)</f>
      </c>
    </row>
    <row x14ac:dyDescent="0.25" r="51" customHeight="1" ht="18.75">
      <c r="A51" s="1"/>
      <c r="B51" s="4">
        <f>LN('中国汇率&amp;期货（数据表）'!B51)</f>
      </c>
      <c r="C51" s="4">
        <f>LN('中国汇率&amp;期货（数据表）'!C51)</f>
      </c>
      <c r="D51" s="4">
        <f>LN('中国汇率&amp;期货（数据表）'!D51)</f>
      </c>
      <c r="E51" s="4">
        <f>LN('中国汇率&amp;期货（数据表）'!E51)</f>
      </c>
      <c r="F51" s="4">
        <f>LN('中国汇率&amp;期货（数据表）'!F51)</f>
      </c>
      <c r="G51" s="4">
        <f>LN('中国汇率&amp;期货（数据表）'!G51)</f>
      </c>
      <c r="H51" s="4">
        <f>LN('中国汇率&amp;期货（数据表）'!H51)</f>
      </c>
      <c r="I51" s="4">
        <f>LN('中国汇率&amp;期货（数据表）'!I51)</f>
      </c>
      <c r="J51" s="4">
        <f>LN('中国汇率&amp;期货（数据表）'!J51)</f>
      </c>
      <c r="K51" s="4">
        <f>LN('中国汇率&amp;期货（数据表）'!K51)</f>
      </c>
      <c r="L51" s="4">
        <f>LN('中国汇率&amp;期货（数据表）'!L51)</f>
      </c>
      <c r="M51" s="4">
        <f>LN('中国汇率&amp;期货（数据表）'!M51)</f>
      </c>
      <c r="N51" s="4">
        <f>LN('中国汇率&amp;期货（数据表）'!N51)</f>
      </c>
      <c r="O51" s="4">
        <f>LN('中国汇率&amp;期货（数据表）'!O51)</f>
      </c>
      <c r="P51" s="4">
        <f>LN('中国汇率&amp;期货（数据表）'!P51)</f>
      </c>
      <c r="Q51" s="4">
        <f>LN('中国汇率&amp;期货（数据表）'!Q51)</f>
      </c>
      <c r="R51" s="4">
        <f>LN('中国汇率&amp;期货（数据表）'!R51)</f>
      </c>
      <c r="S51" s="4">
        <f>LN('中国汇率&amp;期货（数据表）'!S51)</f>
      </c>
      <c r="T51" s="4">
        <f>LN('中国汇率&amp;期货（数据表）'!T51)</f>
      </c>
      <c r="U51" s="4">
        <f>LN('中国汇率&amp;期货（数据表）'!U51)</f>
      </c>
      <c r="V51" s="4">
        <f>LN('中国汇率&amp;期货（数据表）'!V51)</f>
      </c>
      <c r="W51" s="4">
        <f>LN('中国汇率&amp;期货（数据表）'!W51)</f>
      </c>
      <c r="X51" s="4">
        <f>LN('中国汇率&amp;期货（数据表）'!X51)</f>
      </c>
      <c r="Y51" s="4">
        <f>LN('中国汇率&amp;期货（数据表）'!Y51)</f>
      </c>
      <c r="Z51" s="4">
        <f>LN('中国汇率&amp;期货（数据表）'!Z51)</f>
      </c>
      <c r="AA51" s="4">
        <f>LN('中国汇率&amp;期货（数据表）'!AA51)</f>
      </c>
      <c r="AB51" s="4">
        <f>LN('中国汇率&amp;期货（数据表）'!AB51)</f>
      </c>
      <c r="AC51" s="4">
        <f>LN('中国汇率&amp;期货（数据表）'!AC51)</f>
      </c>
      <c r="AD51" s="4">
        <f>LN('中国汇率&amp;期货（数据表）'!AD51)</f>
      </c>
      <c r="AE51" s="4">
        <f>LN('中国汇率&amp;期货（数据表）'!AE51)</f>
      </c>
      <c r="AF51" s="4">
        <f>LN('中国汇率&amp;期货（数据表）'!AF51)</f>
      </c>
      <c r="AG51" s="4">
        <f>LN('中国汇率&amp;期货（数据表）'!AG51)</f>
      </c>
      <c r="AH51" s="4">
        <f>LN('中国汇率&amp;期货（数据表）'!AH51)</f>
      </c>
      <c r="AI51" s="4">
        <f>LN('中国汇率&amp;期货（数据表）'!AI51)</f>
      </c>
      <c r="AJ51" s="4">
        <f>LN('中国汇率&amp;期货（数据表）'!AJ51)</f>
      </c>
      <c r="AK51" s="4">
        <f>LN('中国汇率&amp;期货（数据表）'!AK51)</f>
      </c>
      <c r="AL51" s="4">
        <f>LN('中国汇率&amp;期货（数据表）'!AL51)</f>
      </c>
      <c r="AM51" s="4">
        <f>LN('中国汇率&amp;期货（数据表）'!AM51)</f>
      </c>
      <c r="AN51" s="4">
        <f>LN('中国汇率&amp;期货（数据表）'!AN51)</f>
      </c>
      <c r="AO51" s="4">
        <f>LN('中国汇率&amp;期货（数据表）'!AO51)</f>
      </c>
      <c r="AP51" s="4">
        <f>LN('中国汇率&amp;期货（数据表）'!AP51)</f>
      </c>
      <c r="AQ51" s="4">
        <f>LN('中国汇率&amp;期货（数据表）'!AQ51)</f>
      </c>
      <c r="AR51" s="4">
        <f>LN('中国汇率&amp;期货（数据表）'!AR51)</f>
      </c>
      <c r="AS51" s="4">
        <f>LN('中国汇率&amp;期货（数据表）'!AS51)</f>
      </c>
      <c r="AT51" s="4">
        <f>LN('中国汇率&amp;期货（数据表）'!AT51)</f>
      </c>
      <c r="AU51" s="4">
        <f>LN('中国汇率&amp;期货（数据表）'!AU51)</f>
      </c>
      <c r="AV51" s="4">
        <f>LN('中国汇率&amp;期货（数据表）'!AV51)</f>
      </c>
      <c r="AW51" s="4">
        <f>LN('中国汇率&amp;期货（数据表）'!AW51)</f>
      </c>
      <c r="AX51" s="4">
        <f>LN('中国汇率&amp;期货（数据表）'!AX51)</f>
      </c>
      <c r="AY51" s="4">
        <f>LN('中国汇率&amp;期货（数据表）'!AY51)</f>
      </c>
      <c r="AZ51" s="4">
        <f>LN('中国汇率&amp;期货（数据表）'!AZ51)</f>
      </c>
      <c r="BA51" s="4">
        <f>LN('中国汇率&amp;期货（数据表）'!BA51)</f>
      </c>
      <c r="BB51" s="4">
        <f>LN('中国汇率&amp;期货（数据表）'!BB51)</f>
      </c>
      <c r="BC51" s="4">
        <f>LN('中国汇率&amp;期货（数据表）'!BC51)</f>
      </c>
      <c r="BD51" s="4">
        <f>LN('中国汇率&amp;期货（数据表）'!BD51)</f>
      </c>
      <c r="BE51" s="4">
        <f>LN('中国汇率&amp;期货（数据表）'!BE51)</f>
      </c>
    </row>
    <row x14ac:dyDescent="0.25" r="52" customHeight="1" ht="18.75">
      <c r="A52" s="1"/>
      <c r="B52" s="4">
        <f>LN('中国汇率&amp;期货（数据表）'!B52)</f>
      </c>
      <c r="C52" s="4">
        <f>LN('中国汇率&amp;期货（数据表）'!C52)</f>
      </c>
      <c r="D52" s="4">
        <f>LN('中国汇率&amp;期货（数据表）'!D52)</f>
      </c>
      <c r="E52" s="4">
        <f>LN('中国汇率&amp;期货（数据表）'!E52)</f>
      </c>
      <c r="F52" s="4">
        <f>LN('中国汇率&amp;期货（数据表）'!F52)</f>
      </c>
      <c r="G52" s="4">
        <f>LN('中国汇率&amp;期货（数据表）'!G52)</f>
      </c>
      <c r="H52" s="4">
        <f>LN('中国汇率&amp;期货（数据表）'!H52)</f>
      </c>
      <c r="I52" s="4">
        <f>LN('中国汇率&amp;期货（数据表）'!I52)</f>
      </c>
      <c r="J52" s="4">
        <f>LN('中国汇率&amp;期货（数据表）'!J52)</f>
      </c>
      <c r="K52" s="4">
        <f>LN('中国汇率&amp;期货（数据表）'!K52)</f>
      </c>
      <c r="L52" s="4">
        <f>LN('中国汇率&amp;期货（数据表）'!L52)</f>
      </c>
      <c r="M52" s="4">
        <f>LN('中国汇率&amp;期货（数据表）'!M52)</f>
      </c>
      <c r="N52" s="4">
        <f>LN('中国汇率&amp;期货（数据表）'!N52)</f>
      </c>
      <c r="O52" s="4">
        <f>LN('中国汇率&amp;期货（数据表）'!O52)</f>
      </c>
      <c r="P52" s="4">
        <f>LN('中国汇率&amp;期货（数据表）'!P52)</f>
      </c>
      <c r="Q52" s="4">
        <f>LN('中国汇率&amp;期货（数据表）'!Q52)</f>
      </c>
      <c r="R52" s="4">
        <f>LN('中国汇率&amp;期货（数据表）'!R52)</f>
      </c>
      <c r="S52" s="4">
        <f>LN('中国汇率&amp;期货（数据表）'!S52)</f>
      </c>
      <c r="T52" s="4">
        <f>LN('中国汇率&amp;期货（数据表）'!T52)</f>
      </c>
      <c r="U52" s="4">
        <f>LN('中国汇率&amp;期货（数据表）'!U52)</f>
      </c>
      <c r="V52" s="4">
        <f>LN('中国汇率&amp;期货（数据表）'!V52)</f>
      </c>
      <c r="W52" s="4">
        <f>LN('中国汇率&amp;期货（数据表）'!W52)</f>
      </c>
      <c r="X52" s="4">
        <f>LN('中国汇率&amp;期货（数据表）'!X52)</f>
      </c>
      <c r="Y52" s="4">
        <f>LN('中国汇率&amp;期货（数据表）'!Y52)</f>
      </c>
      <c r="Z52" s="4">
        <f>LN('中国汇率&amp;期货（数据表）'!Z52)</f>
      </c>
      <c r="AA52" s="4">
        <f>LN('中国汇率&amp;期货（数据表）'!AA52)</f>
      </c>
      <c r="AB52" s="4">
        <f>LN('中国汇率&amp;期货（数据表）'!AB52)</f>
      </c>
      <c r="AC52" s="4">
        <f>LN('中国汇率&amp;期货（数据表）'!AC52)</f>
      </c>
      <c r="AD52" s="4">
        <f>LN('中国汇率&amp;期货（数据表）'!AD52)</f>
      </c>
      <c r="AE52" s="4">
        <f>LN('中国汇率&amp;期货（数据表）'!AE52)</f>
      </c>
      <c r="AF52" s="4">
        <f>LN('中国汇率&amp;期货（数据表）'!AF52)</f>
      </c>
      <c r="AG52" s="4">
        <f>LN('中国汇率&amp;期货（数据表）'!AG52)</f>
      </c>
      <c r="AH52" s="4">
        <f>LN('中国汇率&amp;期货（数据表）'!AH52)</f>
      </c>
      <c r="AI52" s="4">
        <f>LN('中国汇率&amp;期货（数据表）'!AI52)</f>
      </c>
      <c r="AJ52" s="4">
        <f>LN('中国汇率&amp;期货（数据表）'!AJ52)</f>
      </c>
      <c r="AK52" s="4">
        <f>LN('中国汇率&amp;期货（数据表）'!AK52)</f>
      </c>
      <c r="AL52" s="4">
        <f>LN('中国汇率&amp;期货（数据表）'!AL52)</f>
      </c>
      <c r="AM52" s="4">
        <f>LN('中国汇率&amp;期货（数据表）'!AM52)</f>
      </c>
      <c r="AN52" s="4">
        <f>LN('中国汇率&amp;期货（数据表）'!AN52)</f>
      </c>
      <c r="AO52" s="4">
        <f>LN('中国汇率&amp;期货（数据表）'!AO52)</f>
      </c>
      <c r="AP52" s="4">
        <f>LN('中国汇率&amp;期货（数据表）'!AP52)</f>
      </c>
      <c r="AQ52" s="4">
        <f>LN('中国汇率&amp;期货（数据表）'!AQ52)</f>
      </c>
      <c r="AR52" s="4">
        <f>LN('中国汇率&amp;期货（数据表）'!AR52)</f>
      </c>
      <c r="AS52" s="4">
        <f>LN('中国汇率&amp;期货（数据表）'!AS52)</f>
      </c>
      <c r="AT52" s="4">
        <f>LN('中国汇率&amp;期货（数据表）'!AT52)</f>
      </c>
      <c r="AU52" s="4">
        <f>LN('中国汇率&amp;期货（数据表）'!AU52)</f>
      </c>
      <c r="AV52" s="4">
        <f>LN('中国汇率&amp;期货（数据表）'!AV52)</f>
      </c>
      <c r="AW52" s="4">
        <f>LN('中国汇率&amp;期货（数据表）'!AW52)</f>
      </c>
      <c r="AX52" s="4">
        <f>LN('中国汇率&amp;期货（数据表）'!AX52)</f>
      </c>
      <c r="AY52" s="4">
        <f>LN('中国汇率&amp;期货（数据表）'!AY52)</f>
      </c>
      <c r="AZ52" s="4">
        <f>LN('中国汇率&amp;期货（数据表）'!AZ52)</f>
      </c>
      <c r="BA52" s="4">
        <f>LN('中国汇率&amp;期货（数据表）'!BA52)</f>
      </c>
      <c r="BB52" s="4">
        <f>LN('中国汇率&amp;期货（数据表）'!BB52)</f>
      </c>
      <c r="BC52" s="4">
        <f>LN('中国汇率&amp;期货（数据表）'!BC52)</f>
      </c>
      <c r="BD52" s="4">
        <f>LN('中国汇率&amp;期货（数据表）'!BD52)</f>
      </c>
      <c r="BE52" s="4">
        <f>LN('中国汇率&amp;期货（数据表）'!BE52)</f>
      </c>
    </row>
    <row x14ac:dyDescent="0.25" r="53" customHeight="1" ht="18.75">
      <c r="A53" s="1"/>
      <c r="B53" s="4">
        <f>LN('中国汇率&amp;期货（数据表）'!B53)</f>
      </c>
      <c r="C53" s="4">
        <f>LN('中国汇率&amp;期货（数据表）'!C53)</f>
      </c>
      <c r="D53" s="4">
        <f>LN('中国汇率&amp;期货（数据表）'!D53)</f>
      </c>
      <c r="E53" s="4">
        <f>LN('中国汇率&amp;期货（数据表）'!E53)</f>
      </c>
      <c r="F53" s="4">
        <f>LN('中国汇率&amp;期货（数据表）'!F53)</f>
      </c>
      <c r="G53" s="4">
        <f>LN('中国汇率&amp;期货（数据表）'!G53)</f>
      </c>
      <c r="H53" s="4">
        <f>LN('中国汇率&amp;期货（数据表）'!H53)</f>
      </c>
      <c r="I53" s="4">
        <f>LN('中国汇率&amp;期货（数据表）'!I53)</f>
      </c>
      <c r="J53" s="4">
        <f>LN('中国汇率&amp;期货（数据表）'!J53)</f>
      </c>
      <c r="K53" s="4">
        <f>LN('中国汇率&amp;期货（数据表）'!K53)</f>
      </c>
      <c r="L53" s="4">
        <f>LN('中国汇率&amp;期货（数据表）'!L53)</f>
      </c>
      <c r="M53" s="4">
        <f>LN('中国汇率&amp;期货（数据表）'!M53)</f>
      </c>
      <c r="N53" s="4">
        <f>LN('中国汇率&amp;期货（数据表）'!N53)</f>
      </c>
      <c r="O53" s="4">
        <f>LN('中国汇率&amp;期货（数据表）'!O53)</f>
      </c>
      <c r="P53" s="4">
        <f>LN('中国汇率&amp;期货（数据表）'!P53)</f>
      </c>
      <c r="Q53" s="4">
        <f>LN('中国汇率&amp;期货（数据表）'!Q53)</f>
      </c>
      <c r="R53" s="4">
        <f>LN('中国汇率&amp;期货（数据表）'!R53)</f>
      </c>
      <c r="S53" s="4">
        <f>LN('中国汇率&amp;期货（数据表）'!S53)</f>
      </c>
      <c r="T53" s="4">
        <f>LN('中国汇率&amp;期货（数据表）'!T53)</f>
      </c>
      <c r="U53" s="4">
        <f>LN('中国汇率&amp;期货（数据表）'!U53)</f>
      </c>
      <c r="V53" s="4">
        <f>LN('中国汇率&amp;期货（数据表）'!V53)</f>
      </c>
      <c r="W53" s="4">
        <f>LN('中国汇率&amp;期货（数据表）'!W53)</f>
      </c>
      <c r="X53" s="4">
        <f>LN('中国汇率&amp;期货（数据表）'!X53)</f>
      </c>
      <c r="Y53" s="4">
        <f>LN('中国汇率&amp;期货（数据表）'!Y53)</f>
      </c>
      <c r="Z53" s="4">
        <f>LN('中国汇率&amp;期货（数据表）'!Z53)</f>
      </c>
      <c r="AA53" s="4">
        <f>LN('中国汇率&amp;期货（数据表）'!AA53)</f>
      </c>
      <c r="AB53" s="4">
        <f>LN('中国汇率&amp;期货（数据表）'!AB53)</f>
      </c>
      <c r="AC53" s="4">
        <f>LN('中国汇率&amp;期货（数据表）'!AC53)</f>
      </c>
      <c r="AD53" s="4">
        <f>LN('中国汇率&amp;期货（数据表）'!AD53)</f>
      </c>
      <c r="AE53" s="4">
        <f>LN('中国汇率&amp;期货（数据表）'!AE53)</f>
      </c>
      <c r="AF53" s="4">
        <f>LN('中国汇率&amp;期货（数据表）'!AF53)</f>
      </c>
      <c r="AG53" s="4">
        <f>LN('中国汇率&amp;期货（数据表）'!AG53)</f>
      </c>
      <c r="AH53" s="4">
        <f>LN('中国汇率&amp;期货（数据表）'!AH53)</f>
      </c>
      <c r="AI53" s="4">
        <f>LN('中国汇率&amp;期货（数据表）'!AI53)</f>
      </c>
      <c r="AJ53" s="4">
        <f>LN('中国汇率&amp;期货（数据表）'!AJ53)</f>
      </c>
      <c r="AK53" s="4">
        <f>LN('中国汇率&amp;期货（数据表）'!AK53)</f>
      </c>
      <c r="AL53" s="4">
        <f>LN('中国汇率&amp;期货（数据表）'!AL53)</f>
      </c>
      <c r="AM53" s="4">
        <f>LN('中国汇率&amp;期货（数据表）'!AM53)</f>
      </c>
      <c r="AN53" s="4">
        <f>LN('中国汇率&amp;期货（数据表）'!AN53)</f>
      </c>
      <c r="AO53" s="4">
        <f>LN('中国汇率&amp;期货（数据表）'!AO53)</f>
      </c>
      <c r="AP53" s="4">
        <f>LN('中国汇率&amp;期货（数据表）'!AP53)</f>
      </c>
      <c r="AQ53" s="4">
        <f>LN('中国汇率&amp;期货（数据表）'!AQ53)</f>
      </c>
      <c r="AR53" s="4">
        <f>LN('中国汇率&amp;期货（数据表）'!AR53)</f>
      </c>
      <c r="AS53" s="4">
        <f>LN('中国汇率&amp;期货（数据表）'!AS53)</f>
      </c>
      <c r="AT53" s="4">
        <f>LN('中国汇率&amp;期货（数据表）'!AT53)</f>
      </c>
      <c r="AU53" s="4">
        <f>LN('中国汇率&amp;期货（数据表）'!AU53)</f>
      </c>
      <c r="AV53" s="4">
        <f>LN('中国汇率&amp;期货（数据表）'!AV53)</f>
      </c>
      <c r="AW53" s="4">
        <f>LN('中国汇率&amp;期货（数据表）'!AW53)</f>
      </c>
      <c r="AX53" s="4">
        <f>LN('中国汇率&amp;期货（数据表）'!AX53)</f>
      </c>
      <c r="AY53" s="4">
        <f>LN('中国汇率&amp;期货（数据表）'!AY53)</f>
      </c>
      <c r="AZ53" s="4">
        <f>LN('中国汇率&amp;期货（数据表）'!AZ53)</f>
      </c>
      <c r="BA53" s="4">
        <f>LN('中国汇率&amp;期货（数据表）'!BA53)</f>
      </c>
      <c r="BB53" s="4">
        <f>LN('中国汇率&amp;期货（数据表）'!BB53)</f>
      </c>
      <c r="BC53" s="4">
        <f>LN('中国汇率&amp;期货（数据表）'!BC53)</f>
      </c>
      <c r="BD53" s="4">
        <f>LN('中国汇率&amp;期货（数据表）'!BD53)</f>
      </c>
      <c r="BE53" s="4">
        <f>LN('中国汇率&amp;期货（数据表）'!BE53)</f>
      </c>
    </row>
    <row x14ac:dyDescent="0.25" r="54" customHeight="1" ht="18.75">
      <c r="A54" s="1"/>
      <c r="B54" s="4">
        <f>LN('中国汇率&amp;期货（数据表）'!B54)</f>
      </c>
      <c r="C54" s="4">
        <f>LN('中国汇率&amp;期货（数据表）'!C54)</f>
      </c>
      <c r="D54" s="4">
        <f>LN('中国汇率&amp;期货（数据表）'!D54)</f>
      </c>
      <c r="E54" s="4">
        <f>LN('中国汇率&amp;期货（数据表）'!E54)</f>
      </c>
      <c r="F54" s="4">
        <f>LN('中国汇率&amp;期货（数据表）'!F54)</f>
      </c>
      <c r="G54" s="4">
        <f>LN('中国汇率&amp;期货（数据表）'!G54)</f>
      </c>
      <c r="H54" s="4">
        <f>LN('中国汇率&amp;期货（数据表）'!H54)</f>
      </c>
      <c r="I54" s="4">
        <f>LN('中国汇率&amp;期货（数据表）'!I54)</f>
      </c>
      <c r="J54" s="4">
        <f>LN('中国汇率&amp;期货（数据表）'!J54)</f>
      </c>
      <c r="K54" s="4">
        <f>LN('中国汇率&amp;期货（数据表）'!K54)</f>
      </c>
      <c r="L54" s="4">
        <f>LN('中国汇率&amp;期货（数据表）'!L54)</f>
      </c>
      <c r="M54" s="4">
        <f>LN('中国汇率&amp;期货（数据表）'!M54)</f>
      </c>
      <c r="N54" s="4">
        <f>LN('中国汇率&amp;期货（数据表）'!N54)</f>
      </c>
      <c r="O54" s="4">
        <f>LN('中国汇率&amp;期货（数据表）'!O54)</f>
      </c>
      <c r="P54" s="4">
        <f>LN('中国汇率&amp;期货（数据表）'!P54)</f>
      </c>
      <c r="Q54" s="4">
        <f>LN('中国汇率&amp;期货（数据表）'!Q54)</f>
      </c>
      <c r="R54" s="4">
        <f>LN('中国汇率&amp;期货（数据表）'!R54)</f>
      </c>
      <c r="S54" s="4">
        <f>LN('中国汇率&amp;期货（数据表）'!S54)</f>
      </c>
      <c r="T54" s="4">
        <f>LN('中国汇率&amp;期货（数据表）'!T54)</f>
      </c>
      <c r="U54" s="4">
        <f>LN('中国汇率&amp;期货（数据表）'!U54)</f>
      </c>
      <c r="V54" s="4">
        <f>LN('中国汇率&amp;期货（数据表）'!V54)</f>
      </c>
      <c r="W54" s="4">
        <f>LN('中国汇率&amp;期货（数据表）'!W54)</f>
      </c>
      <c r="X54" s="4">
        <f>LN('中国汇率&amp;期货（数据表）'!X54)</f>
      </c>
      <c r="Y54" s="4">
        <f>LN('中国汇率&amp;期货（数据表）'!Y54)</f>
      </c>
      <c r="Z54" s="4">
        <f>LN('中国汇率&amp;期货（数据表）'!Z54)</f>
      </c>
      <c r="AA54" s="4">
        <f>LN('中国汇率&amp;期货（数据表）'!AA54)</f>
      </c>
      <c r="AB54" s="4">
        <f>LN('中国汇率&amp;期货（数据表）'!AB54)</f>
      </c>
      <c r="AC54" s="4">
        <f>LN('中国汇率&amp;期货（数据表）'!AC54)</f>
      </c>
      <c r="AD54" s="4">
        <f>LN('中国汇率&amp;期货（数据表）'!AD54)</f>
      </c>
      <c r="AE54" s="4">
        <f>LN('中国汇率&amp;期货（数据表）'!AE54)</f>
      </c>
      <c r="AF54" s="4">
        <f>LN('中国汇率&amp;期货（数据表）'!AF54)</f>
      </c>
      <c r="AG54" s="4">
        <f>LN('中国汇率&amp;期货（数据表）'!AG54)</f>
      </c>
      <c r="AH54" s="4">
        <f>LN('中国汇率&amp;期货（数据表）'!AH54)</f>
      </c>
      <c r="AI54" s="4">
        <f>LN('中国汇率&amp;期货（数据表）'!AI54)</f>
      </c>
      <c r="AJ54" s="4">
        <f>LN('中国汇率&amp;期货（数据表）'!AJ54)</f>
      </c>
      <c r="AK54" s="4">
        <f>LN('中国汇率&amp;期货（数据表）'!AK54)</f>
      </c>
      <c r="AL54" s="4">
        <f>LN('中国汇率&amp;期货（数据表）'!AL54)</f>
      </c>
      <c r="AM54" s="4">
        <f>LN('中国汇率&amp;期货（数据表）'!AM54)</f>
      </c>
      <c r="AN54" s="4">
        <f>LN('中国汇率&amp;期货（数据表）'!AN54)</f>
      </c>
      <c r="AO54" s="4">
        <f>LN('中国汇率&amp;期货（数据表）'!AO54)</f>
      </c>
      <c r="AP54" s="4">
        <f>LN('中国汇率&amp;期货（数据表）'!AP54)</f>
      </c>
      <c r="AQ54" s="4">
        <f>LN('中国汇率&amp;期货（数据表）'!AQ54)</f>
      </c>
      <c r="AR54" s="4">
        <f>LN('中国汇率&amp;期货（数据表）'!AR54)</f>
      </c>
      <c r="AS54" s="4">
        <f>LN('中国汇率&amp;期货（数据表）'!AS54)</f>
      </c>
      <c r="AT54" s="4">
        <f>LN('中国汇率&amp;期货（数据表）'!AT54)</f>
      </c>
      <c r="AU54" s="4">
        <f>LN('中国汇率&amp;期货（数据表）'!AU54)</f>
      </c>
      <c r="AV54" s="4">
        <f>LN('中国汇率&amp;期货（数据表）'!AV54)</f>
      </c>
      <c r="AW54" s="4">
        <f>LN('中国汇率&amp;期货（数据表）'!AW54)</f>
      </c>
      <c r="AX54" s="4">
        <f>LN('中国汇率&amp;期货（数据表）'!AX54)</f>
      </c>
      <c r="AY54" s="4">
        <f>LN('中国汇率&amp;期货（数据表）'!AY54)</f>
      </c>
      <c r="AZ54" s="4">
        <f>LN('中国汇率&amp;期货（数据表）'!AZ54)</f>
      </c>
      <c r="BA54" s="4">
        <f>LN('中国汇率&amp;期货（数据表）'!BA54)</f>
      </c>
      <c r="BB54" s="4">
        <f>LN('中国汇率&amp;期货（数据表）'!BB54)</f>
      </c>
      <c r="BC54" s="4">
        <f>LN('中国汇率&amp;期货（数据表）'!BC54)</f>
      </c>
      <c r="BD54" s="4">
        <f>LN('中国汇率&amp;期货（数据表）'!BD54)</f>
      </c>
      <c r="BE54" s="4">
        <f>LN('中国汇率&amp;期货（数据表）'!BE54)</f>
      </c>
    </row>
    <row x14ac:dyDescent="0.25" r="55" customHeight="1" ht="18.75">
      <c r="A55" s="1"/>
      <c r="B55" s="4">
        <f>LN('中国汇率&amp;期货（数据表）'!B55)</f>
      </c>
      <c r="C55" s="4">
        <f>LN('中国汇率&amp;期货（数据表）'!C55)</f>
      </c>
      <c r="D55" s="4">
        <f>LN('中国汇率&amp;期货（数据表）'!D55)</f>
      </c>
      <c r="E55" s="4">
        <f>LN('中国汇率&amp;期货（数据表）'!E55)</f>
      </c>
      <c r="F55" s="4">
        <f>LN('中国汇率&amp;期货（数据表）'!F55)</f>
      </c>
      <c r="G55" s="4">
        <f>LN('中国汇率&amp;期货（数据表）'!G55)</f>
      </c>
      <c r="H55" s="4">
        <f>LN('中国汇率&amp;期货（数据表）'!H55)</f>
      </c>
      <c r="I55" s="4">
        <f>LN('中国汇率&amp;期货（数据表）'!I55)</f>
      </c>
      <c r="J55" s="4">
        <f>LN('中国汇率&amp;期货（数据表）'!J55)</f>
      </c>
      <c r="K55" s="4">
        <f>LN('中国汇率&amp;期货（数据表）'!K55)</f>
      </c>
      <c r="L55" s="4">
        <f>LN('中国汇率&amp;期货（数据表）'!L55)</f>
      </c>
      <c r="M55" s="4">
        <f>LN('中国汇率&amp;期货（数据表）'!M55)</f>
      </c>
      <c r="N55" s="4">
        <f>LN('中国汇率&amp;期货（数据表）'!N55)</f>
      </c>
      <c r="O55" s="4">
        <f>LN('中国汇率&amp;期货（数据表）'!O55)</f>
      </c>
      <c r="P55" s="4">
        <f>LN('中国汇率&amp;期货（数据表）'!P55)</f>
      </c>
      <c r="Q55" s="4">
        <f>LN('中国汇率&amp;期货（数据表）'!Q55)</f>
      </c>
      <c r="R55" s="4">
        <f>LN('中国汇率&amp;期货（数据表）'!R55)</f>
      </c>
      <c r="S55" s="4">
        <f>LN('中国汇率&amp;期货（数据表）'!S55)</f>
      </c>
      <c r="T55" s="4">
        <f>LN('中国汇率&amp;期货（数据表）'!T55)</f>
      </c>
      <c r="U55" s="4">
        <f>LN('中国汇率&amp;期货（数据表）'!U55)</f>
      </c>
      <c r="V55" s="4">
        <f>LN('中国汇率&amp;期货（数据表）'!V55)</f>
      </c>
      <c r="W55" s="4">
        <f>LN('中国汇率&amp;期货（数据表）'!W55)</f>
      </c>
      <c r="X55" s="4">
        <f>LN('中国汇率&amp;期货（数据表）'!X55)</f>
      </c>
      <c r="Y55" s="4">
        <f>LN('中国汇率&amp;期货（数据表）'!Y55)</f>
      </c>
      <c r="Z55" s="4">
        <f>LN('中国汇率&amp;期货（数据表）'!Z55)</f>
      </c>
      <c r="AA55" s="4">
        <f>LN('中国汇率&amp;期货（数据表）'!AA55)</f>
      </c>
      <c r="AB55" s="4">
        <f>LN('中国汇率&amp;期货（数据表）'!AB55)</f>
      </c>
      <c r="AC55" s="4">
        <f>LN('中国汇率&amp;期货（数据表）'!AC55)</f>
      </c>
      <c r="AD55" s="4">
        <f>LN('中国汇率&amp;期货（数据表）'!AD55)</f>
      </c>
      <c r="AE55" s="4">
        <f>LN('中国汇率&amp;期货（数据表）'!AE55)</f>
      </c>
      <c r="AF55" s="4">
        <f>LN('中国汇率&amp;期货（数据表）'!AF55)</f>
      </c>
      <c r="AG55" s="4">
        <f>LN('中国汇率&amp;期货（数据表）'!AG55)</f>
      </c>
      <c r="AH55" s="4">
        <f>LN('中国汇率&amp;期货（数据表）'!AH55)</f>
      </c>
      <c r="AI55" s="4">
        <f>LN('中国汇率&amp;期货（数据表）'!AI55)</f>
      </c>
      <c r="AJ55" s="4">
        <f>LN('中国汇率&amp;期货（数据表）'!AJ55)</f>
      </c>
      <c r="AK55" s="4">
        <f>LN('中国汇率&amp;期货（数据表）'!AK55)</f>
      </c>
      <c r="AL55" s="4">
        <f>LN('中国汇率&amp;期货（数据表）'!AL55)</f>
      </c>
      <c r="AM55" s="4">
        <f>LN('中国汇率&amp;期货（数据表）'!AM55)</f>
      </c>
      <c r="AN55" s="4">
        <f>LN('中国汇率&amp;期货（数据表）'!AN55)</f>
      </c>
      <c r="AO55" s="4">
        <f>LN('中国汇率&amp;期货（数据表）'!AO55)</f>
      </c>
      <c r="AP55" s="4">
        <f>LN('中国汇率&amp;期货（数据表）'!AP55)</f>
      </c>
      <c r="AQ55" s="4">
        <f>LN('中国汇率&amp;期货（数据表）'!AQ55)</f>
      </c>
      <c r="AR55" s="4">
        <f>LN('中国汇率&amp;期货（数据表）'!AR55)</f>
      </c>
      <c r="AS55" s="4">
        <f>LN('中国汇率&amp;期货（数据表）'!AS55)</f>
      </c>
      <c r="AT55" s="4">
        <f>LN('中国汇率&amp;期货（数据表）'!AT55)</f>
      </c>
      <c r="AU55" s="4">
        <f>LN('中国汇率&amp;期货（数据表）'!AU55)</f>
      </c>
      <c r="AV55" s="4">
        <f>LN('中国汇率&amp;期货（数据表）'!AV55)</f>
      </c>
      <c r="AW55" s="4">
        <f>LN('中国汇率&amp;期货（数据表）'!AW55)</f>
      </c>
      <c r="AX55" s="4">
        <f>LN('中国汇率&amp;期货（数据表）'!AX55)</f>
      </c>
      <c r="AY55" s="4">
        <f>LN('中国汇率&amp;期货（数据表）'!AY55)</f>
      </c>
      <c r="AZ55" s="4">
        <f>LN('中国汇率&amp;期货（数据表）'!AZ55)</f>
      </c>
      <c r="BA55" s="4">
        <f>LN('中国汇率&amp;期货（数据表）'!BA55)</f>
      </c>
      <c r="BB55" s="4">
        <f>LN('中国汇率&amp;期货（数据表）'!BB55)</f>
      </c>
      <c r="BC55" s="4">
        <f>LN('中国汇率&amp;期货（数据表）'!BC55)</f>
      </c>
      <c r="BD55" s="4">
        <f>LN('中国汇率&amp;期货（数据表）'!BD55)</f>
      </c>
      <c r="BE55" s="4">
        <f>LN('中国汇率&amp;期货（数据表）'!BE55)</f>
      </c>
    </row>
    <row x14ac:dyDescent="0.25" r="56" customHeight="1" ht="18.75">
      <c r="A56" s="1"/>
      <c r="B56" s="4">
        <f>LN('中国汇率&amp;期货（数据表）'!B56)</f>
      </c>
      <c r="C56" s="4">
        <f>LN('中国汇率&amp;期货（数据表）'!C56)</f>
      </c>
      <c r="D56" s="4">
        <f>LN('中国汇率&amp;期货（数据表）'!D56)</f>
      </c>
      <c r="E56" s="4">
        <f>LN('中国汇率&amp;期货（数据表）'!E56)</f>
      </c>
      <c r="F56" s="4">
        <f>LN('中国汇率&amp;期货（数据表）'!F56)</f>
      </c>
      <c r="G56" s="4">
        <f>LN('中国汇率&amp;期货（数据表）'!G56)</f>
      </c>
      <c r="H56" s="4">
        <f>LN('中国汇率&amp;期货（数据表）'!H56)</f>
      </c>
      <c r="I56" s="4">
        <f>LN('中国汇率&amp;期货（数据表）'!I56)</f>
      </c>
      <c r="J56" s="4">
        <f>LN('中国汇率&amp;期货（数据表）'!J56)</f>
      </c>
      <c r="K56" s="4">
        <f>LN('中国汇率&amp;期货（数据表）'!K56)</f>
      </c>
      <c r="L56" s="4">
        <f>LN('中国汇率&amp;期货（数据表）'!L56)</f>
      </c>
      <c r="M56" s="4">
        <f>LN('中国汇率&amp;期货（数据表）'!M56)</f>
      </c>
      <c r="N56" s="4">
        <f>LN('中国汇率&amp;期货（数据表）'!N56)</f>
      </c>
      <c r="O56" s="4">
        <f>LN('中国汇率&amp;期货（数据表）'!O56)</f>
      </c>
      <c r="P56" s="4">
        <f>LN('中国汇率&amp;期货（数据表）'!P56)</f>
      </c>
      <c r="Q56" s="4">
        <f>LN('中国汇率&amp;期货（数据表）'!Q56)</f>
      </c>
      <c r="R56" s="4">
        <f>LN('中国汇率&amp;期货（数据表）'!R56)</f>
      </c>
      <c r="S56" s="4">
        <f>LN('中国汇率&amp;期货（数据表）'!S56)</f>
      </c>
      <c r="T56" s="4">
        <f>LN('中国汇率&amp;期货（数据表）'!T56)</f>
      </c>
      <c r="U56" s="4">
        <f>LN('中国汇率&amp;期货（数据表）'!U56)</f>
      </c>
      <c r="V56" s="4">
        <f>LN('中国汇率&amp;期货（数据表）'!V56)</f>
      </c>
      <c r="W56" s="4">
        <f>LN('中国汇率&amp;期货（数据表）'!W56)</f>
      </c>
      <c r="X56" s="4">
        <f>LN('中国汇率&amp;期货（数据表）'!X56)</f>
      </c>
      <c r="Y56" s="4">
        <f>LN('中国汇率&amp;期货（数据表）'!Y56)</f>
      </c>
      <c r="Z56" s="4">
        <f>LN('中国汇率&amp;期货（数据表）'!Z56)</f>
      </c>
      <c r="AA56" s="4">
        <f>LN('中国汇率&amp;期货（数据表）'!AA56)</f>
      </c>
      <c r="AB56" s="4">
        <f>LN('中国汇率&amp;期货（数据表）'!AB56)</f>
      </c>
      <c r="AC56" s="4">
        <f>LN('中国汇率&amp;期货（数据表）'!AC56)</f>
      </c>
      <c r="AD56" s="4">
        <f>LN('中国汇率&amp;期货（数据表）'!AD56)</f>
      </c>
      <c r="AE56" s="4">
        <f>LN('中国汇率&amp;期货（数据表）'!AE56)</f>
      </c>
      <c r="AF56" s="4">
        <f>LN('中国汇率&amp;期货（数据表）'!AF56)</f>
      </c>
      <c r="AG56" s="4">
        <f>LN('中国汇率&amp;期货（数据表）'!AG56)</f>
      </c>
      <c r="AH56" s="4">
        <f>LN('中国汇率&amp;期货（数据表）'!AH56)</f>
      </c>
      <c r="AI56" s="4">
        <f>LN('中国汇率&amp;期货（数据表）'!AI56)</f>
      </c>
      <c r="AJ56" s="4">
        <f>LN('中国汇率&amp;期货（数据表）'!AJ56)</f>
      </c>
      <c r="AK56" s="4">
        <f>LN('中国汇率&amp;期货（数据表）'!AK56)</f>
      </c>
      <c r="AL56" s="4">
        <f>LN('中国汇率&amp;期货（数据表）'!AL56)</f>
      </c>
      <c r="AM56" s="4">
        <f>LN('中国汇率&amp;期货（数据表）'!AM56)</f>
      </c>
      <c r="AN56" s="4">
        <f>LN('中国汇率&amp;期货（数据表）'!AN56)</f>
      </c>
      <c r="AO56" s="4">
        <f>LN('中国汇率&amp;期货（数据表）'!AO56)</f>
      </c>
      <c r="AP56" s="4">
        <f>LN('中国汇率&amp;期货（数据表）'!AP56)</f>
      </c>
      <c r="AQ56" s="4">
        <f>LN('中国汇率&amp;期货（数据表）'!AQ56)</f>
      </c>
      <c r="AR56" s="4">
        <f>LN('中国汇率&amp;期货（数据表）'!AR56)</f>
      </c>
      <c r="AS56" s="4">
        <f>LN('中国汇率&amp;期货（数据表）'!AS56)</f>
      </c>
      <c r="AT56" s="4">
        <f>LN('中国汇率&amp;期货（数据表）'!AT56)</f>
      </c>
      <c r="AU56" s="4">
        <f>LN('中国汇率&amp;期货（数据表）'!AU56)</f>
      </c>
      <c r="AV56" s="4">
        <f>LN('中国汇率&amp;期货（数据表）'!AV56)</f>
      </c>
      <c r="AW56" s="4">
        <f>LN('中国汇率&amp;期货（数据表）'!AW56)</f>
      </c>
      <c r="AX56" s="4">
        <f>LN('中国汇率&amp;期货（数据表）'!AX56)</f>
      </c>
      <c r="AY56" s="4">
        <f>LN('中国汇率&amp;期货（数据表）'!AY56)</f>
      </c>
      <c r="AZ56" s="4">
        <f>LN('中国汇率&amp;期货（数据表）'!AZ56)</f>
      </c>
      <c r="BA56" s="4">
        <f>LN('中国汇率&amp;期货（数据表）'!BA56)</f>
      </c>
      <c r="BB56" s="4">
        <f>LN('中国汇率&amp;期货（数据表）'!BB56)</f>
      </c>
      <c r="BC56" s="4">
        <f>LN('中国汇率&amp;期货（数据表）'!BC56)</f>
      </c>
      <c r="BD56" s="4">
        <f>LN('中国汇率&amp;期货（数据表）'!BD56)</f>
      </c>
      <c r="BE56" s="4">
        <f>LN('中国汇率&amp;期货（数据表）'!BE56)</f>
      </c>
    </row>
    <row x14ac:dyDescent="0.25" r="57" customHeight="1" ht="18.75">
      <c r="A57" s="1"/>
      <c r="B57" s="4">
        <f>LN('中国汇率&amp;期货（数据表）'!B57)</f>
      </c>
      <c r="C57" s="4">
        <f>LN('中国汇率&amp;期货（数据表）'!C57)</f>
      </c>
      <c r="D57" s="4">
        <f>LN('中国汇率&amp;期货（数据表）'!D57)</f>
      </c>
      <c r="E57" s="4">
        <f>LN('中国汇率&amp;期货（数据表）'!E57)</f>
      </c>
      <c r="F57" s="4">
        <f>LN('中国汇率&amp;期货（数据表）'!F57)</f>
      </c>
      <c r="G57" s="4">
        <f>LN('中国汇率&amp;期货（数据表）'!G57)</f>
      </c>
      <c r="H57" s="4">
        <f>LN('中国汇率&amp;期货（数据表）'!H57)</f>
      </c>
      <c r="I57" s="4">
        <f>LN('中国汇率&amp;期货（数据表）'!I57)</f>
      </c>
      <c r="J57" s="4">
        <f>LN('中国汇率&amp;期货（数据表）'!J57)</f>
      </c>
      <c r="K57" s="4">
        <f>LN('中国汇率&amp;期货（数据表）'!K57)</f>
      </c>
      <c r="L57" s="4">
        <f>LN('中国汇率&amp;期货（数据表）'!L57)</f>
      </c>
      <c r="M57" s="4">
        <f>LN('中国汇率&amp;期货（数据表）'!M57)</f>
      </c>
      <c r="N57" s="4">
        <f>LN('中国汇率&amp;期货（数据表）'!N57)</f>
      </c>
      <c r="O57" s="4">
        <f>LN('中国汇率&amp;期货（数据表）'!O57)</f>
      </c>
      <c r="P57" s="4">
        <f>LN('中国汇率&amp;期货（数据表）'!P57)</f>
      </c>
      <c r="Q57" s="4">
        <f>LN('中国汇率&amp;期货（数据表）'!Q57)</f>
      </c>
      <c r="R57" s="4">
        <f>LN('中国汇率&amp;期货（数据表）'!R57)</f>
      </c>
      <c r="S57" s="4">
        <f>LN('中国汇率&amp;期货（数据表）'!S57)</f>
      </c>
      <c r="T57" s="4">
        <f>LN('中国汇率&amp;期货（数据表）'!T57)</f>
      </c>
      <c r="U57" s="4">
        <f>LN('中国汇率&amp;期货（数据表）'!U57)</f>
      </c>
      <c r="V57" s="4">
        <f>LN('中国汇率&amp;期货（数据表）'!V57)</f>
      </c>
      <c r="W57" s="4">
        <f>LN('中国汇率&amp;期货（数据表）'!W57)</f>
      </c>
      <c r="X57" s="4">
        <f>LN('中国汇率&amp;期货（数据表）'!X57)</f>
      </c>
      <c r="Y57" s="4">
        <f>LN('中国汇率&amp;期货（数据表）'!Y57)</f>
      </c>
      <c r="Z57" s="4">
        <f>LN('中国汇率&amp;期货（数据表）'!Z57)</f>
      </c>
      <c r="AA57" s="4">
        <f>LN('中国汇率&amp;期货（数据表）'!AA57)</f>
      </c>
      <c r="AB57" s="4">
        <f>LN('中国汇率&amp;期货（数据表）'!AB57)</f>
      </c>
      <c r="AC57" s="4">
        <f>LN('中国汇率&amp;期货（数据表）'!AC57)</f>
      </c>
      <c r="AD57" s="4">
        <f>LN('中国汇率&amp;期货（数据表）'!AD57)</f>
      </c>
      <c r="AE57" s="4">
        <f>LN('中国汇率&amp;期货（数据表）'!AE57)</f>
      </c>
      <c r="AF57" s="4">
        <f>LN('中国汇率&amp;期货（数据表）'!AF57)</f>
      </c>
      <c r="AG57" s="4">
        <f>LN('中国汇率&amp;期货（数据表）'!AG57)</f>
      </c>
      <c r="AH57" s="4">
        <f>LN('中国汇率&amp;期货（数据表）'!AH57)</f>
      </c>
      <c r="AI57" s="4">
        <f>LN('中国汇率&amp;期货（数据表）'!AI57)</f>
      </c>
      <c r="AJ57" s="4">
        <f>LN('中国汇率&amp;期货（数据表）'!AJ57)</f>
      </c>
      <c r="AK57" s="4">
        <f>LN('中国汇率&amp;期货（数据表）'!AK57)</f>
      </c>
      <c r="AL57" s="4">
        <f>LN('中国汇率&amp;期货（数据表）'!AL57)</f>
      </c>
      <c r="AM57" s="4">
        <f>LN('中国汇率&amp;期货（数据表）'!AM57)</f>
      </c>
      <c r="AN57" s="4">
        <f>LN('中国汇率&amp;期货（数据表）'!AN57)</f>
      </c>
      <c r="AO57" s="4">
        <f>LN('中国汇率&amp;期货（数据表）'!AO57)</f>
      </c>
      <c r="AP57" s="4">
        <f>LN('中国汇率&amp;期货（数据表）'!AP57)</f>
      </c>
      <c r="AQ57" s="4">
        <f>LN('中国汇率&amp;期货（数据表）'!AQ57)</f>
      </c>
      <c r="AR57" s="4">
        <f>LN('中国汇率&amp;期货（数据表）'!AR57)</f>
      </c>
      <c r="AS57" s="4">
        <f>LN('中国汇率&amp;期货（数据表）'!AS57)</f>
      </c>
      <c r="AT57" s="4">
        <f>LN('中国汇率&amp;期货（数据表）'!AT57)</f>
      </c>
      <c r="AU57" s="4">
        <f>LN('中国汇率&amp;期货（数据表）'!AU57)</f>
      </c>
      <c r="AV57" s="4">
        <f>LN('中国汇率&amp;期货（数据表）'!AV57)</f>
      </c>
      <c r="AW57" s="4">
        <f>LN('中国汇率&amp;期货（数据表）'!AW57)</f>
      </c>
      <c r="AX57" s="4">
        <f>LN('中国汇率&amp;期货（数据表）'!AX57)</f>
      </c>
      <c r="AY57" s="4">
        <f>LN('中国汇率&amp;期货（数据表）'!AY57)</f>
      </c>
      <c r="AZ57" s="4">
        <f>LN('中国汇率&amp;期货（数据表）'!AZ57)</f>
      </c>
      <c r="BA57" s="4">
        <f>LN('中国汇率&amp;期货（数据表）'!BA57)</f>
      </c>
      <c r="BB57" s="4">
        <f>LN('中国汇率&amp;期货（数据表）'!BB57)</f>
      </c>
      <c r="BC57" s="4">
        <f>LN('中国汇率&amp;期货（数据表）'!BC57)</f>
      </c>
      <c r="BD57" s="4">
        <f>LN('中国汇率&amp;期货（数据表）'!BD57)</f>
      </c>
      <c r="BE57" s="4">
        <f>LN('中国汇率&amp;期货（数据表）'!BE57)</f>
      </c>
    </row>
    <row x14ac:dyDescent="0.25" r="58" customHeight="1" ht="18.75">
      <c r="A58" s="1"/>
      <c r="B58" s="4">
        <f>LN('中国汇率&amp;期货（数据表）'!B58)</f>
      </c>
      <c r="C58" s="4">
        <f>LN('中国汇率&amp;期货（数据表）'!C58)</f>
      </c>
      <c r="D58" s="4">
        <f>LN('中国汇率&amp;期货（数据表）'!D58)</f>
      </c>
      <c r="E58" s="4">
        <f>LN('中国汇率&amp;期货（数据表）'!E58)</f>
      </c>
      <c r="F58" s="4">
        <f>LN('中国汇率&amp;期货（数据表）'!F58)</f>
      </c>
      <c r="G58" s="4">
        <f>LN('中国汇率&amp;期货（数据表）'!G58)</f>
      </c>
      <c r="H58" s="4">
        <f>LN('中国汇率&amp;期货（数据表）'!H58)</f>
      </c>
      <c r="I58" s="4">
        <f>LN('中国汇率&amp;期货（数据表）'!I58)</f>
      </c>
      <c r="J58" s="4">
        <f>LN('中国汇率&amp;期货（数据表）'!J58)</f>
      </c>
      <c r="K58" s="4">
        <f>LN('中国汇率&amp;期货（数据表）'!K58)</f>
      </c>
      <c r="L58" s="4">
        <f>LN('中国汇率&amp;期货（数据表）'!L58)</f>
      </c>
      <c r="M58" s="4">
        <f>LN('中国汇率&amp;期货（数据表）'!M58)</f>
      </c>
      <c r="N58" s="4">
        <f>LN('中国汇率&amp;期货（数据表）'!N58)</f>
      </c>
      <c r="O58" s="4">
        <f>LN('中国汇率&amp;期货（数据表）'!O58)</f>
      </c>
      <c r="P58" s="4">
        <f>LN('中国汇率&amp;期货（数据表）'!P58)</f>
      </c>
      <c r="Q58" s="4">
        <f>LN('中国汇率&amp;期货（数据表）'!Q58)</f>
      </c>
      <c r="R58" s="4">
        <f>LN('中国汇率&amp;期货（数据表）'!R58)</f>
      </c>
      <c r="S58" s="4">
        <f>LN('中国汇率&amp;期货（数据表）'!S58)</f>
      </c>
      <c r="T58" s="4">
        <f>LN('中国汇率&amp;期货（数据表）'!T58)</f>
      </c>
      <c r="U58" s="4">
        <f>LN('中国汇率&amp;期货（数据表）'!U58)</f>
      </c>
      <c r="V58" s="4">
        <f>LN('中国汇率&amp;期货（数据表）'!V58)</f>
      </c>
      <c r="W58" s="4">
        <f>LN('中国汇率&amp;期货（数据表）'!W58)</f>
      </c>
      <c r="X58" s="4">
        <f>LN('中国汇率&amp;期货（数据表）'!X58)</f>
      </c>
      <c r="Y58" s="4">
        <f>LN('中国汇率&amp;期货（数据表）'!Y58)</f>
      </c>
      <c r="Z58" s="4">
        <f>LN('中国汇率&amp;期货（数据表）'!Z58)</f>
      </c>
      <c r="AA58" s="4">
        <f>LN('中国汇率&amp;期货（数据表）'!AA58)</f>
      </c>
      <c r="AB58" s="4">
        <f>LN('中国汇率&amp;期货（数据表）'!AB58)</f>
      </c>
      <c r="AC58" s="4">
        <f>LN('中国汇率&amp;期货（数据表）'!AC58)</f>
      </c>
      <c r="AD58" s="4">
        <f>LN('中国汇率&amp;期货（数据表）'!AD58)</f>
      </c>
      <c r="AE58" s="4">
        <f>LN('中国汇率&amp;期货（数据表）'!AE58)</f>
      </c>
      <c r="AF58" s="4">
        <f>LN('中国汇率&amp;期货（数据表）'!AF58)</f>
      </c>
      <c r="AG58" s="4">
        <f>LN('中国汇率&amp;期货（数据表）'!AG58)</f>
      </c>
      <c r="AH58" s="4">
        <f>LN('中国汇率&amp;期货（数据表）'!AH58)</f>
      </c>
      <c r="AI58" s="4">
        <f>LN('中国汇率&amp;期货（数据表）'!AI58)</f>
      </c>
      <c r="AJ58" s="4">
        <f>LN('中国汇率&amp;期货（数据表）'!AJ58)</f>
      </c>
      <c r="AK58" s="4">
        <f>LN('中国汇率&amp;期货（数据表）'!AK58)</f>
      </c>
      <c r="AL58" s="4">
        <f>LN('中国汇率&amp;期货（数据表）'!AL58)</f>
      </c>
      <c r="AM58" s="4">
        <f>LN('中国汇率&amp;期货（数据表）'!AM58)</f>
      </c>
      <c r="AN58" s="4">
        <f>LN('中国汇率&amp;期货（数据表）'!AN58)</f>
      </c>
      <c r="AO58" s="4">
        <f>LN('中国汇率&amp;期货（数据表）'!AO58)</f>
      </c>
      <c r="AP58" s="4">
        <f>LN('中国汇率&amp;期货（数据表）'!AP58)</f>
      </c>
      <c r="AQ58" s="4">
        <f>LN('中国汇率&amp;期货（数据表）'!AQ58)</f>
      </c>
      <c r="AR58" s="4">
        <f>LN('中国汇率&amp;期货（数据表）'!AR58)</f>
      </c>
      <c r="AS58" s="4">
        <f>LN('中国汇率&amp;期货（数据表）'!AS58)</f>
      </c>
      <c r="AT58" s="4">
        <f>LN('中国汇率&amp;期货（数据表）'!AT58)</f>
      </c>
      <c r="AU58" s="4">
        <f>LN('中国汇率&amp;期货（数据表）'!AU58)</f>
      </c>
      <c r="AV58" s="4">
        <f>LN('中国汇率&amp;期货（数据表）'!AV58)</f>
      </c>
      <c r="AW58" s="4">
        <f>LN('中国汇率&amp;期货（数据表）'!AW58)</f>
      </c>
      <c r="AX58" s="4">
        <f>LN('中国汇率&amp;期货（数据表）'!AX58)</f>
      </c>
      <c r="AY58" s="4">
        <f>LN('中国汇率&amp;期货（数据表）'!AY58)</f>
      </c>
      <c r="AZ58" s="4">
        <f>LN('中国汇率&amp;期货（数据表）'!AZ58)</f>
      </c>
      <c r="BA58" s="4">
        <f>LN('中国汇率&amp;期货（数据表）'!BA58)</f>
      </c>
      <c r="BB58" s="4">
        <f>LN('中国汇率&amp;期货（数据表）'!BB58)</f>
      </c>
      <c r="BC58" s="4">
        <f>LN('中国汇率&amp;期货（数据表）'!BC58)</f>
      </c>
      <c r="BD58" s="4">
        <f>LN('中国汇率&amp;期货（数据表）'!BD58)</f>
      </c>
      <c r="BE58" s="4">
        <f>LN('中国汇率&amp;期货（数据表）'!BE58)</f>
      </c>
    </row>
    <row x14ac:dyDescent="0.25" r="59" customHeight="1" ht="18.75">
      <c r="A59" s="1"/>
      <c r="B59" s="4">
        <f>LN('中国汇率&amp;期货（数据表）'!B59)</f>
      </c>
      <c r="C59" s="4">
        <f>LN('中国汇率&amp;期货（数据表）'!C59)</f>
      </c>
      <c r="D59" s="4">
        <f>LN('中国汇率&amp;期货（数据表）'!D59)</f>
      </c>
      <c r="E59" s="4">
        <f>LN('中国汇率&amp;期货（数据表）'!E59)</f>
      </c>
      <c r="F59" s="4">
        <f>LN('中国汇率&amp;期货（数据表）'!F59)</f>
      </c>
      <c r="G59" s="4">
        <f>LN('中国汇率&amp;期货（数据表）'!G59)</f>
      </c>
      <c r="H59" s="4">
        <f>LN('中国汇率&amp;期货（数据表）'!H59)</f>
      </c>
      <c r="I59" s="4">
        <f>LN('中国汇率&amp;期货（数据表）'!I59)</f>
      </c>
      <c r="J59" s="4">
        <f>LN('中国汇率&amp;期货（数据表）'!J59)</f>
      </c>
      <c r="K59" s="4">
        <f>LN('中国汇率&amp;期货（数据表）'!K59)</f>
      </c>
      <c r="L59" s="4">
        <f>LN('中国汇率&amp;期货（数据表）'!L59)</f>
      </c>
      <c r="M59" s="4">
        <f>LN('中国汇率&amp;期货（数据表）'!M59)</f>
      </c>
      <c r="N59" s="4">
        <f>LN('中国汇率&amp;期货（数据表）'!N59)</f>
      </c>
      <c r="O59" s="4">
        <f>LN('中国汇率&amp;期货（数据表）'!O59)</f>
      </c>
      <c r="P59" s="4">
        <f>LN('中国汇率&amp;期货（数据表）'!P59)</f>
      </c>
      <c r="Q59" s="4">
        <f>LN('中国汇率&amp;期货（数据表）'!Q59)</f>
      </c>
      <c r="R59" s="4">
        <f>LN('中国汇率&amp;期货（数据表）'!R59)</f>
      </c>
      <c r="S59" s="4">
        <f>LN('中国汇率&amp;期货（数据表）'!S59)</f>
      </c>
      <c r="T59" s="4">
        <f>LN('中国汇率&amp;期货（数据表）'!T59)</f>
      </c>
      <c r="U59" s="4">
        <f>LN('中国汇率&amp;期货（数据表）'!U59)</f>
      </c>
      <c r="V59" s="4">
        <f>LN('中国汇率&amp;期货（数据表）'!V59)</f>
      </c>
      <c r="W59" s="4">
        <f>LN('中国汇率&amp;期货（数据表）'!W59)</f>
      </c>
      <c r="X59" s="4">
        <f>LN('中国汇率&amp;期货（数据表）'!X59)</f>
      </c>
      <c r="Y59" s="4">
        <f>LN('中国汇率&amp;期货（数据表）'!Y59)</f>
      </c>
      <c r="Z59" s="4">
        <f>LN('中国汇率&amp;期货（数据表）'!Z59)</f>
      </c>
      <c r="AA59" s="4">
        <f>LN('中国汇率&amp;期货（数据表）'!AA59)</f>
      </c>
      <c r="AB59" s="4">
        <f>LN('中国汇率&amp;期货（数据表）'!AB59)</f>
      </c>
      <c r="AC59" s="4">
        <f>LN('中国汇率&amp;期货（数据表）'!AC59)</f>
      </c>
      <c r="AD59" s="4">
        <f>LN('中国汇率&amp;期货（数据表）'!AD59)</f>
      </c>
      <c r="AE59" s="4">
        <f>LN('中国汇率&amp;期货（数据表）'!AE59)</f>
      </c>
      <c r="AF59" s="4">
        <f>LN('中国汇率&amp;期货（数据表）'!AF59)</f>
      </c>
      <c r="AG59" s="4">
        <f>LN('中国汇率&amp;期货（数据表）'!AG59)</f>
      </c>
      <c r="AH59" s="4">
        <f>LN('中国汇率&amp;期货（数据表）'!AH59)</f>
      </c>
      <c r="AI59" s="4">
        <f>LN('中国汇率&amp;期货（数据表）'!AI59)</f>
      </c>
      <c r="AJ59" s="4">
        <f>LN('中国汇率&amp;期货（数据表）'!AJ59)</f>
      </c>
      <c r="AK59" s="4">
        <f>LN('中国汇率&amp;期货（数据表）'!AK59)</f>
      </c>
      <c r="AL59" s="4">
        <f>LN('中国汇率&amp;期货（数据表）'!AL59)</f>
      </c>
      <c r="AM59" s="4">
        <f>LN('中国汇率&amp;期货（数据表）'!AM59)</f>
      </c>
      <c r="AN59" s="4">
        <f>LN('中国汇率&amp;期货（数据表）'!AN59)</f>
      </c>
      <c r="AO59" s="4">
        <f>LN('中国汇率&amp;期货（数据表）'!AO59)</f>
      </c>
      <c r="AP59" s="4">
        <f>LN('中国汇率&amp;期货（数据表）'!AP59)</f>
      </c>
      <c r="AQ59" s="4">
        <f>LN('中国汇率&amp;期货（数据表）'!AQ59)</f>
      </c>
      <c r="AR59" s="4">
        <f>LN('中国汇率&amp;期货（数据表）'!AR59)</f>
      </c>
      <c r="AS59" s="4">
        <f>LN('中国汇率&amp;期货（数据表）'!AS59)</f>
      </c>
      <c r="AT59" s="4">
        <f>LN('中国汇率&amp;期货（数据表）'!AT59)</f>
      </c>
      <c r="AU59" s="4">
        <f>LN('中国汇率&amp;期货（数据表）'!AU59)</f>
      </c>
      <c r="AV59" s="4">
        <f>LN('中国汇率&amp;期货（数据表）'!AV59)</f>
      </c>
      <c r="AW59" s="4">
        <f>LN('中国汇率&amp;期货（数据表）'!AW59)</f>
      </c>
      <c r="AX59" s="4">
        <f>LN('中国汇率&amp;期货（数据表）'!AX59)</f>
      </c>
      <c r="AY59" s="4">
        <f>LN('中国汇率&amp;期货（数据表）'!AY59)</f>
      </c>
      <c r="AZ59" s="4">
        <f>LN('中国汇率&amp;期货（数据表）'!AZ59)</f>
      </c>
      <c r="BA59" s="4">
        <f>LN('中国汇率&amp;期货（数据表）'!BA59)</f>
      </c>
      <c r="BB59" s="4">
        <f>LN('中国汇率&amp;期货（数据表）'!BB59)</f>
      </c>
      <c r="BC59" s="4">
        <f>LN('中国汇率&amp;期货（数据表）'!BC59)</f>
      </c>
      <c r="BD59" s="4">
        <f>LN('中国汇率&amp;期货（数据表）'!BD59)</f>
      </c>
      <c r="BE59" s="4">
        <f>LN('中国汇率&amp;期货（数据表）'!BE59)</f>
      </c>
    </row>
    <row x14ac:dyDescent="0.25" r="60" customHeight="1" ht="18.75">
      <c r="A60" s="1"/>
      <c r="B60" s="4">
        <f>LN('中国汇率&amp;期货（数据表）'!B60)</f>
      </c>
      <c r="C60" s="4">
        <f>LN('中国汇率&amp;期货（数据表）'!C60)</f>
      </c>
      <c r="D60" s="4">
        <f>LN('中国汇率&amp;期货（数据表）'!D60)</f>
      </c>
      <c r="E60" s="4">
        <f>LN('中国汇率&amp;期货（数据表）'!E60)</f>
      </c>
      <c r="F60" s="4">
        <f>LN('中国汇率&amp;期货（数据表）'!F60)</f>
      </c>
      <c r="G60" s="4">
        <f>LN('中国汇率&amp;期货（数据表）'!G60)</f>
      </c>
      <c r="H60" s="4">
        <f>LN('中国汇率&amp;期货（数据表）'!H60)</f>
      </c>
      <c r="I60" s="4">
        <f>LN('中国汇率&amp;期货（数据表）'!I60)</f>
      </c>
      <c r="J60" s="4">
        <f>LN('中国汇率&amp;期货（数据表）'!J60)</f>
      </c>
      <c r="K60" s="4">
        <f>LN('中国汇率&amp;期货（数据表）'!K60)</f>
      </c>
      <c r="L60" s="4">
        <f>LN('中国汇率&amp;期货（数据表）'!L60)</f>
      </c>
      <c r="M60" s="4">
        <f>LN('中国汇率&amp;期货（数据表）'!M60)</f>
      </c>
      <c r="N60" s="4">
        <f>LN('中国汇率&amp;期货（数据表）'!N60)</f>
      </c>
      <c r="O60" s="4">
        <f>LN('中国汇率&amp;期货（数据表）'!O60)</f>
      </c>
      <c r="P60" s="4">
        <f>LN('中国汇率&amp;期货（数据表）'!P60)</f>
      </c>
      <c r="Q60" s="4">
        <f>LN('中国汇率&amp;期货（数据表）'!Q60)</f>
      </c>
      <c r="R60" s="4">
        <f>LN('中国汇率&amp;期货（数据表）'!R60)</f>
      </c>
      <c r="S60" s="4">
        <f>LN('中国汇率&amp;期货（数据表）'!S60)</f>
      </c>
      <c r="T60" s="4">
        <f>LN('中国汇率&amp;期货（数据表）'!T60)</f>
      </c>
      <c r="U60" s="4">
        <f>LN('中国汇率&amp;期货（数据表）'!U60)</f>
      </c>
      <c r="V60" s="4">
        <f>LN('中国汇率&amp;期货（数据表）'!V60)</f>
      </c>
      <c r="W60" s="4">
        <f>LN('中国汇率&amp;期货（数据表）'!W60)</f>
      </c>
      <c r="X60" s="4">
        <f>LN('中国汇率&amp;期货（数据表）'!X60)</f>
      </c>
      <c r="Y60" s="4">
        <f>LN('中国汇率&amp;期货（数据表）'!Y60)</f>
      </c>
      <c r="Z60" s="4">
        <f>LN('中国汇率&amp;期货（数据表）'!Z60)</f>
      </c>
      <c r="AA60" s="4">
        <f>LN('中国汇率&amp;期货（数据表）'!AA60)</f>
      </c>
      <c r="AB60" s="4">
        <f>LN('中国汇率&amp;期货（数据表）'!AB60)</f>
      </c>
      <c r="AC60" s="4">
        <f>LN('中国汇率&amp;期货（数据表）'!AC60)</f>
      </c>
      <c r="AD60" s="4">
        <f>LN('中国汇率&amp;期货（数据表）'!AD60)</f>
      </c>
      <c r="AE60" s="4">
        <f>LN('中国汇率&amp;期货（数据表）'!AE60)</f>
      </c>
      <c r="AF60" s="4">
        <f>LN('中国汇率&amp;期货（数据表）'!AF60)</f>
      </c>
      <c r="AG60" s="4">
        <f>LN('中国汇率&amp;期货（数据表）'!AG60)</f>
      </c>
      <c r="AH60" s="4">
        <f>LN('中国汇率&amp;期货（数据表）'!AH60)</f>
      </c>
      <c r="AI60" s="4">
        <f>LN('中国汇率&amp;期货（数据表）'!AI60)</f>
      </c>
      <c r="AJ60" s="4">
        <f>LN('中国汇率&amp;期货（数据表）'!AJ60)</f>
      </c>
      <c r="AK60" s="4">
        <f>LN('中国汇率&amp;期货（数据表）'!AK60)</f>
      </c>
      <c r="AL60" s="4">
        <f>LN('中国汇率&amp;期货（数据表）'!AL60)</f>
      </c>
      <c r="AM60" s="4">
        <f>LN('中国汇率&amp;期货（数据表）'!AM60)</f>
      </c>
      <c r="AN60" s="4">
        <f>LN('中国汇率&amp;期货（数据表）'!AN60)</f>
      </c>
      <c r="AO60" s="4">
        <f>LN('中国汇率&amp;期货（数据表）'!AO60)</f>
      </c>
      <c r="AP60" s="4">
        <f>LN('中国汇率&amp;期货（数据表）'!AP60)</f>
      </c>
      <c r="AQ60" s="4">
        <f>LN('中国汇率&amp;期货（数据表）'!AQ60)</f>
      </c>
      <c r="AR60" s="4">
        <f>LN('中国汇率&amp;期货（数据表）'!AR60)</f>
      </c>
      <c r="AS60" s="4">
        <f>LN('中国汇率&amp;期货（数据表）'!AS60)</f>
      </c>
      <c r="AT60" s="4">
        <f>LN('中国汇率&amp;期货（数据表）'!AT60)</f>
      </c>
      <c r="AU60" s="4">
        <f>LN('中国汇率&amp;期货（数据表）'!AU60)</f>
      </c>
      <c r="AV60" s="4">
        <f>LN('中国汇率&amp;期货（数据表）'!AV60)</f>
      </c>
      <c r="AW60" s="4">
        <f>LN('中国汇率&amp;期货（数据表）'!AW60)</f>
      </c>
      <c r="AX60" s="4">
        <f>LN('中国汇率&amp;期货（数据表）'!AX60)</f>
      </c>
      <c r="AY60" s="4">
        <f>LN('中国汇率&amp;期货（数据表）'!AY60)</f>
      </c>
      <c r="AZ60" s="4">
        <f>LN('中国汇率&amp;期货（数据表）'!AZ60)</f>
      </c>
      <c r="BA60" s="4">
        <f>LN('中国汇率&amp;期货（数据表）'!BA60)</f>
      </c>
      <c r="BB60" s="4">
        <f>LN('中国汇率&amp;期货（数据表）'!BB60)</f>
      </c>
      <c r="BC60" s="4">
        <f>LN('中国汇率&amp;期货（数据表）'!BC60)</f>
      </c>
      <c r="BD60" s="4">
        <f>LN('中国汇率&amp;期货（数据表）'!BD60)</f>
      </c>
      <c r="BE60" s="4">
        <f>LN('中国汇率&amp;期货（数据表）'!BE60)</f>
      </c>
    </row>
    <row x14ac:dyDescent="0.25" r="61" customHeight="1" ht="18.75">
      <c r="A61" s="1"/>
      <c r="B61" s="4">
        <f>LN('中国汇率&amp;期货（数据表）'!B61)</f>
      </c>
      <c r="C61" s="4">
        <f>LN('中国汇率&amp;期货（数据表）'!C61)</f>
      </c>
      <c r="D61" s="4">
        <f>LN('中国汇率&amp;期货（数据表）'!D61)</f>
      </c>
      <c r="E61" s="4">
        <f>LN('中国汇率&amp;期货（数据表）'!E61)</f>
      </c>
      <c r="F61" s="4">
        <f>LN('中国汇率&amp;期货（数据表）'!F61)</f>
      </c>
      <c r="G61" s="4">
        <f>LN('中国汇率&amp;期货（数据表）'!G61)</f>
      </c>
      <c r="H61" s="4">
        <f>LN('中国汇率&amp;期货（数据表）'!H61)</f>
      </c>
      <c r="I61" s="4">
        <f>LN('中国汇率&amp;期货（数据表）'!I61)</f>
      </c>
      <c r="J61" s="4">
        <f>LN('中国汇率&amp;期货（数据表）'!J61)</f>
      </c>
      <c r="K61" s="4">
        <f>LN('中国汇率&amp;期货（数据表）'!K61)</f>
      </c>
      <c r="L61" s="4">
        <f>LN('中国汇率&amp;期货（数据表）'!L61)</f>
      </c>
      <c r="M61" s="4">
        <f>LN('中国汇率&amp;期货（数据表）'!M61)</f>
      </c>
      <c r="N61" s="4">
        <f>LN('中国汇率&amp;期货（数据表）'!N61)</f>
      </c>
      <c r="O61" s="4">
        <f>LN('中国汇率&amp;期货（数据表）'!O61)</f>
      </c>
      <c r="P61" s="4">
        <f>LN('中国汇率&amp;期货（数据表）'!P61)</f>
      </c>
      <c r="Q61" s="4">
        <f>LN('中国汇率&amp;期货（数据表）'!Q61)</f>
      </c>
      <c r="R61" s="4">
        <f>LN('中国汇率&amp;期货（数据表）'!R61)</f>
      </c>
      <c r="S61" s="4">
        <f>LN('中国汇率&amp;期货（数据表）'!S61)</f>
      </c>
      <c r="T61" s="4">
        <f>LN('中国汇率&amp;期货（数据表）'!T61)</f>
      </c>
      <c r="U61" s="4">
        <f>LN('中国汇率&amp;期货（数据表）'!U61)</f>
      </c>
      <c r="V61" s="4">
        <f>LN('中国汇率&amp;期货（数据表）'!V61)</f>
      </c>
      <c r="W61" s="4">
        <f>LN('中国汇率&amp;期货（数据表）'!W61)</f>
      </c>
      <c r="X61" s="4">
        <f>LN('中国汇率&amp;期货（数据表）'!X61)</f>
      </c>
      <c r="Y61" s="4">
        <f>LN('中国汇率&amp;期货（数据表）'!Y61)</f>
      </c>
      <c r="Z61" s="4">
        <f>LN('中国汇率&amp;期货（数据表）'!Z61)</f>
      </c>
      <c r="AA61" s="4">
        <f>LN('中国汇率&amp;期货（数据表）'!AA61)</f>
      </c>
      <c r="AB61" s="4">
        <f>LN('中国汇率&amp;期货（数据表）'!AB61)</f>
      </c>
      <c r="AC61" s="4">
        <f>LN('中国汇率&amp;期货（数据表）'!AC61)</f>
      </c>
      <c r="AD61" s="4">
        <f>LN('中国汇率&amp;期货（数据表）'!AD61)</f>
      </c>
      <c r="AE61" s="4">
        <f>LN('中国汇率&amp;期货（数据表）'!AE61)</f>
      </c>
      <c r="AF61" s="4">
        <f>LN('中国汇率&amp;期货（数据表）'!AF61)</f>
      </c>
      <c r="AG61" s="4">
        <f>LN('中国汇率&amp;期货（数据表）'!AG61)</f>
      </c>
      <c r="AH61" s="4">
        <f>LN('中国汇率&amp;期货（数据表）'!AH61)</f>
      </c>
      <c r="AI61" s="4">
        <f>LN('中国汇率&amp;期货（数据表）'!AI61)</f>
      </c>
      <c r="AJ61" s="4">
        <f>LN('中国汇率&amp;期货（数据表）'!AJ61)</f>
      </c>
      <c r="AK61" s="4">
        <f>LN('中国汇率&amp;期货（数据表）'!AK61)</f>
      </c>
      <c r="AL61" s="4">
        <f>LN('中国汇率&amp;期货（数据表）'!AL61)</f>
      </c>
      <c r="AM61" s="4">
        <f>LN('中国汇率&amp;期货（数据表）'!AM61)</f>
      </c>
      <c r="AN61" s="4">
        <f>LN('中国汇率&amp;期货（数据表）'!AN61)</f>
      </c>
      <c r="AO61" s="4">
        <f>LN('中国汇率&amp;期货（数据表）'!AO61)</f>
      </c>
      <c r="AP61" s="4">
        <f>LN('中国汇率&amp;期货（数据表）'!AP61)</f>
      </c>
      <c r="AQ61" s="4">
        <f>LN('中国汇率&amp;期货（数据表）'!AQ61)</f>
      </c>
      <c r="AR61" s="4">
        <f>LN('中国汇率&amp;期货（数据表）'!AR61)</f>
      </c>
      <c r="AS61" s="4">
        <f>LN('中国汇率&amp;期货（数据表）'!AS61)</f>
      </c>
      <c r="AT61" s="4">
        <f>LN('中国汇率&amp;期货（数据表）'!AT61)</f>
      </c>
      <c r="AU61" s="4">
        <f>LN('中国汇率&amp;期货（数据表）'!AU61)</f>
      </c>
      <c r="AV61" s="4">
        <f>LN('中国汇率&amp;期货（数据表）'!AV61)</f>
      </c>
      <c r="AW61" s="4">
        <f>LN('中国汇率&amp;期货（数据表）'!AW61)</f>
      </c>
      <c r="AX61" s="4">
        <f>LN('中国汇率&amp;期货（数据表）'!AX61)</f>
      </c>
      <c r="AY61" s="4">
        <f>LN('中国汇率&amp;期货（数据表）'!AY61)</f>
      </c>
      <c r="AZ61" s="4">
        <f>LN('中国汇率&amp;期货（数据表）'!AZ61)</f>
      </c>
      <c r="BA61" s="4">
        <f>LN('中国汇率&amp;期货（数据表）'!BA61)</f>
      </c>
      <c r="BB61" s="4">
        <f>LN('中国汇率&amp;期货（数据表）'!BB61)</f>
      </c>
      <c r="BC61" s="4">
        <f>LN('中国汇率&amp;期货（数据表）'!BC61)</f>
      </c>
      <c r="BD61" s="4">
        <f>LN('中国汇率&amp;期货（数据表）'!BD61)</f>
      </c>
      <c r="BE61" s="4">
        <f>LN('中国汇率&amp;期货（数据表）'!BE61)</f>
      </c>
    </row>
    <row x14ac:dyDescent="0.25" r="62" customHeight="1" ht="18.75">
      <c r="A62" s="1"/>
      <c r="B62" s="4">
        <f>LN('中国汇率&amp;期货（数据表）'!B62)</f>
      </c>
      <c r="C62" s="4">
        <f>LN('中国汇率&amp;期货（数据表）'!C62)</f>
      </c>
      <c r="D62" s="4">
        <f>LN('中国汇率&amp;期货（数据表）'!D62)</f>
      </c>
      <c r="E62" s="4">
        <f>LN('中国汇率&amp;期货（数据表）'!E62)</f>
      </c>
      <c r="F62" s="4">
        <f>LN('中国汇率&amp;期货（数据表）'!F62)</f>
      </c>
      <c r="G62" s="4">
        <f>LN('中国汇率&amp;期货（数据表）'!G62)</f>
      </c>
      <c r="H62" s="4">
        <f>LN('中国汇率&amp;期货（数据表）'!H62)</f>
      </c>
      <c r="I62" s="4">
        <f>LN('中国汇率&amp;期货（数据表）'!I62)</f>
      </c>
      <c r="J62" s="4">
        <f>LN('中国汇率&amp;期货（数据表）'!J62)</f>
      </c>
      <c r="K62" s="4">
        <f>LN('中国汇率&amp;期货（数据表）'!K62)</f>
      </c>
      <c r="L62" s="4">
        <f>LN('中国汇率&amp;期货（数据表）'!L62)</f>
      </c>
      <c r="M62" s="4">
        <f>LN('中国汇率&amp;期货（数据表）'!M62)</f>
      </c>
      <c r="N62" s="4">
        <f>LN('中国汇率&amp;期货（数据表）'!N62)</f>
      </c>
      <c r="O62" s="4">
        <f>LN('中国汇率&amp;期货（数据表）'!O62)</f>
      </c>
      <c r="P62" s="4">
        <f>LN('中国汇率&amp;期货（数据表）'!P62)</f>
      </c>
      <c r="Q62" s="4">
        <f>LN('中国汇率&amp;期货（数据表）'!Q62)</f>
      </c>
      <c r="R62" s="4">
        <f>LN('中国汇率&amp;期货（数据表）'!R62)</f>
      </c>
      <c r="S62" s="4">
        <f>LN('中国汇率&amp;期货（数据表）'!S62)</f>
      </c>
      <c r="T62" s="4">
        <f>LN('中国汇率&amp;期货（数据表）'!T62)</f>
      </c>
      <c r="U62" s="4">
        <f>LN('中国汇率&amp;期货（数据表）'!U62)</f>
      </c>
      <c r="V62" s="4">
        <f>LN('中国汇率&amp;期货（数据表）'!V62)</f>
      </c>
      <c r="W62" s="4">
        <f>LN('中国汇率&amp;期货（数据表）'!W62)</f>
      </c>
      <c r="X62" s="4">
        <f>LN('中国汇率&amp;期货（数据表）'!X62)</f>
      </c>
      <c r="Y62" s="4">
        <f>LN('中国汇率&amp;期货（数据表）'!Y62)</f>
      </c>
      <c r="Z62" s="4">
        <f>LN('中国汇率&amp;期货（数据表）'!Z62)</f>
      </c>
      <c r="AA62" s="4">
        <f>LN('中国汇率&amp;期货（数据表）'!AA62)</f>
      </c>
      <c r="AB62" s="4">
        <f>LN('中国汇率&amp;期货（数据表）'!AB62)</f>
      </c>
      <c r="AC62" s="4">
        <f>LN('中国汇率&amp;期货（数据表）'!AC62)</f>
      </c>
      <c r="AD62" s="4">
        <f>LN('中国汇率&amp;期货（数据表）'!AD62)</f>
      </c>
      <c r="AE62" s="4">
        <f>LN('中国汇率&amp;期货（数据表）'!AE62)</f>
      </c>
      <c r="AF62" s="4">
        <f>LN('中国汇率&amp;期货（数据表）'!AF62)</f>
      </c>
      <c r="AG62" s="4">
        <f>LN('中国汇率&amp;期货（数据表）'!AG62)</f>
      </c>
      <c r="AH62" s="4">
        <f>LN('中国汇率&amp;期货（数据表）'!AH62)</f>
      </c>
      <c r="AI62" s="4">
        <f>LN('中国汇率&amp;期货（数据表）'!AI62)</f>
      </c>
      <c r="AJ62" s="4">
        <f>LN('中国汇率&amp;期货（数据表）'!AJ62)</f>
      </c>
      <c r="AK62" s="4">
        <f>LN('中国汇率&amp;期货（数据表）'!AK62)</f>
      </c>
      <c r="AL62" s="4">
        <f>LN('中国汇率&amp;期货（数据表）'!AL62)</f>
      </c>
      <c r="AM62" s="4">
        <f>LN('中国汇率&amp;期货（数据表）'!AM62)</f>
      </c>
      <c r="AN62" s="4">
        <f>LN('中国汇率&amp;期货（数据表）'!AN62)</f>
      </c>
      <c r="AO62" s="4">
        <f>LN('中国汇率&amp;期货（数据表）'!AO62)</f>
      </c>
      <c r="AP62" s="4">
        <f>LN('中国汇率&amp;期货（数据表）'!AP62)</f>
      </c>
      <c r="AQ62" s="4">
        <f>LN('中国汇率&amp;期货（数据表）'!AQ62)</f>
      </c>
      <c r="AR62" s="4">
        <f>LN('中国汇率&amp;期货（数据表）'!AR62)</f>
      </c>
      <c r="AS62" s="4">
        <f>LN('中国汇率&amp;期货（数据表）'!AS62)</f>
      </c>
      <c r="AT62" s="4">
        <f>LN('中国汇率&amp;期货（数据表）'!AT62)</f>
      </c>
      <c r="AU62" s="4">
        <f>LN('中国汇率&amp;期货（数据表）'!AU62)</f>
      </c>
      <c r="AV62" s="4">
        <f>LN('中国汇率&amp;期货（数据表）'!AV62)</f>
      </c>
      <c r="AW62" s="4">
        <f>LN('中国汇率&amp;期货（数据表）'!AW62)</f>
      </c>
      <c r="AX62" s="4">
        <f>LN('中国汇率&amp;期货（数据表）'!AX62)</f>
      </c>
      <c r="AY62" s="4">
        <f>LN('中国汇率&amp;期货（数据表）'!AY62)</f>
      </c>
      <c r="AZ62" s="4">
        <f>LN('中国汇率&amp;期货（数据表）'!AZ62)</f>
      </c>
      <c r="BA62" s="4">
        <f>LN('中国汇率&amp;期货（数据表）'!BA62)</f>
      </c>
      <c r="BB62" s="4">
        <f>LN('中国汇率&amp;期货（数据表）'!BB62)</f>
      </c>
      <c r="BC62" s="4">
        <f>LN('中国汇率&amp;期货（数据表）'!BC62)</f>
      </c>
      <c r="BD62" s="4">
        <f>LN('中国汇率&amp;期货（数据表）'!BD62)</f>
      </c>
      <c r="BE62" s="4">
        <f>LN('中国汇率&amp;期货（数据表）'!BE62)</f>
      </c>
    </row>
    <row x14ac:dyDescent="0.25" r="63" customHeight="1" ht="18.75">
      <c r="A63" s="1"/>
      <c r="B63" s="4">
        <f>LN('中国汇率&amp;期货（数据表）'!B63)</f>
      </c>
      <c r="C63" s="4">
        <f>LN('中国汇率&amp;期货（数据表）'!C63)</f>
      </c>
      <c r="D63" s="4">
        <f>LN('中国汇率&amp;期货（数据表）'!D63)</f>
      </c>
      <c r="E63" s="4">
        <f>LN('中国汇率&amp;期货（数据表）'!E63)</f>
      </c>
      <c r="F63" s="4">
        <f>LN('中国汇率&amp;期货（数据表）'!F63)</f>
      </c>
      <c r="G63" s="4">
        <f>LN('中国汇率&amp;期货（数据表）'!G63)</f>
      </c>
      <c r="H63" s="4">
        <f>LN('中国汇率&amp;期货（数据表）'!H63)</f>
      </c>
      <c r="I63" s="4">
        <f>LN('中国汇率&amp;期货（数据表）'!I63)</f>
      </c>
      <c r="J63" s="4">
        <f>LN('中国汇率&amp;期货（数据表）'!J63)</f>
      </c>
      <c r="K63" s="4">
        <f>LN('中国汇率&amp;期货（数据表）'!K63)</f>
      </c>
      <c r="L63" s="4">
        <f>LN('中国汇率&amp;期货（数据表）'!L63)</f>
      </c>
      <c r="M63" s="4">
        <f>LN('中国汇率&amp;期货（数据表）'!M63)</f>
      </c>
      <c r="N63" s="4">
        <f>LN('中国汇率&amp;期货（数据表）'!N63)</f>
      </c>
      <c r="O63" s="4">
        <f>LN('中国汇率&amp;期货（数据表）'!O63)</f>
      </c>
      <c r="P63" s="4">
        <f>LN('中国汇率&amp;期货（数据表）'!P63)</f>
      </c>
      <c r="Q63" s="4">
        <f>LN('中国汇率&amp;期货（数据表）'!Q63)</f>
      </c>
      <c r="R63" s="4">
        <f>LN('中国汇率&amp;期货（数据表）'!R63)</f>
      </c>
      <c r="S63" s="4">
        <f>LN('中国汇率&amp;期货（数据表）'!S63)</f>
      </c>
      <c r="T63" s="4">
        <f>LN('中国汇率&amp;期货（数据表）'!T63)</f>
      </c>
      <c r="U63" s="4">
        <f>LN('中国汇率&amp;期货（数据表）'!U63)</f>
      </c>
      <c r="V63" s="4">
        <f>LN('中国汇率&amp;期货（数据表）'!V63)</f>
      </c>
      <c r="W63" s="4">
        <f>LN('中国汇率&amp;期货（数据表）'!W63)</f>
      </c>
      <c r="X63" s="4">
        <f>LN('中国汇率&amp;期货（数据表）'!X63)</f>
      </c>
      <c r="Y63" s="4">
        <f>LN('中国汇率&amp;期货（数据表）'!Y63)</f>
      </c>
      <c r="Z63" s="4">
        <f>LN('中国汇率&amp;期货（数据表）'!Z63)</f>
      </c>
      <c r="AA63" s="4">
        <f>LN('中国汇率&amp;期货（数据表）'!AA63)</f>
      </c>
      <c r="AB63" s="4">
        <f>LN('中国汇率&amp;期货（数据表）'!AB63)</f>
      </c>
      <c r="AC63" s="4">
        <f>LN('中国汇率&amp;期货（数据表）'!AC63)</f>
      </c>
      <c r="AD63" s="4">
        <f>LN('中国汇率&amp;期货（数据表）'!AD63)</f>
      </c>
      <c r="AE63" s="4">
        <f>LN('中国汇率&amp;期货（数据表）'!AE63)</f>
      </c>
      <c r="AF63" s="4">
        <f>LN('中国汇率&amp;期货（数据表）'!AF63)</f>
      </c>
      <c r="AG63" s="4">
        <f>LN('中国汇率&amp;期货（数据表）'!AG63)</f>
      </c>
      <c r="AH63" s="4">
        <f>LN('中国汇率&amp;期货（数据表）'!AH63)</f>
      </c>
      <c r="AI63" s="4">
        <f>LN('中国汇率&amp;期货（数据表）'!AI63)</f>
      </c>
      <c r="AJ63" s="4">
        <f>LN('中国汇率&amp;期货（数据表）'!AJ63)</f>
      </c>
      <c r="AK63" s="4">
        <f>LN('中国汇率&amp;期货（数据表）'!AK63)</f>
      </c>
      <c r="AL63" s="4">
        <f>LN('中国汇率&amp;期货（数据表）'!AL63)</f>
      </c>
      <c r="AM63" s="4">
        <f>LN('中国汇率&amp;期货（数据表）'!AM63)</f>
      </c>
      <c r="AN63" s="4">
        <f>LN('中国汇率&amp;期货（数据表）'!AN63)</f>
      </c>
      <c r="AO63" s="4">
        <f>LN('中国汇率&amp;期货（数据表）'!AO63)</f>
      </c>
      <c r="AP63" s="4">
        <f>LN('中国汇率&amp;期货（数据表）'!AP63)</f>
      </c>
      <c r="AQ63" s="4">
        <f>LN('中国汇率&amp;期货（数据表）'!AQ63)</f>
      </c>
      <c r="AR63" s="4">
        <f>LN('中国汇率&amp;期货（数据表）'!AR63)</f>
      </c>
      <c r="AS63" s="4">
        <f>LN('中国汇率&amp;期货（数据表）'!AS63)</f>
      </c>
      <c r="AT63" s="4">
        <f>LN('中国汇率&amp;期货（数据表）'!AT63)</f>
      </c>
      <c r="AU63" s="4">
        <f>LN('中国汇率&amp;期货（数据表）'!AU63)</f>
      </c>
      <c r="AV63" s="4">
        <f>LN('中国汇率&amp;期货（数据表）'!AV63)</f>
      </c>
      <c r="AW63" s="4">
        <f>LN('中国汇率&amp;期货（数据表）'!AW63)</f>
      </c>
      <c r="AX63" s="4">
        <f>LN('中国汇率&amp;期货（数据表）'!AX63)</f>
      </c>
      <c r="AY63" s="4">
        <f>LN('中国汇率&amp;期货（数据表）'!AY63)</f>
      </c>
      <c r="AZ63" s="4">
        <f>LN('中国汇率&amp;期货（数据表）'!AZ63)</f>
      </c>
      <c r="BA63" s="4">
        <f>LN('中国汇率&amp;期货（数据表）'!BA63)</f>
      </c>
      <c r="BB63" s="4">
        <f>LN('中国汇率&amp;期货（数据表）'!BB63)</f>
      </c>
      <c r="BC63" s="4">
        <f>LN('中国汇率&amp;期货（数据表）'!BC63)</f>
      </c>
      <c r="BD63" s="4">
        <f>LN('中国汇率&amp;期货（数据表）'!BD63)</f>
      </c>
      <c r="BE63" s="4">
        <f>LN('中国汇率&amp;期货（数据表）'!BE63)</f>
      </c>
    </row>
    <row x14ac:dyDescent="0.25" r="64" customHeight="1" ht="18.75">
      <c r="A64" s="1"/>
      <c r="B64" s="4">
        <f>LN('中国汇率&amp;期货（数据表）'!B64)</f>
      </c>
      <c r="C64" s="4">
        <f>LN('中国汇率&amp;期货（数据表）'!C64)</f>
      </c>
      <c r="D64" s="4">
        <f>LN('中国汇率&amp;期货（数据表）'!D64)</f>
      </c>
      <c r="E64" s="4">
        <f>LN('中国汇率&amp;期货（数据表）'!E64)</f>
      </c>
      <c r="F64" s="4">
        <f>LN('中国汇率&amp;期货（数据表）'!F64)</f>
      </c>
      <c r="G64" s="4">
        <f>LN('中国汇率&amp;期货（数据表）'!G64)</f>
      </c>
      <c r="H64" s="4">
        <f>LN('中国汇率&amp;期货（数据表）'!H64)</f>
      </c>
      <c r="I64" s="4">
        <f>LN('中国汇率&amp;期货（数据表）'!I64)</f>
      </c>
      <c r="J64" s="4">
        <f>LN('中国汇率&amp;期货（数据表）'!J64)</f>
      </c>
      <c r="K64" s="4">
        <f>LN('中国汇率&amp;期货（数据表）'!K64)</f>
      </c>
      <c r="L64" s="4">
        <f>LN('中国汇率&amp;期货（数据表）'!L64)</f>
      </c>
      <c r="M64" s="4">
        <f>LN('中国汇率&amp;期货（数据表）'!M64)</f>
      </c>
      <c r="N64" s="4">
        <f>LN('中国汇率&amp;期货（数据表）'!N64)</f>
      </c>
      <c r="O64" s="4">
        <f>LN('中国汇率&amp;期货（数据表）'!O64)</f>
      </c>
      <c r="P64" s="4">
        <f>LN('中国汇率&amp;期货（数据表）'!P64)</f>
      </c>
      <c r="Q64" s="4">
        <f>LN('中国汇率&amp;期货（数据表）'!Q64)</f>
      </c>
      <c r="R64" s="4">
        <f>LN('中国汇率&amp;期货（数据表）'!R64)</f>
      </c>
      <c r="S64" s="4">
        <f>LN('中国汇率&amp;期货（数据表）'!S64)</f>
      </c>
      <c r="T64" s="4">
        <f>LN('中国汇率&amp;期货（数据表）'!T64)</f>
      </c>
      <c r="U64" s="4">
        <f>LN('中国汇率&amp;期货（数据表）'!U64)</f>
      </c>
      <c r="V64" s="4">
        <f>LN('中国汇率&amp;期货（数据表）'!V64)</f>
      </c>
      <c r="W64" s="4">
        <f>LN('中国汇率&amp;期货（数据表）'!W64)</f>
      </c>
      <c r="X64" s="4">
        <f>LN('中国汇率&amp;期货（数据表）'!X64)</f>
      </c>
      <c r="Y64" s="4">
        <f>LN('中国汇率&amp;期货（数据表）'!Y64)</f>
      </c>
      <c r="Z64" s="4">
        <f>LN('中国汇率&amp;期货（数据表）'!Z64)</f>
      </c>
      <c r="AA64" s="4">
        <f>LN('中国汇率&amp;期货（数据表）'!AA64)</f>
      </c>
      <c r="AB64" s="4">
        <f>LN('中国汇率&amp;期货（数据表）'!AB64)</f>
      </c>
      <c r="AC64" s="4">
        <f>LN('中国汇率&amp;期货（数据表）'!AC64)</f>
      </c>
      <c r="AD64" s="4">
        <f>LN('中国汇率&amp;期货（数据表）'!AD64)</f>
      </c>
      <c r="AE64" s="4">
        <f>LN('中国汇率&amp;期货（数据表）'!AE64)</f>
      </c>
      <c r="AF64" s="4">
        <f>LN('中国汇率&amp;期货（数据表）'!AF64)</f>
      </c>
      <c r="AG64" s="4">
        <f>LN('中国汇率&amp;期货（数据表）'!AG64)</f>
      </c>
      <c r="AH64" s="4">
        <f>LN('中国汇率&amp;期货（数据表）'!AH64)</f>
      </c>
      <c r="AI64" s="4">
        <f>LN('中国汇率&amp;期货（数据表）'!AI64)</f>
      </c>
      <c r="AJ64" s="4">
        <f>LN('中国汇率&amp;期货（数据表）'!AJ64)</f>
      </c>
      <c r="AK64" s="4">
        <f>LN('中国汇率&amp;期货（数据表）'!AK64)</f>
      </c>
      <c r="AL64" s="4">
        <f>LN('中国汇率&amp;期货（数据表）'!AL64)</f>
      </c>
      <c r="AM64" s="4">
        <f>LN('中国汇率&amp;期货（数据表）'!AM64)</f>
      </c>
      <c r="AN64" s="4">
        <f>LN('中国汇率&amp;期货（数据表）'!AN64)</f>
      </c>
      <c r="AO64" s="4">
        <f>LN('中国汇率&amp;期货（数据表）'!AO64)</f>
      </c>
      <c r="AP64" s="4">
        <f>LN('中国汇率&amp;期货（数据表）'!AP64)</f>
      </c>
      <c r="AQ64" s="4">
        <f>LN('中国汇率&amp;期货（数据表）'!AQ64)</f>
      </c>
      <c r="AR64" s="4">
        <f>LN('中国汇率&amp;期货（数据表）'!AR64)</f>
      </c>
      <c r="AS64" s="4">
        <f>LN('中国汇率&amp;期货（数据表）'!AS64)</f>
      </c>
      <c r="AT64" s="4">
        <f>LN('中国汇率&amp;期货（数据表）'!AT64)</f>
      </c>
      <c r="AU64" s="4">
        <f>LN('中国汇率&amp;期货（数据表）'!AU64)</f>
      </c>
      <c r="AV64" s="4">
        <f>LN('中国汇率&amp;期货（数据表）'!AV64)</f>
      </c>
      <c r="AW64" s="4">
        <f>LN('中国汇率&amp;期货（数据表）'!AW64)</f>
      </c>
      <c r="AX64" s="4">
        <f>LN('中国汇率&amp;期货（数据表）'!AX64)</f>
      </c>
      <c r="AY64" s="4">
        <f>LN('中国汇率&amp;期货（数据表）'!AY64)</f>
      </c>
      <c r="AZ64" s="4">
        <f>LN('中国汇率&amp;期货（数据表）'!AZ64)</f>
      </c>
      <c r="BA64" s="4">
        <f>LN('中国汇率&amp;期货（数据表）'!BA64)</f>
      </c>
      <c r="BB64" s="4">
        <f>LN('中国汇率&amp;期货（数据表）'!BB64)</f>
      </c>
      <c r="BC64" s="4">
        <f>LN('中国汇率&amp;期货（数据表）'!BC64)</f>
      </c>
      <c r="BD64" s="4">
        <f>LN('中国汇率&amp;期货（数据表）'!BD64)</f>
      </c>
      <c r="BE64" s="4">
        <f>LN('中国汇率&amp;期货（数据表）'!BE64)</f>
      </c>
    </row>
    <row x14ac:dyDescent="0.25" r="65" customHeight="1" ht="18.75">
      <c r="A65" s="1"/>
      <c r="B65" s="4">
        <f>LN('中国汇率&amp;期货（数据表）'!B65)</f>
      </c>
      <c r="C65" s="4">
        <f>LN('中国汇率&amp;期货（数据表）'!C65)</f>
      </c>
      <c r="D65" s="4">
        <f>LN('中国汇率&amp;期货（数据表）'!D65)</f>
      </c>
      <c r="E65" s="4">
        <f>LN('中国汇率&amp;期货（数据表）'!E65)</f>
      </c>
      <c r="F65" s="4">
        <f>LN('中国汇率&amp;期货（数据表）'!F65)</f>
      </c>
      <c r="G65" s="4">
        <f>LN('中国汇率&amp;期货（数据表）'!G65)</f>
      </c>
      <c r="H65" s="4">
        <f>LN('中国汇率&amp;期货（数据表）'!H65)</f>
      </c>
      <c r="I65" s="4">
        <f>LN('中国汇率&amp;期货（数据表）'!I65)</f>
      </c>
      <c r="J65" s="4">
        <f>LN('中国汇率&amp;期货（数据表）'!J65)</f>
      </c>
      <c r="K65" s="4">
        <f>LN('中国汇率&amp;期货（数据表）'!K65)</f>
      </c>
      <c r="L65" s="4">
        <f>LN('中国汇率&amp;期货（数据表）'!L65)</f>
      </c>
      <c r="M65" s="4">
        <f>LN('中国汇率&amp;期货（数据表）'!M65)</f>
      </c>
      <c r="N65" s="4">
        <f>LN('中国汇率&amp;期货（数据表）'!N65)</f>
      </c>
      <c r="O65" s="4">
        <f>LN('中国汇率&amp;期货（数据表）'!O65)</f>
      </c>
      <c r="P65" s="4">
        <f>LN('中国汇率&amp;期货（数据表）'!P65)</f>
      </c>
      <c r="Q65" s="4">
        <f>LN('中国汇率&amp;期货（数据表）'!Q65)</f>
      </c>
      <c r="R65" s="4">
        <f>LN('中国汇率&amp;期货（数据表）'!R65)</f>
      </c>
      <c r="S65" s="4">
        <f>LN('中国汇率&amp;期货（数据表）'!S65)</f>
      </c>
      <c r="T65" s="4">
        <f>LN('中国汇率&amp;期货（数据表）'!T65)</f>
      </c>
      <c r="U65" s="4">
        <f>LN('中国汇率&amp;期货（数据表）'!U65)</f>
      </c>
      <c r="V65" s="4">
        <f>LN('中国汇率&amp;期货（数据表）'!V65)</f>
      </c>
      <c r="W65" s="4">
        <f>LN('中国汇率&amp;期货（数据表）'!W65)</f>
      </c>
      <c r="X65" s="4">
        <f>LN('中国汇率&amp;期货（数据表）'!X65)</f>
      </c>
      <c r="Y65" s="4">
        <f>LN('中国汇率&amp;期货（数据表）'!Y65)</f>
      </c>
      <c r="Z65" s="4">
        <f>LN('中国汇率&amp;期货（数据表）'!Z65)</f>
      </c>
      <c r="AA65" s="4">
        <f>LN('中国汇率&amp;期货（数据表）'!AA65)</f>
      </c>
      <c r="AB65" s="4">
        <f>LN('中国汇率&amp;期货（数据表）'!AB65)</f>
      </c>
      <c r="AC65" s="4">
        <f>LN('中国汇率&amp;期货（数据表）'!AC65)</f>
      </c>
      <c r="AD65" s="4">
        <f>LN('中国汇率&amp;期货（数据表）'!AD65)</f>
      </c>
      <c r="AE65" s="4">
        <f>LN('中国汇率&amp;期货（数据表）'!AE65)</f>
      </c>
      <c r="AF65" s="4">
        <f>LN('中国汇率&amp;期货（数据表）'!AF65)</f>
      </c>
      <c r="AG65" s="4">
        <f>LN('中国汇率&amp;期货（数据表）'!AG65)</f>
      </c>
      <c r="AH65" s="4">
        <f>LN('中国汇率&amp;期货（数据表）'!AH65)</f>
      </c>
      <c r="AI65" s="4">
        <f>LN('中国汇率&amp;期货（数据表）'!AI65)</f>
      </c>
      <c r="AJ65" s="4">
        <f>LN('中国汇率&amp;期货（数据表）'!AJ65)</f>
      </c>
      <c r="AK65" s="4">
        <f>LN('中国汇率&amp;期货（数据表）'!AK65)</f>
      </c>
      <c r="AL65" s="4">
        <f>LN('中国汇率&amp;期货（数据表）'!AL65)</f>
      </c>
      <c r="AM65" s="4">
        <f>LN('中国汇率&amp;期货（数据表）'!AM65)</f>
      </c>
      <c r="AN65" s="4">
        <f>LN('中国汇率&amp;期货（数据表）'!AN65)</f>
      </c>
      <c r="AO65" s="4">
        <f>LN('中国汇率&amp;期货（数据表）'!AO65)</f>
      </c>
      <c r="AP65" s="4">
        <f>LN('中国汇率&amp;期货（数据表）'!AP65)</f>
      </c>
      <c r="AQ65" s="4">
        <f>LN('中国汇率&amp;期货（数据表）'!AQ65)</f>
      </c>
      <c r="AR65" s="4">
        <f>LN('中国汇率&amp;期货（数据表）'!AR65)</f>
      </c>
      <c r="AS65" s="4">
        <f>LN('中国汇率&amp;期货（数据表）'!AS65)</f>
      </c>
      <c r="AT65" s="4">
        <f>LN('中国汇率&amp;期货（数据表）'!AT65)</f>
      </c>
      <c r="AU65" s="4">
        <f>LN('中国汇率&amp;期货（数据表）'!AU65)</f>
      </c>
      <c r="AV65" s="4">
        <f>LN('中国汇率&amp;期货（数据表）'!AV65)</f>
      </c>
      <c r="AW65" s="4">
        <f>LN('中国汇率&amp;期货（数据表）'!AW65)</f>
      </c>
      <c r="AX65" s="4">
        <f>LN('中国汇率&amp;期货（数据表）'!AX65)</f>
      </c>
      <c r="AY65" s="4">
        <f>LN('中国汇率&amp;期货（数据表）'!AY65)</f>
      </c>
      <c r="AZ65" s="4">
        <f>LN('中国汇率&amp;期货（数据表）'!AZ65)</f>
      </c>
      <c r="BA65" s="4">
        <f>LN('中国汇率&amp;期货（数据表）'!BA65)</f>
      </c>
      <c r="BB65" s="4">
        <f>LN('中国汇率&amp;期货（数据表）'!BB65)</f>
      </c>
      <c r="BC65" s="4">
        <f>LN('中国汇率&amp;期货（数据表）'!BC65)</f>
      </c>
      <c r="BD65" s="4">
        <f>LN('中国汇率&amp;期货（数据表）'!BD65)</f>
      </c>
      <c r="BE65" s="4">
        <f>LN('中国汇率&amp;期货（数据表）'!BE65)</f>
      </c>
    </row>
    <row x14ac:dyDescent="0.25" r="66" customHeight="1" ht="18.75">
      <c r="A66" s="1"/>
      <c r="B66" s="4">
        <f>LN('中国汇率&amp;期货（数据表）'!B66)</f>
      </c>
      <c r="C66" s="4">
        <f>LN('中国汇率&amp;期货（数据表）'!C66)</f>
      </c>
      <c r="D66" s="4">
        <f>LN('中国汇率&amp;期货（数据表）'!D66)</f>
      </c>
      <c r="E66" s="4">
        <f>LN('中国汇率&amp;期货（数据表）'!E66)</f>
      </c>
      <c r="F66" s="4">
        <f>LN('中国汇率&amp;期货（数据表）'!F66)</f>
      </c>
      <c r="G66" s="4">
        <f>LN('中国汇率&amp;期货（数据表）'!G66)</f>
      </c>
      <c r="H66" s="4">
        <f>LN('中国汇率&amp;期货（数据表）'!H66)</f>
      </c>
      <c r="I66" s="4">
        <f>LN('中国汇率&amp;期货（数据表）'!I66)</f>
      </c>
      <c r="J66" s="4">
        <f>LN('中国汇率&amp;期货（数据表）'!J66)</f>
      </c>
      <c r="K66" s="4">
        <f>LN('中国汇率&amp;期货（数据表）'!K66)</f>
      </c>
      <c r="L66" s="4">
        <f>LN('中国汇率&amp;期货（数据表）'!L66)</f>
      </c>
      <c r="M66" s="4">
        <f>LN('中国汇率&amp;期货（数据表）'!M66)</f>
      </c>
      <c r="N66" s="4">
        <f>LN('中国汇率&amp;期货（数据表）'!N66)</f>
      </c>
      <c r="O66" s="4">
        <f>LN('中国汇率&amp;期货（数据表）'!O66)</f>
      </c>
      <c r="P66" s="4">
        <f>LN('中国汇率&amp;期货（数据表）'!P66)</f>
      </c>
      <c r="Q66" s="4">
        <f>LN('中国汇率&amp;期货（数据表）'!Q66)</f>
      </c>
      <c r="R66" s="4">
        <f>LN('中国汇率&amp;期货（数据表）'!R66)</f>
      </c>
      <c r="S66" s="4">
        <f>LN('中国汇率&amp;期货（数据表）'!S66)</f>
      </c>
      <c r="T66" s="4">
        <f>LN('中国汇率&amp;期货（数据表）'!T66)</f>
      </c>
      <c r="U66" s="4">
        <f>LN('中国汇率&amp;期货（数据表）'!U66)</f>
      </c>
      <c r="V66" s="4">
        <f>LN('中国汇率&amp;期货（数据表）'!V66)</f>
      </c>
      <c r="W66" s="4">
        <f>LN('中国汇率&amp;期货（数据表）'!W66)</f>
      </c>
      <c r="X66" s="4">
        <f>LN('中国汇率&amp;期货（数据表）'!X66)</f>
      </c>
      <c r="Y66" s="4">
        <f>LN('中国汇率&amp;期货（数据表）'!Y66)</f>
      </c>
      <c r="Z66" s="4">
        <f>LN('中国汇率&amp;期货（数据表）'!Z66)</f>
      </c>
      <c r="AA66" s="4">
        <f>LN('中国汇率&amp;期货（数据表）'!AA66)</f>
      </c>
      <c r="AB66" s="4">
        <f>LN('中国汇率&amp;期货（数据表）'!AB66)</f>
      </c>
      <c r="AC66" s="4">
        <f>LN('中国汇率&amp;期货（数据表）'!AC66)</f>
      </c>
      <c r="AD66" s="4">
        <f>LN('中国汇率&amp;期货（数据表）'!AD66)</f>
      </c>
      <c r="AE66" s="4">
        <f>LN('中国汇率&amp;期货（数据表）'!AE66)</f>
      </c>
      <c r="AF66" s="4">
        <f>LN('中国汇率&amp;期货（数据表）'!AF66)</f>
      </c>
      <c r="AG66" s="4">
        <f>LN('中国汇率&amp;期货（数据表）'!AG66)</f>
      </c>
      <c r="AH66" s="4">
        <f>LN('中国汇率&amp;期货（数据表）'!AH66)</f>
      </c>
      <c r="AI66" s="4">
        <f>LN('中国汇率&amp;期货（数据表）'!AI66)</f>
      </c>
      <c r="AJ66" s="4">
        <f>LN('中国汇率&amp;期货（数据表）'!AJ66)</f>
      </c>
      <c r="AK66" s="4">
        <f>LN('中国汇率&amp;期货（数据表）'!AK66)</f>
      </c>
      <c r="AL66" s="4">
        <f>LN('中国汇率&amp;期货（数据表）'!AL66)</f>
      </c>
      <c r="AM66" s="4">
        <f>LN('中国汇率&amp;期货（数据表）'!AM66)</f>
      </c>
      <c r="AN66" s="4">
        <f>LN('中国汇率&amp;期货（数据表）'!AN66)</f>
      </c>
      <c r="AO66" s="4">
        <f>LN('中国汇率&amp;期货（数据表）'!AO66)</f>
      </c>
      <c r="AP66" s="4">
        <f>LN('中国汇率&amp;期货（数据表）'!AP66)</f>
      </c>
      <c r="AQ66" s="4">
        <f>LN('中国汇率&amp;期货（数据表）'!AQ66)</f>
      </c>
      <c r="AR66" s="4">
        <f>LN('中国汇率&amp;期货（数据表）'!AR66)</f>
      </c>
      <c r="AS66" s="4">
        <f>LN('中国汇率&amp;期货（数据表）'!AS66)</f>
      </c>
      <c r="AT66" s="4">
        <f>LN('中国汇率&amp;期货（数据表）'!AT66)</f>
      </c>
      <c r="AU66" s="4">
        <f>LN('中国汇率&amp;期货（数据表）'!AU66)</f>
      </c>
      <c r="AV66" s="4">
        <f>LN('中国汇率&amp;期货（数据表）'!AV66)</f>
      </c>
      <c r="AW66" s="4">
        <f>LN('中国汇率&amp;期货（数据表）'!AW66)</f>
      </c>
      <c r="AX66" s="4">
        <f>LN('中国汇率&amp;期货（数据表）'!AX66)</f>
      </c>
      <c r="AY66" s="4">
        <f>LN('中国汇率&amp;期货（数据表）'!AY66)</f>
      </c>
      <c r="AZ66" s="4">
        <f>LN('中国汇率&amp;期货（数据表）'!AZ66)</f>
      </c>
      <c r="BA66" s="4">
        <f>LN('中国汇率&amp;期货（数据表）'!BA66)</f>
      </c>
      <c r="BB66" s="4">
        <f>LN('中国汇率&amp;期货（数据表）'!BB66)</f>
      </c>
      <c r="BC66" s="4">
        <f>LN('中国汇率&amp;期货（数据表）'!BC66)</f>
      </c>
      <c r="BD66" s="4">
        <f>LN('中国汇率&amp;期货（数据表）'!BD66)</f>
      </c>
      <c r="BE66" s="4">
        <f>LN('中国汇率&amp;期货（数据表）'!BE66)</f>
      </c>
    </row>
    <row x14ac:dyDescent="0.25" r="67" customHeight="1" ht="18.75">
      <c r="A67" s="1"/>
      <c r="B67" s="4">
        <f>LN('中国汇率&amp;期货（数据表）'!B67)</f>
      </c>
      <c r="C67" s="4">
        <f>LN('中国汇率&amp;期货（数据表）'!C67)</f>
      </c>
      <c r="D67" s="4">
        <f>LN('中国汇率&amp;期货（数据表）'!D67)</f>
      </c>
      <c r="E67" s="4">
        <f>LN('中国汇率&amp;期货（数据表）'!E67)</f>
      </c>
      <c r="F67" s="4">
        <f>LN('中国汇率&amp;期货（数据表）'!F67)</f>
      </c>
      <c r="G67" s="4">
        <f>LN('中国汇率&amp;期货（数据表）'!G67)</f>
      </c>
      <c r="H67" s="4">
        <f>LN('中国汇率&amp;期货（数据表）'!H67)</f>
      </c>
      <c r="I67" s="4">
        <f>LN('中国汇率&amp;期货（数据表）'!I67)</f>
      </c>
      <c r="J67" s="4">
        <f>LN('中国汇率&amp;期货（数据表）'!J67)</f>
      </c>
      <c r="K67" s="4">
        <f>LN('中国汇率&amp;期货（数据表）'!K67)</f>
      </c>
      <c r="L67" s="4">
        <f>LN('中国汇率&amp;期货（数据表）'!L67)</f>
      </c>
      <c r="M67" s="4">
        <f>LN('中国汇率&amp;期货（数据表）'!M67)</f>
      </c>
      <c r="N67" s="4">
        <f>LN('中国汇率&amp;期货（数据表）'!N67)</f>
      </c>
      <c r="O67" s="4">
        <f>LN('中国汇率&amp;期货（数据表）'!O67)</f>
      </c>
      <c r="P67" s="4">
        <f>LN('中国汇率&amp;期货（数据表）'!P67)</f>
      </c>
      <c r="Q67" s="4">
        <f>LN('中国汇率&amp;期货（数据表）'!Q67)</f>
      </c>
      <c r="R67" s="4">
        <f>LN('中国汇率&amp;期货（数据表）'!R67)</f>
      </c>
      <c r="S67" s="4">
        <f>LN('中国汇率&amp;期货（数据表）'!S67)</f>
      </c>
      <c r="T67" s="4">
        <f>LN('中国汇率&amp;期货（数据表）'!T67)</f>
      </c>
      <c r="U67" s="4">
        <f>LN('中国汇率&amp;期货（数据表）'!U67)</f>
      </c>
      <c r="V67" s="4">
        <f>LN('中国汇率&amp;期货（数据表）'!V67)</f>
      </c>
      <c r="W67" s="4">
        <f>LN('中国汇率&amp;期货（数据表）'!W67)</f>
      </c>
      <c r="X67" s="4">
        <f>LN('中国汇率&amp;期货（数据表）'!X67)</f>
      </c>
      <c r="Y67" s="4">
        <f>LN('中国汇率&amp;期货（数据表）'!Y67)</f>
      </c>
      <c r="Z67" s="4">
        <f>LN('中国汇率&amp;期货（数据表）'!Z67)</f>
      </c>
      <c r="AA67" s="4">
        <f>LN('中国汇率&amp;期货（数据表）'!AA67)</f>
      </c>
      <c r="AB67" s="4">
        <f>LN('中国汇率&amp;期货（数据表）'!AB67)</f>
      </c>
      <c r="AC67" s="4">
        <f>LN('中国汇率&amp;期货（数据表）'!AC67)</f>
      </c>
      <c r="AD67" s="4">
        <f>LN('中国汇率&amp;期货（数据表）'!AD67)</f>
      </c>
      <c r="AE67" s="4">
        <f>LN('中国汇率&amp;期货（数据表）'!AE67)</f>
      </c>
      <c r="AF67" s="4">
        <f>LN('中国汇率&amp;期货（数据表）'!AF67)</f>
      </c>
      <c r="AG67" s="4">
        <f>LN('中国汇率&amp;期货（数据表）'!AG67)</f>
      </c>
      <c r="AH67" s="4">
        <f>LN('中国汇率&amp;期货（数据表）'!AH67)</f>
      </c>
      <c r="AI67" s="4">
        <f>LN('中国汇率&amp;期货（数据表）'!AI67)</f>
      </c>
      <c r="AJ67" s="4">
        <f>LN('中国汇率&amp;期货（数据表）'!AJ67)</f>
      </c>
      <c r="AK67" s="4">
        <f>LN('中国汇率&amp;期货（数据表）'!AK67)</f>
      </c>
      <c r="AL67" s="4">
        <f>LN('中国汇率&amp;期货（数据表）'!AL67)</f>
      </c>
      <c r="AM67" s="4">
        <f>LN('中国汇率&amp;期货（数据表）'!AM67)</f>
      </c>
      <c r="AN67" s="4">
        <f>LN('中国汇率&amp;期货（数据表）'!AN67)</f>
      </c>
      <c r="AO67" s="4">
        <f>LN('中国汇率&amp;期货（数据表）'!AO67)</f>
      </c>
      <c r="AP67" s="4">
        <f>LN('中国汇率&amp;期货（数据表）'!AP67)</f>
      </c>
      <c r="AQ67" s="4">
        <f>LN('中国汇率&amp;期货（数据表）'!AQ67)</f>
      </c>
      <c r="AR67" s="4">
        <f>LN('中国汇率&amp;期货（数据表）'!AR67)</f>
      </c>
      <c r="AS67" s="4">
        <f>LN('中国汇率&amp;期货（数据表）'!AS67)</f>
      </c>
      <c r="AT67" s="4">
        <f>LN('中国汇率&amp;期货（数据表）'!AT67)</f>
      </c>
      <c r="AU67" s="4">
        <f>LN('中国汇率&amp;期货（数据表）'!AU67)</f>
      </c>
      <c r="AV67" s="4">
        <f>LN('中国汇率&amp;期货（数据表）'!AV67)</f>
      </c>
      <c r="AW67" s="4">
        <f>LN('中国汇率&amp;期货（数据表）'!AW67)</f>
      </c>
      <c r="AX67" s="4">
        <f>LN('中国汇率&amp;期货（数据表）'!AX67)</f>
      </c>
      <c r="AY67" s="4">
        <f>LN('中国汇率&amp;期货（数据表）'!AY67)</f>
      </c>
      <c r="AZ67" s="4">
        <f>LN('中国汇率&amp;期货（数据表）'!AZ67)</f>
      </c>
      <c r="BA67" s="4">
        <f>LN('中国汇率&amp;期货（数据表）'!BA67)</f>
      </c>
      <c r="BB67" s="4">
        <f>LN('中国汇率&amp;期货（数据表）'!BB67)</f>
      </c>
      <c r="BC67" s="4">
        <f>LN('中国汇率&amp;期货（数据表）'!BC67)</f>
      </c>
      <c r="BD67" s="4">
        <f>LN('中国汇率&amp;期货（数据表）'!BD67)</f>
      </c>
      <c r="BE67" s="4">
        <f>LN('中国汇率&amp;期货（数据表）'!BE67)</f>
      </c>
    </row>
    <row x14ac:dyDescent="0.25" r="68" customHeight="1" ht="18.75">
      <c r="A68" s="1"/>
      <c r="B68" s="4">
        <f>LN('中国汇率&amp;期货（数据表）'!B68)</f>
      </c>
      <c r="C68" s="4">
        <f>LN('中国汇率&amp;期货（数据表）'!C68)</f>
      </c>
      <c r="D68" s="4">
        <f>LN('中国汇率&amp;期货（数据表）'!D68)</f>
      </c>
      <c r="E68" s="4">
        <f>LN('中国汇率&amp;期货（数据表）'!E68)</f>
      </c>
      <c r="F68" s="4">
        <f>LN('中国汇率&amp;期货（数据表）'!F68)</f>
      </c>
      <c r="G68" s="4">
        <f>LN('中国汇率&amp;期货（数据表）'!G68)</f>
      </c>
      <c r="H68" s="4">
        <f>LN('中国汇率&amp;期货（数据表）'!H68)</f>
      </c>
      <c r="I68" s="4">
        <f>LN('中国汇率&amp;期货（数据表）'!I68)</f>
      </c>
      <c r="J68" s="4">
        <f>LN('中国汇率&amp;期货（数据表）'!J68)</f>
      </c>
      <c r="K68" s="4">
        <f>LN('中国汇率&amp;期货（数据表）'!K68)</f>
      </c>
      <c r="L68" s="4">
        <f>LN('中国汇率&amp;期货（数据表）'!L68)</f>
      </c>
      <c r="M68" s="4">
        <f>LN('中国汇率&amp;期货（数据表）'!M68)</f>
      </c>
      <c r="N68" s="4">
        <f>LN('中国汇率&amp;期货（数据表）'!N68)</f>
      </c>
      <c r="O68" s="4">
        <f>LN('中国汇率&amp;期货（数据表）'!O68)</f>
      </c>
      <c r="P68" s="4">
        <f>LN('中国汇率&amp;期货（数据表）'!P68)</f>
      </c>
      <c r="Q68" s="4">
        <f>LN('中国汇率&amp;期货（数据表）'!Q68)</f>
      </c>
      <c r="R68" s="4">
        <f>LN('中国汇率&amp;期货（数据表）'!R68)</f>
      </c>
      <c r="S68" s="4">
        <f>LN('中国汇率&amp;期货（数据表）'!S68)</f>
      </c>
      <c r="T68" s="4">
        <f>LN('中国汇率&amp;期货（数据表）'!T68)</f>
      </c>
      <c r="U68" s="4">
        <f>LN('中国汇率&amp;期货（数据表）'!U68)</f>
      </c>
      <c r="V68" s="4">
        <f>LN('中国汇率&amp;期货（数据表）'!V68)</f>
      </c>
      <c r="W68" s="4">
        <f>LN('中国汇率&amp;期货（数据表）'!W68)</f>
      </c>
      <c r="X68" s="4">
        <f>LN('中国汇率&amp;期货（数据表）'!X68)</f>
      </c>
      <c r="Y68" s="4">
        <f>LN('中国汇率&amp;期货（数据表）'!Y68)</f>
      </c>
      <c r="Z68" s="4">
        <f>LN('中国汇率&amp;期货（数据表）'!Z68)</f>
      </c>
      <c r="AA68" s="4">
        <f>LN('中国汇率&amp;期货（数据表）'!AA68)</f>
      </c>
      <c r="AB68" s="4">
        <f>LN('中国汇率&amp;期货（数据表）'!AB68)</f>
      </c>
      <c r="AC68" s="4">
        <f>LN('中国汇率&amp;期货（数据表）'!AC68)</f>
      </c>
      <c r="AD68" s="4">
        <f>LN('中国汇率&amp;期货（数据表）'!AD68)</f>
      </c>
      <c r="AE68" s="4">
        <f>LN('中国汇率&amp;期货（数据表）'!AE68)</f>
      </c>
      <c r="AF68" s="4">
        <f>LN('中国汇率&amp;期货（数据表）'!AF68)</f>
      </c>
      <c r="AG68" s="4">
        <f>LN('中国汇率&amp;期货（数据表）'!AG68)</f>
      </c>
      <c r="AH68" s="4">
        <f>LN('中国汇率&amp;期货（数据表）'!AH68)</f>
      </c>
      <c r="AI68" s="4">
        <f>LN('中国汇率&amp;期货（数据表）'!AI68)</f>
      </c>
      <c r="AJ68" s="4">
        <f>LN('中国汇率&amp;期货（数据表）'!AJ68)</f>
      </c>
      <c r="AK68" s="4">
        <f>LN('中国汇率&amp;期货（数据表）'!AK68)</f>
      </c>
      <c r="AL68" s="4">
        <f>LN('中国汇率&amp;期货（数据表）'!AL68)</f>
      </c>
      <c r="AM68" s="4">
        <f>LN('中国汇率&amp;期货（数据表）'!AM68)</f>
      </c>
      <c r="AN68" s="4">
        <f>LN('中国汇率&amp;期货（数据表）'!AN68)</f>
      </c>
      <c r="AO68" s="4">
        <f>LN('中国汇率&amp;期货（数据表）'!AO68)</f>
      </c>
      <c r="AP68" s="4">
        <f>LN('中国汇率&amp;期货（数据表）'!AP68)</f>
      </c>
      <c r="AQ68" s="4">
        <f>LN('中国汇率&amp;期货（数据表）'!AQ68)</f>
      </c>
      <c r="AR68" s="4">
        <f>LN('中国汇率&amp;期货（数据表）'!AR68)</f>
      </c>
      <c r="AS68" s="4">
        <f>LN('中国汇率&amp;期货（数据表）'!AS68)</f>
      </c>
      <c r="AT68" s="4">
        <f>LN('中国汇率&amp;期货（数据表）'!AT68)</f>
      </c>
      <c r="AU68" s="4">
        <f>LN('中国汇率&amp;期货（数据表）'!AU68)</f>
      </c>
      <c r="AV68" s="4">
        <f>LN('中国汇率&amp;期货（数据表）'!AV68)</f>
      </c>
      <c r="AW68" s="4">
        <f>LN('中国汇率&amp;期货（数据表）'!AW68)</f>
      </c>
      <c r="AX68" s="4">
        <f>LN('中国汇率&amp;期货（数据表）'!AX68)</f>
      </c>
      <c r="AY68" s="4">
        <f>LN('中国汇率&amp;期货（数据表）'!AY68)</f>
      </c>
      <c r="AZ68" s="4">
        <f>LN('中国汇率&amp;期货（数据表）'!AZ68)</f>
      </c>
      <c r="BA68" s="4">
        <f>LN('中国汇率&amp;期货（数据表）'!BA68)</f>
      </c>
      <c r="BB68" s="4">
        <f>LN('中国汇率&amp;期货（数据表）'!BB68)</f>
      </c>
      <c r="BC68" s="4">
        <f>LN('中国汇率&amp;期货（数据表）'!BC68)</f>
      </c>
      <c r="BD68" s="4">
        <f>LN('中国汇率&amp;期货（数据表）'!BD68)</f>
      </c>
      <c r="BE68" s="4">
        <f>LN('中国汇率&amp;期货（数据表）'!BE68)</f>
      </c>
    </row>
    <row x14ac:dyDescent="0.25" r="69" customHeight="1" ht="18.75">
      <c r="A69" s="1"/>
      <c r="B69" s="4">
        <f>LN('中国汇率&amp;期货（数据表）'!B69)</f>
      </c>
      <c r="C69" s="4">
        <f>LN('中国汇率&amp;期货（数据表）'!C69)</f>
      </c>
      <c r="D69" s="4">
        <f>LN('中国汇率&amp;期货（数据表）'!D69)</f>
      </c>
      <c r="E69" s="4">
        <f>LN('中国汇率&amp;期货（数据表）'!E69)</f>
      </c>
      <c r="F69" s="4">
        <f>LN('中国汇率&amp;期货（数据表）'!F69)</f>
      </c>
      <c r="G69" s="4">
        <f>LN('中国汇率&amp;期货（数据表）'!G69)</f>
      </c>
      <c r="H69" s="4">
        <f>LN('中国汇率&amp;期货（数据表）'!H69)</f>
      </c>
      <c r="I69" s="4">
        <f>LN('中国汇率&amp;期货（数据表）'!I69)</f>
      </c>
      <c r="J69" s="4">
        <f>LN('中国汇率&amp;期货（数据表）'!J69)</f>
      </c>
      <c r="K69" s="4">
        <f>LN('中国汇率&amp;期货（数据表）'!K69)</f>
      </c>
      <c r="L69" s="4">
        <f>LN('中国汇率&amp;期货（数据表）'!L69)</f>
      </c>
      <c r="M69" s="4">
        <f>LN('中国汇率&amp;期货（数据表）'!M69)</f>
      </c>
      <c r="N69" s="4">
        <f>LN('中国汇率&amp;期货（数据表）'!N69)</f>
      </c>
      <c r="O69" s="4">
        <f>LN('中国汇率&amp;期货（数据表）'!O69)</f>
      </c>
      <c r="P69" s="4">
        <f>LN('中国汇率&amp;期货（数据表）'!P69)</f>
      </c>
      <c r="Q69" s="4">
        <f>LN('中国汇率&amp;期货（数据表）'!Q69)</f>
      </c>
      <c r="R69" s="4">
        <f>LN('中国汇率&amp;期货（数据表）'!R69)</f>
      </c>
      <c r="S69" s="4">
        <f>LN('中国汇率&amp;期货（数据表）'!S69)</f>
      </c>
      <c r="T69" s="4">
        <f>LN('中国汇率&amp;期货（数据表）'!T69)</f>
      </c>
      <c r="U69" s="4">
        <f>LN('中国汇率&amp;期货（数据表）'!U69)</f>
      </c>
      <c r="V69" s="4">
        <f>LN('中国汇率&amp;期货（数据表）'!V69)</f>
      </c>
      <c r="W69" s="4">
        <f>LN('中国汇率&amp;期货（数据表）'!W69)</f>
      </c>
      <c r="X69" s="4">
        <f>LN('中国汇率&amp;期货（数据表）'!X69)</f>
      </c>
      <c r="Y69" s="4">
        <f>LN('中国汇率&amp;期货（数据表）'!Y69)</f>
      </c>
      <c r="Z69" s="4">
        <f>LN('中国汇率&amp;期货（数据表）'!Z69)</f>
      </c>
      <c r="AA69" s="4">
        <f>LN('中国汇率&amp;期货（数据表）'!AA69)</f>
      </c>
      <c r="AB69" s="4">
        <f>LN('中国汇率&amp;期货（数据表）'!AB69)</f>
      </c>
      <c r="AC69" s="4">
        <f>LN('中国汇率&amp;期货（数据表）'!AC69)</f>
      </c>
      <c r="AD69" s="4">
        <f>LN('中国汇率&amp;期货（数据表）'!AD69)</f>
      </c>
      <c r="AE69" s="4">
        <f>LN('中国汇率&amp;期货（数据表）'!AE69)</f>
      </c>
      <c r="AF69" s="4">
        <f>LN('中国汇率&amp;期货（数据表）'!AF69)</f>
      </c>
      <c r="AG69" s="4">
        <f>LN('中国汇率&amp;期货（数据表）'!AG69)</f>
      </c>
      <c r="AH69" s="4">
        <f>LN('中国汇率&amp;期货（数据表）'!AH69)</f>
      </c>
      <c r="AI69" s="4">
        <f>LN('中国汇率&amp;期货（数据表）'!AI69)</f>
      </c>
      <c r="AJ69" s="4">
        <f>LN('中国汇率&amp;期货（数据表）'!AJ69)</f>
      </c>
      <c r="AK69" s="4">
        <f>LN('中国汇率&amp;期货（数据表）'!AK69)</f>
      </c>
      <c r="AL69" s="4">
        <f>LN('中国汇率&amp;期货（数据表）'!AL69)</f>
      </c>
      <c r="AM69" s="4">
        <f>LN('中国汇率&amp;期货（数据表）'!AM69)</f>
      </c>
      <c r="AN69" s="4">
        <f>LN('中国汇率&amp;期货（数据表）'!AN69)</f>
      </c>
      <c r="AO69" s="4">
        <f>LN('中国汇率&amp;期货（数据表）'!AO69)</f>
      </c>
      <c r="AP69" s="4">
        <f>LN('中国汇率&amp;期货（数据表）'!AP69)</f>
      </c>
      <c r="AQ69" s="4">
        <f>LN('中国汇率&amp;期货（数据表）'!AQ69)</f>
      </c>
      <c r="AR69" s="4">
        <f>LN('中国汇率&amp;期货（数据表）'!AR69)</f>
      </c>
      <c r="AS69" s="4">
        <f>LN('中国汇率&amp;期货（数据表）'!AS69)</f>
      </c>
      <c r="AT69" s="4">
        <f>LN('中国汇率&amp;期货（数据表）'!AT69)</f>
      </c>
      <c r="AU69" s="4">
        <f>LN('中国汇率&amp;期货（数据表）'!AU69)</f>
      </c>
      <c r="AV69" s="4">
        <f>LN('中国汇率&amp;期货（数据表）'!AV69)</f>
      </c>
      <c r="AW69" s="4">
        <f>LN('中国汇率&amp;期货（数据表）'!AW69)</f>
      </c>
      <c r="AX69" s="4">
        <f>LN('中国汇率&amp;期货（数据表）'!AX69)</f>
      </c>
      <c r="AY69" s="4">
        <f>LN('中国汇率&amp;期货（数据表）'!AY69)</f>
      </c>
      <c r="AZ69" s="4">
        <f>LN('中国汇率&amp;期货（数据表）'!AZ69)</f>
      </c>
      <c r="BA69" s="4">
        <f>LN('中国汇率&amp;期货（数据表）'!BA69)</f>
      </c>
      <c r="BB69" s="4">
        <f>LN('中国汇率&amp;期货（数据表）'!BB69)</f>
      </c>
      <c r="BC69" s="4">
        <f>LN('中国汇率&amp;期货（数据表）'!BC69)</f>
      </c>
      <c r="BD69" s="4">
        <f>LN('中国汇率&amp;期货（数据表）'!BD69)</f>
      </c>
      <c r="BE69" s="4">
        <f>LN('中国汇率&amp;期货（数据表）'!BE69)</f>
      </c>
    </row>
    <row x14ac:dyDescent="0.25" r="70" customHeight="1" ht="18.75">
      <c r="A70" s="1"/>
      <c r="B70" s="4">
        <f>LN('中国汇率&amp;期货（数据表）'!B70)</f>
      </c>
      <c r="C70" s="4">
        <f>LN('中国汇率&amp;期货（数据表）'!C70)</f>
      </c>
      <c r="D70" s="4">
        <f>LN('中国汇率&amp;期货（数据表）'!D70)</f>
      </c>
      <c r="E70" s="4">
        <f>LN('中国汇率&amp;期货（数据表）'!E70)</f>
      </c>
      <c r="F70" s="4">
        <f>LN('中国汇率&amp;期货（数据表）'!F70)</f>
      </c>
      <c r="G70" s="4">
        <f>LN('中国汇率&amp;期货（数据表）'!G70)</f>
      </c>
      <c r="H70" s="4">
        <f>LN('中国汇率&amp;期货（数据表）'!H70)</f>
      </c>
      <c r="I70" s="4">
        <f>LN('中国汇率&amp;期货（数据表）'!I70)</f>
      </c>
      <c r="J70" s="4">
        <f>LN('中国汇率&amp;期货（数据表）'!J70)</f>
      </c>
      <c r="K70" s="4">
        <f>LN('中国汇率&amp;期货（数据表）'!K70)</f>
      </c>
      <c r="L70" s="4">
        <f>LN('中国汇率&amp;期货（数据表）'!L70)</f>
      </c>
      <c r="M70" s="4">
        <f>LN('中国汇率&amp;期货（数据表）'!M70)</f>
      </c>
      <c r="N70" s="4">
        <f>LN('中国汇率&amp;期货（数据表）'!N70)</f>
      </c>
      <c r="O70" s="4">
        <f>LN('中国汇率&amp;期货（数据表）'!O70)</f>
      </c>
      <c r="P70" s="4">
        <f>LN('中国汇率&amp;期货（数据表）'!P70)</f>
      </c>
      <c r="Q70" s="4">
        <f>LN('中国汇率&amp;期货（数据表）'!Q70)</f>
      </c>
      <c r="R70" s="4">
        <f>LN('中国汇率&amp;期货（数据表）'!R70)</f>
      </c>
      <c r="S70" s="4">
        <f>LN('中国汇率&amp;期货（数据表）'!S70)</f>
      </c>
      <c r="T70" s="4">
        <f>LN('中国汇率&amp;期货（数据表）'!T70)</f>
      </c>
      <c r="U70" s="4">
        <f>LN('中国汇率&amp;期货（数据表）'!U70)</f>
      </c>
      <c r="V70" s="4">
        <f>LN('中国汇率&amp;期货（数据表）'!V70)</f>
      </c>
      <c r="W70" s="4">
        <f>LN('中国汇率&amp;期货（数据表）'!W70)</f>
      </c>
      <c r="X70" s="4">
        <f>LN('中国汇率&amp;期货（数据表）'!X70)</f>
      </c>
      <c r="Y70" s="4">
        <f>LN('中国汇率&amp;期货（数据表）'!Y70)</f>
      </c>
      <c r="Z70" s="4">
        <f>LN('中国汇率&amp;期货（数据表）'!Z70)</f>
      </c>
      <c r="AA70" s="4">
        <f>LN('中国汇率&amp;期货（数据表）'!AA70)</f>
      </c>
      <c r="AB70" s="4">
        <f>LN('中国汇率&amp;期货（数据表）'!AB70)</f>
      </c>
      <c r="AC70" s="4">
        <f>LN('中国汇率&amp;期货（数据表）'!AC70)</f>
      </c>
      <c r="AD70" s="4">
        <f>LN('中国汇率&amp;期货（数据表）'!AD70)</f>
      </c>
      <c r="AE70" s="4">
        <f>LN('中国汇率&amp;期货（数据表）'!AE70)</f>
      </c>
      <c r="AF70" s="4">
        <f>LN('中国汇率&amp;期货（数据表）'!AF70)</f>
      </c>
      <c r="AG70" s="4">
        <f>LN('中国汇率&amp;期货（数据表）'!AG70)</f>
      </c>
      <c r="AH70" s="4">
        <f>LN('中国汇率&amp;期货（数据表）'!AH70)</f>
      </c>
      <c r="AI70" s="4">
        <f>LN('中国汇率&amp;期货（数据表）'!AI70)</f>
      </c>
      <c r="AJ70" s="4">
        <f>LN('中国汇率&amp;期货（数据表）'!AJ70)</f>
      </c>
      <c r="AK70" s="4">
        <f>LN('中国汇率&amp;期货（数据表）'!AK70)</f>
      </c>
      <c r="AL70" s="4">
        <f>LN('中国汇率&amp;期货（数据表）'!AL70)</f>
      </c>
      <c r="AM70" s="4">
        <f>LN('中国汇率&amp;期货（数据表）'!AM70)</f>
      </c>
      <c r="AN70" s="4">
        <f>LN('中国汇率&amp;期货（数据表）'!AN70)</f>
      </c>
      <c r="AO70" s="4">
        <f>LN('中国汇率&amp;期货（数据表）'!AO70)</f>
      </c>
      <c r="AP70" s="4">
        <f>LN('中国汇率&amp;期货（数据表）'!AP70)</f>
      </c>
      <c r="AQ70" s="4">
        <f>LN('中国汇率&amp;期货（数据表）'!AQ70)</f>
      </c>
      <c r="AR70" s="4">
        <f>LN('中国汇率&amp;期货（数据表）'!AR70)</f>
      </c>
      <c r="AS70" s="4">
        <f>LN('中国汇率&amp;期货（数据表）'!AS70)</f>
      </c>
      <c r="AT70" s="4">
        <f>LN('中国汇率&amp;期货（数据表）'!AT70)</f>
      </c>
      <c r="AU70" s="4">
        <f>LN('中国汇率&amp;期货（数据表）'!AU70)</f>
      </c>
      <c r="AV70" s="4">
        <f>LN('中国汇率&amp;期货（数据表）'!AV70)</f>
      </c>
      <c r="AW70" s="4">
        <f>LN('中国汇率&amp;期货（数据表）'!AW70)</f>
      </c>
      <c r="AX70" s="4">
        <f>LN('中国汇率&amp;期货（数据表）'!AX70)</f>
      </c>
      <c r="AY70" s="4">
        <f>LN('中国汇率&amp;期货（数据表）'!AY70)</f>
      </c>
      <c r="AZ70" s="4">
        <f>LN('中国汇率&amp;期货（数据表）'!AZ70)</f>
      </c>
      <c r="BA70" s="4">
        <f>LN('中国汇率&amp;期货（数据表）'!BA70)</f>
      </c>
      <c r="BB70" s="4">
        <f>LN('中国汇率&amp;期货（数据表）'!BB70)</f>
      </c>
      <c r="BC70" s="4">
        <f>LN('中国汇率&amp;期货（数据表）'!BC70)</f>
      </c>
      <c r="BD70" s="4">
        <f>LN('中国汇率&amp;期货（数据表）'!BD70)</f>
      </c>
      <c r="BE70" s="4">
        <f>LN('中国汇率&amp;期货（数据表）'!BE70)</f>
      </c>
    </row>
    <row x14ac:dyDescent="0.25" r="71" customHeight="1" ht="18.75">
      <c r="A71" s="1"/>
      <c r="B71" s="4">
        <f>LN('中国汇率&amp;期货（数据表）'!B71)</f>
      </c>
      <c r="C71" s="4">
        <f>LN('中国汇率&amp;期货（数据表）'!C71)</f>
      </c>
      <c r="D71" s="4">
        <f>LN('中国汇率&amp;期货（数据表）'!D71)</f>
      </c>
      <c r="E71" s="4">
        <f>LN('中国汇率&amp;期货（数据表）'!E71)</f>
      </c>
      <c r="F71" s="4">
        <f>LN('中国汇率&amp;期货（数据表）'!F71)</f>
      </c>
      <c r="G71" s="4">
        <f>LN('中国汇率&amp;期货（数据表）'!G71)</f>
      </c>
      <c r="H71" s="4">
        <f>LN('中国汇率&amp;期货（数据表）'!H71)</f>
      </c>
      <c r="I71" s="4">
        <f>LN('中国汇率&amp;期货（数据表）'!I71)</f>
      </c>
      <c r="J71" s="4">
        <f>LN('中国汇率&amp;期货（数据表）'!J71)</f>
      </c>
      <c r="K71" s="4">
        <f>LN('中国汇率&amp;期货（数据表）'!K71)</f>
      </c>
      <c r="L71" s="4">
        <f>LN('中国汇率&amp;期货（数据表）'!L71)</f>
      </c>
      <c r="M71" s="4">
        <f>LN('中国汇率&amp;期货（数据表）'!M71)</f>
      </c>
      <c r="N71" s="4">
        <f>LN('中国汇率&amp;期货（数据表）'!N71)</f>
      </c>
      <c r="O71" s="4">
        <f>LN('中国汇率&amp;期货（数据表）'!O71)</f>
      </c>
      <c r="P71" s="4">
        <f>LN('中国汇率&amp;期货（数据表）'!P71)</f>
      </c>
      <c r="Q71" s="4">
        <f>LN('中国汇率&amp;期货（数据表）'!Q71)</f>
      </c>
      <c r="R71" s="4">
        <f>LN('中国汇率&amp;期货（数据表）'!R71)</f>
      </c>
      <c r="S71" s="4">
        <f>LN('中国汇率&amp;期货（数据表）'!S71)</f>
      </c>
      <c r="T71" s="4">
        <f>LN('中国汇率&amp;期货（数据表）'!T71)</f>
      </c>
      <c r="U71" s="4">
        <f>LN('中国汇率&amp;期货（数据表）'!U71)</f>
      </c>
      <c r="V71" s="4">
        <f>LN('中国汇率&amp;期货（数据表）'!V71)</f>
      </c>
      <c r="W71" s="4">
        <f>LN('中国汇率&amp;期货（数据表）'!W71)</f>
      </c>
      <c r="X71" s="4">
        <f>LN('中国汇率&amp;期货（数据表）'!X71)</f>
      </c>
      <c r="Y71" s="4">
        <f>LN('中国汇率&amp;期货（数据表）'!Y71)</f>
      </c>
      <c r="Z71" s="4">
        <f>LN('中国汇率&amp;期货（数据表）'!Z71)</f>
      </c>
      <c r="AA71" s="4">
        <f>LN('中国汇率&amp;期货（数据表）'!AA71)</f>
      </c>
      <c r="AB71" s="4">
        <f>LN('中国汇率&amp;期货（数据表）'!AB71)</f>
      </c>
      <c r="AC71" s="4">
        <f>LN('中国汇率&amp;期货（数据表）'!AC71)</f>
      </c>
      <c r="AD71" s="4">
        <f>LN('中国汇率&amp;期货（数据表）'!AD71)</f>
      </c>
      <c r="AE71" s="4">
        <f>LN('中国汇率&amp;期货（数据表）'!AE71)</f>
      </c>
      <c r="AF71" s="4">
        <f>LN('中国汇率&amp;期货（数据表）'!AF71)</f>
      </c>
      <c r="AG71" s="4">
        <f>LN('中国汇率&amp;期货（数据表）'!AG71)</f>
      </c>
      <c r="AH71" s="4">
        <f>LN('中国汇率&amp;期货（数据表）'!AH71)</f>
      </c>
      <c r="AI71" s="4">
        <f>LN('中国汇率&amp;期货（数据表）'!AI71)</f>
      </c>
      <c r="AJ71" s="4">
        <f>LN('中国汇率&amp;期货（数据表）'!AJ71)</f>
      </c>
      <c r="AK71" s="4">
        <f>LN('中国汇率&amp;期货（数据表）'!AK71)</f>
      </c>
      <c r="AL71" s="4">
        <f>LN('中国汇率&amp;期货（数据表）'!AL71)</f>
      </c>
      <c r="AM71" s="4">
        <f>LN('中国汇率&amp;期货（数据表）'!AM71)</f>
      </c>
      <c r="AN71" s="4">
        <f>LN('中国汇率&amp;期货（数据表）'!AN71)</f>
      </c>
      <c r="AO71" s="4">
        <f>LN('中国汇率&amp;期货（数据表）'!AO71)</f>
      </c>
      <c r="AP71" s="4">
        <f>LN('中国汇率&amp;期货（数据表）'!AP71)</f>
      </c>
      <c r="AQ71" s="4">
        <f>LN('中国汇率&amp;期货（数据表）'!AQ71)</f>
      </c>
      <c r="AR71" s="4">
        <f>LN('中国汇率&amp;期货（数据表）'!AR71)</f>
      </c>
      <c r="AS71" s="4">
        <f>LN('中国汇率&amp;期货（数据表）'!AS71)</f>
      </c>
      <c r="AT71" s="4">
        <f>LN('中国汇率&amp;期货（数据表）'!AT71)</f>
      </c>
      <c r="AU71" s="4">
        <f>LN('中国汇率&amp;期货（数据表）'!AU71)</f>
      </c>
      <c r="AV71" s="4">
        <f>LN('中国汇率&amp;期货（数据表）'!AV71)</f>
      </c>
      <c r="AW71" s="4">
        <f>LN('中国汇率&amp;期货（数据表）'!AW71)</f>
      </c>
      <c r="AX71" s="4">
        <f>LN('中国汇率&amp;期货（数据表）'!AX71)</f>
      </c>
      <c r="AY71" s="4">
        <f>LN('中国汇率&amp;期货（数据表）'!AY71)</f>
      </c>
      <c r="AZ71" s="4">
        <f>LN('中国汇率&amp;期货（数据表）'!AZ71)</f>
      </c>
      <c r="BA71" s="4">
        <f>LN('中国汇率&amp;期货（数据表）'!BA71)</f>
      </c>
      <c r="BB71" s="4">
        <f>LN('中国汇率&amp;期货（数据表）'!BB71)</f>
      </c>
      <c r="BC71" s="4">
        <f>LN('中国汇率&amp;期货（数据表）'!BC71)</f>
      </c>
      <c r="BD71" s="4">
        <f>LN('中国汇率&amp;期货（数据表）'!BD71)</f>
      </c>
      <c r="BE71" s="4">
        <f>LN('中国汇率&amp;期货（数据表）'!BE71)</f>
      </c>
    </row>
    <row x14ac:dyDescent="0.25" r="72" customHeight="1" ht="18.75">
      <c r="A72" s="1"/>
      <c r="B72" s="4">
        <f>LN('中国汇率&amp;期货（数据表）'!B72)</f>
      </c>
      <c r="C72" s="4">
        <f>LN('中国汇率&amp;期货（数据表）'!C72)</f>
      </c>
      <c r="D72" s="4">
        <f>LN('中国汇率&amp;期货（数据表）'!D72)</f>
      </c>
      <c r="E72" s="4">
        <f>LN('中国汇率&amp;期货（数据表）'!E72)</f>
      </c>
      <c r="F72" s="4">
        <f>LN('中国汇率&amp;期货（数据表）'!F72)</f>
      </c>
      <c r="G72" s="4">
        <f>LN('中国汇率&amp;期货（数据表）'!G72)</f>
      </c>
      <c r="H72" s="4">
        <f>LN('中国汇率&amp;期货（数据表）'!H72)</f>
      </c>
      <c r="I72" s="4">
        <f>LN('中国汇率&amp;期货（数据表）'!I72)</f>
      </c>
      <c r="J72" s="4">
        <f>LN('中国汇率&amp;期货（数据表）'!J72)</f>
      </c>
      <c r="K72" s="4">
        <f>LN('中国汇率&amp;期货（数据表）'!K72)</f>
      </c>
      <c r="L72" s="4">
        <f>LN('中国汇率&amp;期货（数据表）'!L72)</f>
      </c>
      <c r="M72" s="4">
        <f>LN('中国汇率&amp;期货（数据表）'!M72)</f>
      </c>
      <c r="N72" s="4">
        <f>LN('中国汇率&amp;期货（数据表）'!N72)</f>
      </c>
      <c r="O72" s="4">
        <f>LN('中国汇率&amp;期货（数据表）'!O72)</f>
      </c>
      <c r="P72" s="4">
        <f>LN('中国汇率&amp;期货（数据表）'!P72)</f>
      </c>
      <c r="Q72" s="4">
        <f>LN('中国汇率&amp;期货（数据表）'!Q72)</f>
      </c>
      <c r="R72" s="4">
        <f>LN('中国汇率&amp;期货（数据表）'!R72)</f>
      </c>
      <c r="S72" s="4">
        <f>LN('中国汇率&amp;期货（数据表）'!S72)</f>
      </c>
      <c r="T72" s="4">
        <f>LN('中国汇率&amp;期货（数据表）'!T72)</f>
      </c>
      <c r="U72" s="4">
        <f>LN('中国汇率&amp;期货（数据表）'!U72)</f>
      </c>
      <c r="V72" s="4">
        <f>LN('中国汇率&amp;期货（数据表）'!V72)</f>
      </c>
      <c r="W72" s="4">
        <f>LN('中国汇率&amp;期货（数据表）'!W72)</f>
      </c>
      <c r="X72" s="4">
        <f>LN('中国汇率&amp;期货（数据表）'!X72)</f>
      </c>
      <c r="Y72" s="4">
        <f>LN('中国汇率&amp;期货（数据表）'!Y72)</f>
      </c>
      <c r="Z72" s="4">
        <f>LN('中国汇率&amp;期货（数据表）'!Z72)</f>
      </c>
      <c r="AA72" s="4">
        <f>LN('中国汇率&amp;期货（数据表）'!AA72)</f>
      </c>
      <c r="AB72" s="4">
        <f>LN('中国汇率&amp;期货（数据表）'!AB72)</f>
      </c>
      <c r="AC72" s="4">
        <f>LN('中国汇率&amp;期货（数据表）'!AC72)</f>
      </c>
      <c r="AD72" s="4">
        <f>LN('中国汇率&amp;期货（数据表）'!AD72)</f>
      </c>
      <c r="AE72" s="4">
        <f>LN('中国汇率&amp;期货（数据表）'!AE72)</f>
      </c>
      <c r="AF72" s="4">
        <f>LN('中国汇率&amp;期货（数据表）'!AF72)</f>
      </c>
      <c r="AG72" s="4">
        <f>LN('中国汇率&amp;期货（数据表）'!AG72)</f>
      </c>
      <c r="AH72" s="4">
        <f>LN('中国汇率&amp;期货（数据表）'!AH72)</f>
      </c>
      <c r="AI72" s="4">
        <f>LN('中国汇率&amp;期货（数据表）'!AI72)</f>
      </c>
      <c r="AJ72" s="4">
        <f>LN('中国汇率&amp;期货（数据表）'!AJ72)</f>
      </c>
      <c r="AK72" s="4">
        <f>LN('中国汇率&amp;期货（数据表）'!AK72)</f>
      </c>
      <c r="AL72" s="4">
        <f>LN('中国汇率&amp;期货（数据表）'!AL72)</f>
      </c>
      <c r="AM72" s="4">
        <f>LN('中国汇率&amp;期货（数据表）'!AM72)</f>
      </c>
      <c r="AN72" s="4">
        <f>LN('中国汇率&amp;期货（数据表）'!AN72)</f>
      </c>
      <c r="AO72" s="4">
        <f>LN('中国汇率&amp;期货（数据表）'!AO72)</f>
      </c>
      <c r="AP72" s="4">
        <f>LN('中国汇率&amp;期货（数据表）'!AP72)</f>
      </c>
      <c r="AQ72" s="4">
        <f>LN('中国汇率&amp;期货（数据表）'!AQ72)</f>
      </c>
      <c r="AR72" s="4">
        <f>LN('中国汇率&amp;期货（数据表）'!AR72)</f>
      </c>
      <c r="AS72" s="4">
        <f>LN('中国汇率&amp;期货（数据表）'!AS72)</f>
      </c>
      <c r="AT72" s="4">
        <f>LN('中国汇率&amp;期货（数据表）'!AT72)</f>
      </c>
      <c r="AU72" s="4">
        <f>LN('中国汇率&amp;期货（数据表）'!AU72)</f>
      </c>
      <c r="AV72" s="4">
        <f>LN('中国汇率&amp;期货（数据表）'!AV72)</f>
      </c>
      <c r="AW72" s="4">
        <f>LN('中国汇率&amp;期货（数据表）'!AW72)</f>
      </c>
      <c r="AX72" s="4">
        <f>LN('中国汇率&amp;期货（数据表）'!AX72)</f>
      </c>
      <c r="AY72" s="4">
        <f>LN('中国汇率&amp;期货（数据表）'!AY72)</f>
      </c>
      <c r="AZ72" s="4">
        <f>LN('中国汇率&amp;期货（数据表）'!AZ72)</f>
      </c>
      <c r="BA72" s="4">
        <f>LN('中国汇率&amp;期货（数据表）'!BA72)</f>
      </c>
      <c r="BB72" s="4">
        <f>LN('中国汇率&amp;期货（数据表）'!BB72)</f>
      </c>
      <c r="BC72" s="4">
        <f>LN('中国汇率&amp;期货（数据表）'!BC72)</f>
      </c>
      <c r="BD72" s="4">
        <f>LN('中国汇率&amp;期货（数据表）'!BD72)</f>
      </c>
      <c r="BE72" s="4">
        <f>LN('中国汇率&amp;期货（数据表）'!BE72)</f>
      </c>
    </row>
    <row x14ac:dyDescent="0.25" r="73" customHeight="1" ht="18.75">
      <c r="A73" s="1"/>
      <c r="B73" s="4">
        <f>LN('中国汇率&amp;期货（数据表）'!B73)</f>
      </c>
      <c r="C73" s="4">
        <f>LN('中国汇率&amp;期货（数据表）'!C73)</f>
      </c>
      <c r="D73" s="4">
        <f>LN('中国汇率&amp;期货（数据表）'!D73)</f>
      </c>
      <c r="E73" s="4">
        <f>LN('中国汇率&amp;期货（数据表）'!E73)</f>
      </c>
      <c r="F73" s="4">
        <f>LN('中国汇率&amp;期货（数据表）'!F73)</f>
      </c>
      <c r="G73" s="4">
        <f>LN('中国汇率&amp;期货（数据表）'!G73)</f>
      </c>
      <c r="H73" s="4">
        <f>LN('中国汇率&amp;期货（数据表）'!H73)</f>
      </c>
      <c r="I73" s="4">
        <f>LN('中国汇率&amp;期货（数据表）'!I73)</f>
      </c>
      <c r="J73" s="4">
        <f>LN('中国汇率&amp;期货（数据表）'!J73)</f>
      </c>
      <c r="K73" s="4">
        <f>LN('中国汇率&amp;期货（数据表）'!K73)</f>
      </c>
      <c r="L73" s="4">
        <f>LN('中国汇率&amp;期货（数据表）'!L73)</f>
      </c>
      <c r="M73" s="4">
        <f>LN('中国汇率&amp;期货（数据表）'!M73)</f>
      </c>
      <c r="N73" s="4">
        <f>LN('中国汇率&amp;期货（数据表）'!N73)</f>
      </c>
      <c r="O73" s="4">
        <f>LN('中国汇率&amp;期货（数据表）'!O73)</f>
      </c>
      <c r="P73" s="4">
        <f>LN('中国汇率&amp;期货（数据表）'!P73)</f>
      </c>
      <c r="Q73" s="4">
        <f>LN('中国汇率&amp;期货（数据表）'!Q73)</f>
      </c>
      <c r="R73" s="4">
        <f>LN('中国汇率&amp;期货（数据表）'!R73)</f>
      </c>
      <c r="S73" s="4">
        <f>LN('中国汇率&amp;期货（数据表）'!S73)</f>
      </c>
      <c r="T73" s="4">
        <f>LN('中国汇率&amp;期货（数据表）'!T73)</f>
      </c>
      <c r="U73" s="4">
        <f>LN('中国汇率&amp;期货（数据表）'!U73)</f>
      </c>
      <c r="V73" s="4">
        <f>LN('中国汇率&amp;期货（数据表）'!V73)</f>
      </c>
      <c r="W73" s="4">
        <f>LN('中国汇率&amp;期货（数据表）'!W73)</f>
      </c>
      <c r="X73" s="4">
        <f>LN('中国汇率&amp;期货（数据表）'!X73)</f>
      </c>
      <c r="Y73" s="4">
        <f>LN('中国汇率&amp;期货（数据表）'!Y73)</f>
      </c>
      <c r="Z73" s="4">
        <f>LN('中国汇率&amp;期货（数据表）'!Z73)</f>
      </c>
      <c r="AA73" s="4">
        <f>LN('中国汇率&amp;期货（数据表）'!AA73)</f>
      </c>
      <c r="AB73" s="4">
        <f>LN('中国汇率&amp;期货（数据表）'!AB73)</f>
      </c>
      <c r="AC73" s="4">
        <f>LN('中国汇率&amp;期货（数据表）'!AC73)</f>
      </c>
      <c r="AD73" s="4">
        <f>LN('中国汇率&amp;期货（数据表）'!AD73)</f>
      </c>
      <c r="AE73" s="4">
        <f>LN('中国汇率&amp;期货（数据表）'!AE73)</f>
      </c>
      <c r="AF73" s="4">
        <f>LN('中国汇率&amp;期货（数据表）'!AF73)</f>
      </c>
      <c r="AG73" s="4">
        <f>LN('中国汇率&amp;期货（数据表）'!AG73)</f>
      </c>
      <c r="AH73" s="4">
        <f>LN('中国汇率&amp;期货（数据表）'!AH73)</f>
      </c>
      <c r="AI73" s="4">
        <f>LN('中国汇率&amp;期货（数据表）'!AI73)</f>
      </c>
      <c r="AJ73" s="4">
        <f>LN('中国汇率&amp;期货（数据表）'!AJ73)</f>
      </c>
      <c r="AK73" s="4">
        <f>LN('中国汇率&amp;期货（数据表）'!AK73)</f>
      </c>
      <c r="AL73" s="4">
        <f>LN('中国汇率&amp;期货（数据表）'!AL73)</f>
      </c>
      <c r="AM73" s="4">
        <f>LN('中国汇率&amp;期货（数据表）'!AM73)</f>
      </c>
      <c r="AN73" s="4">
        <f>LN('中国汇率&amp;期货（数据表）'!AN73)</f>
      </c>
      <c r="AO73" s="4">
        <f>LN('中国汇率&amp;期货（数据表）'!AO73)</f>
      </c>
      <c r="AP73" s="4">
        <f>LN('中国汇率&amp;期货（数据表）'!AP73)</f>
      </c>
      <c r="AQ73" s="4">
        <f>LN('中国汇率&amp;期货（数据表）'!AQ73)</f>
      </c>
      <c r="AR73" s="4">
        <f>LN('中国汇率&amp;期货（数据表）'!AR73)</f>
      </c>
      <c r="AS73" s="4">
        <f>LN('中国汇率&amp;期货（数据表）'!AS73)</f>
      </c>
      <c r="AT73" s="4">
        <f>LN('中国汇率&amp;期货（数据表）'!AT73)</f>
      </c>
      <c r="AU73" s="4">
        <f>LN('中国汇率&amp;期货（数据表）'!AU73)</f>
      </c>
      <c r="AV73" s="4">
        <f>LN('中国汇率&amp;期货（数据表）'!AV73)</f>
      </c>
      <c r="AW73" s="4">
        <f>LN('中国汇率&amp;期货（数据表）'!AW73)</f>
      </c>
      <c r="AX73" s="4">
        <f>LN('中国汇率&amp;期货（数据表）'!AX73)</f>
      </c>
      <c r="AY73" s="4">
        <f>LN('中国汇率&amp;期货（数据表）'!AY73)</f>
      </c>
      <c r="AZ73" s="4">
        <f>LN('中国汇率&amp;期货（数据表）'!AZ73)</f>
      </c>
      <c r="BA73" s="4">
        <f>LN('中国汇率&amp;期货（数据表）'!BA73)</f>
      </c>
      <c r="BB73" s="4">
        <f>LN('中国汇率&amp;期货（数据表）'!BB73)</f>
      </c>
      <c r="BC73" s="4">
        <f>LN('中国汇率&amp;期货（数据表）'!BC73)</f>
      </c>
      <c r="BD73" s="4">
        <f>LN('中国汇率&amp;期货（数据表）'!BD73)</f>
      </c>
      <c r="BE73" s="4">
        <f>LN('中国汇率&amp;期货（数据表）'!BE73)</f>
      </c>
    </row>
    <row x14ac:dyDescent="0.25" r="74" customHeight="1" ht="18.75">
      <c r="A74" s="1"/>
      <c r="B74" s="4">
        <f>LN('中国汇率&amp;期货（数据表）'!B74)</f>
      </c>
      <c r="C74" s="4">
        <f>LN('中国汇率&amp;期货（数据表）'!C74)</f>
      </c>
      <c r="D74" s="4">
        <f>LN('中国汇率&amp;期货（数据表）'!D74)</f>
      </c>
      <c r="E74" s="4">
        <f>LN('中国汇率&amp;期货（数据表）'!E74)</f>
      </c>
      <c r="F74" s="4">
        <f>LN('中国汇率&amp;期货（数据表）'!F74)</f>
      </c>
      <c r="G74" s="4">
        <f>LN('中国汇率&amp;期货（数据表）'!G74)</f>
      </c>
      <c r="H74" s="4">
        <f>LN('中国汇率&amp;期货（数据表）'!H74)</f>
      </c>
      <c r="I74" s="4">
        <f>LN('中国汇率&amp;期货（数据表）'!I74)</f>
      </c>
      <c r="J74" s="4">
        <f>LN('中国汇率&amp;期货（数据表）'!J74)</f>
      </c>
      <c r="K74" s="4">
        <f>LN('中国汇率&amp;期货（数据表）'!K74)</f>
      </c>
      <c r="L74" s="4">
        <f>LN('中国汇率&amp;期货（数据表）'!L74)</f>
      </c>
      <c r="M74" s="4">
        <f>LN('中国汇率&amp;期货（数据表）'!M74)</f>
      </c>
      <c r="N74" s="4">
        <f>LN('中国汇率&amp;期货（数据表）'!N74)</f>
      </c>
      <c r="O74" s="4">
        <f>LN('中国汇率&amp;期货（数据表）'!O74)</f>
      </c>
      <c r="P74" s="4">
        <f>LN('中国汇率&amp;期货（数据表）'!P74)</f>
      </c>
      <c r="Q74" s="4">
        <f>LN('中国汇率&amp;期货（数据表）'!Q74)</f>
      </c>
      <c r="R74" s="4">
        <f>LN('中国汇率&amp;期货（数据表）'!R74)</f>
      </c>
      <c r="S74" s="4">
        <f>LN('中国汇率&amp;期货（数据表）'!S74)</f>
      </c>
      <c r="T74" s="4">
        <f>LN('中国汇率&amp;期货（数据表）'!T74)</f>
      </c>
      <c r="U74" s="4">
        <f>LN('中国汇率&amp;期货（数据表）'!U74)</f>
      </c>
      <c r="V74" s="4">
        <f>LN('中国汇率&amp;期货（数据表）'!V74)</f>
      </c>
      <c r="W74" s="4">
        <f>LN('中国汇率&amp;期货（数据表）'!W74)</f>
      </c>
      <c r="X74" s="4">
        <f>LN('中国汇率&amp;期货（数据表）'!X74)</f>
      </c>
      <c r="Y74" s="4">
        <f>LN('中国汇率&amp;期货（数据表）'!Y74)</f>
      </c>
      <c r="Z74" s="4">
        <f>LN('中国汇率&amp;期货（数据表）'!Z74)</f>
      </c>
      <c r="AA74" s="4">
        <f>LN('中国汇率&amp;期货（数据表）'!AA74)</f>
      </c>
      <c r="AB74" s="4">
        <f>LN('中国汇率&amp;期货（数据表）'!AB74)</f>
      </c>
      <c r="AC74" s="4">
        <f>LN('中国汇率&amp;期货（数据表）'!AC74)</f>
      </c>
      <c r="AD74" s="4">
        <f>LN('中国汇率&amp;期货（数据表）'!AD74)</f>
      </c>
      <c r="AE74" s="4">
        <f>LN('中国汇率&amp;期货（数据表）'!AE74)</f>
      </c>
      <c r="AF74" s="4">
        <f>LN('中国汇率&amp;期货（数据表）'!AF74)</f>
      </c>
      <c r="AG74" s="4">
        <f>LN('中国汇率&amp;期货（数据表）'!AG74)</f>
      </c>
      <c r="AH74" s="4">
        <f>LN('中国汇率&amp;期货（数据表）'!AH74)</f>
      </c>
      <c r="AI74" s="4">
        <f>LN('中国汇率&amp;期货（数据表）'!AI74)</f>
      </c>
      <c r="AJ74" s="4">
        <f>LN('中国汇率&amp;期货（数据表）'!AJ74)</f>
      </c>
      <c r="AK74" s="4">
        <f>LN('中国汇率&amp;期货（数据表）'!AK74)</f>
      </c>
      <c r="AL74" s="4">
        <f>LN('中国汇率&amp;期货（数据表）'!AL74)</f>
      </c>
      <c r="AM74" s="4">
        <f>LN('中国汇率&amp;期货（数据表）'!AM74)</f>
      </c>
      <c r="AN74" s="4">
        <f>LN('中国汇率&amp;期货（数据表）'!AN74)</f>
      </c>
      <c r="AO74" s="4">
        <f>LN('中国汇率&amp;期货（数据表）'!AO74)</f>
      </c>
      <c r="AP74" s="4">
        <f>LN('中国汇率&amp;期货（数据表）'!AP74)</f>
      </c>
      <c r="AQ74" s="4">
        <f>LN('中国汇率&amp;期货（数据表）'!AQ74)</f>
      </c>
      <c r="AR74" s="4">
        <f>LN('中国汇率&amp;期货（数据表）'!AR74)</f>
      </c>
      <c r="AS74" s="4">
        <f>LN('中国汇率&amp;期货（数据表）'!AS74)</f>
      </c>
      <c r="AT74" s="4">
        <f>LN('中国汇率&amp;期货（数据表）'!AT74)</f>
      </c>
      <c r="AU74" s="4">
        <f>LN('中国汇率&amp;期货（数据表）'!AU74)</f>
      </c>
      <c r="AV74" s="4">
        <f>LN('中国汇率&amp;期货（数据表）'!AV74)</f>
      </c>
      <c r="AW74" s="4">
        <f>LN('中国汇率&amp;期货（数据表）'!AW74)</f>
      </c>
      <c r="AX74" s="4">
        <f>LN('中国汇率&amp;期货（数据表）'!AX74)</f>
      </c>
      <c r="AY74" s="4">
        <f>LN('中国汇率&amp;期货（数据表）'!AY74)</f>
      </c>
      <c r="AZ74" s="4">
        <f>LN('中国汇率&amp;期货（数据表）'!AZ74)</f>
      </c>
      <c r="BA74" s="4">
        <f>LN('中国汇率&amp;期货（数据表）'!BA74)</f>
      </c>
      <c r="BB74" s="4">
        <f>LN('中国汇率&amp;期货（数据表）'!BB74)</f>
      </c>
      <c r="BC74" s="4">
        <f>LN('中国汇率&amp;期货（数据表）'!BC74)</f>
      </c>
      <c r="BD74" s="4">
        <f>LN('中国汇率&amp;期货（数据表）'!BD74)</f>
      </c>
      <c r="BE74" s="4">
        <f>LN('中国汇率&amp;期货（数据表）'!BE74)</f>
      </c>
    </row>
    <row x14ac:dyDescent="0.25" r="75" customHeight="1" ht="18.75">
      <c r="A75" s="1"/>
      <c r="B75" s="4">
        <f>LN('中国汇率&amp;期货（数据表）'!B75)</f>
      </c>
      <c r="C75" s="4">
        <f>LN('中国汇率&amp;期货（数据表）'!C75)</f>
      </c>
      <c r="D75" s="4">
        <f>LN('中国汇率&amp;期货（数据表）'!D75)</f>
      </c>
      <c r="E75" s="4">
        <f>LN('中国汇率&amp;期货（数据表）'!E75)</f>
      </c>
      <c r="F75" s="4">
        <f>LN('中国汇率&amp;期货（数据表）'!F75)</f>
      </c>
      <c r="G75" s="4">
        <f>LN('中国汇率&amp;期货（数据表）'!G75)</f>
      </c>
      <c r="H75" s="4">
        <f>LN('中国汇率&amp;期货（数据表）'!H75)</f>
      </c>
      <c r="I75" s="4">
        <f>LN('中国汇率&amp;期货（数据表）'!I75)</f>
      </c>
      <c r="J75" s="4">
        <f>LN('中国汇率&amp;期货（数据表）'!J75)</f>
      </c>
      <c r="K75" s="4">
        <f>LN('中国汇率&amp;期货（数据表）'!K75)</f>
      </c>
      <c r="L75" s="4">
        <f>LN('中国汇率&amp;期货（数据表）'!L75)</f>
      </c>
      <c r="M75" s="4">
        <f>LN('中国汇率&amp;期货（数据表）'!M75)</f>
      </c>
      <c r="N75" s="4">
        <f>LN('中国汇率&amp;期货（数据表）'!N75)</f>
      </c>
      <c r="O75" s="4">
        <f>LN('中国汇率&amp;期货（数据表）'!O75)</f>
      </c>
      <c r="P75" s="4">
        <f>LN('中国汇率&amp;期货（数据表）'!P75)</f>
      </c>
      <c r="Q75" s="4">
        <f>LN('中国汇率&amp;期货（数据表）'!Q75)</f>
      </c>
      <c r="R75" s="4">
        <f>LN('中国汇率&amp;期货（数据表）'!R75)</f>
      </c>
      <c r="S75" s="4">
        <f>LN('中国汇率&amp;期货（数据表）'!S75)</f>
      </c>
      <c r="T75" s="4">
        <f>LN('中国汇率&amp;期货（数据表）'!T75)</f>
      </c>
      <c r="U75" s="4">
        <f>LN('中国汇率&amp;期货（数据表）'!U75)</f>
      </c>
      <c r="V75" s="4">
        <f>LN('中国汇率&amp;期货（数据表）'!V75)</f>
      </c>
      <c r="W75" s="4">
        <f>LN('中国汇率&amp;期货（数据表）'!W75)</f>
      </c>
      <c r="X75" s="4">
        <f>LN('中国汇率&amp;期货（数据表）'!X75)</f>
      </c>
      <c r="Y75" s="4">
        <f>LN('中国汇率&amp;期货（数据表）'!Y75)</f>
      </c>
      <c r="Z75" s="4">
        <f>LN('中国汇率&amp;期货（数据表）'!Z75)</f>
      </c>
      <c r="AA75" s="4">
        <f>LN('中国汇率&amp;期货（数据表）'!AA75)</f>
      </c>
      <c r="AB75" s="4">
        <f>LN('中国汇率&amp;期货（数据表）'!AB75)</f>
      </c>
      <c r="AC75" s="4">
        <f>LN('中国汇率&amp;期货（数据表）'!AC75)</f>
      </c>
      <c r="AD75" s="4">
        <f>LN('中国汇率&amp;期货（数据表）'!AD75)</f>
      </c>
      <c r="AE75" s="4">
        <f>LN('中国汇率&amp;期货（数据表）'!AE75)</f>
      </c>
      <c r="AF75" s="4">
        <f>LN('中国汇率&amp;期货（数据表）'!AF75)</f>
      </c>
      <c r="AG75" s="4">
        <f>LN('中国汇率&amp;期货（数据表）'!AG75)</f>
      </c>
      <c r="AH75" s="4">
        <f>LN('中国汇率&amp;期货（数据表）'!AH75)</f>
      </c>
      <c r="AI75" s="4">
        <f>LN('中国汇率&amp;期货（数据表）'!AI75)</f>
      </c>
      <c r="AJ75" s="4">
        <f>LN('中国汇率&amp;期货（数据表）'!AJ75)</f>
      </c>
      <c r="AK75" s="4">
        <f>LN('中国汇率&amp;期货（数据表）'!AK75)</f>
      </c>
      <c r="AL75" s="4">
        <f>LN('中国汇率&amp;期货（数据表）'!AL75)</f>
      </c>
      <c r="AM75" s="4">
        <f>LN('中国汇率&amp;期货（数据表）'!AM75)</f>
      </c>
      <c r="AN75" s="4">
        <f>LN('中国汇率&amp;期货（数据表）'!AN75)</f>
      </c>
      <c r="AO75" s="4">
        <f>LN('中国汇率&amp;期货（数据表）'!AO75)</f>
      </c>
      <c r="AP75" s="4">
        <f>LN('中国汇率&amp;期货（数据表）'!AP75)</f>
      </c>
      <c r="AQ75" s="4">
        <f>LN('中国汇率&amp;期货（数据表）'!AQ75)</f>
      </c>
      <c r="AR75" s="4">
        <f>LN('中国汇率&amp;期货（数据表）'!AR75)</f>
      </c>
      <c r="AS75" s="4">
        <f>LN('中国汇率&amp;期货（数据表）'!AS75)</f>
      </c>
      <c r="AT75" s="4">
        <f>LN('中国汇率&amp;期货（数据表）'!AT75)</f>
      </c>
      <c r="AU75" s="4">
        <f>LN('中国汇率&amp;期货（数据表）'!AU75)</f>
      </c>
      <c r="AV75" s="4">
        <f>LN('中国汇率&amp;期货（数据表）'!AV75)</f>
      </c>
      <c r="AW75" s="4">
        <f>LN('中国汇率&amp;期货（数据表）'!AW75)</f>
      </c>
      <c r="AX75" s="4">
        <f>LN('中国汇率&amp;期货（数据表）'!AX75)</f>
      </c>
      <c r="AY75" s="4">
        <f>LN('中国汇率&amp;期货（数据表）'!AY75)</f>
      </c>
      <c r="AZ75" s="4">
        <f>LN('中国汇率&amp;期货（数据表）'!AZ75)</f>
      </c>
      <c r="BA75" s="4">
        <f>LN('中国汇率&amp;期货（数据表）'!BA75)</f>
      </c>
      <c r="BB75" s="4">
        <f>LN('中国汇率&amp;期货（数据表）'!BB75)</f>
      </c>
      <c r="BC75" s="4">
        <f>LN('中国汇率&amp;期货（数据表）'!BC75)</f>
      </c>
      <c r="BD75" s="4">
        <f>LN('中国汇率&amp;期货（数据表）'!BD75)</f>
      </c>
      <c r="BE75" s="4">
        <f>LN('中国汇率&amp;期货（数据表）'!BE75)</f>
      </c>
    </row>
    <row x14ac:dyDescent="0.25" r="76" customHeight="1" ht="18.75">
      <c r="A76" s="1"/>
      <c r="B76" s="4">
        <f>LN('中国汇率&amp;期货（数据表）'!B76)</f>
      </c>
      <c r="C76" s="4">
        <f>LN('中国汇率&amp;期货（数据表）'!C76)</f>
      </c>
      <c r="D76" s="4">
        <f>LN('中国汇率&amp;期货（数据表）'!D76)</f>
      </c>
      <c r="E76" s="4">
        <f>LN('中国汇率&amp;期货（数据表）'!E76)</f>
      </c>
      <c r="F76" s="4">
        <f>LN('中国汇率&amp;期货（数据表）'!F76)</f>
      </c>
      <c r="G76" s="4">
        <f>LN('中国汇率&amp;期货（数据表）'!G76)</f>
      </c>
      <c r="H76" s="4">
        <f>LN('中国汇率&amp;期货（数据表）'!H76)</f>
      </c>
      <c r="I76" s="4">
        <f>LN('中国汇率&amp;期货（数据表）'!I76)</f>
      </c>
      <c r="J76" s="4">
        <f>LN('中国汇率&amp;期货（数据表）'!J76)</f>
      </c>
      <c r="K76" s="4">
        <f>LN('中国汇率&amp;期货（数据表）'!K76)</f>
      </c>
      <c r="L76" s="4">
        <f>LN('中国汇率&amp;期货（数据表）'!L76)</f>
      </c>
      <c r="M76" s="4">
        <f>LN('中国汇率&amp;期货（数据表）'!M76)</f>
      </c>
      <c r="N76" s="4">
        <f>LN('中国汇率&amp;期货（数据表）'!N76)</f>
      </c>
      <c r="O76" s="4">
        <f>LN('中国汇率&amp;期货（数据表）'!O76)</f>
      </c>
      <c r="P76" s="4">
        <f>LN('中国汇率&amp;期货（数据表）'!P76)</f>
      </c>
      <c r="Q76" s="4">
        <f>LN('中国汇率&amp;期货（数据表）'!Q76)</f>
      </c>
      <c r="R76" s="4">
        <f>LN('中国汇率&amp;期货（数据表）'!R76)</f>
      </c>
      <c r="S76" s="4">
        <f>LN('中国汇率&amp;期货（数据表）'!S76)</f>
      </c>
      <c r="T76" s="4">
        <f>LN('中国汇率&amp;期货（数据表）'!T76)</f>
      </c>
      <c r="U76" s="4">
        <f>LN('中国汇率&amp;期货（数据表）'!U76)</f>
      </c>
      <c r="V76" s="4">
        <f>LN('中国汇率&amp;期货（数据表）'!V76)</f>
      </c>
      <c r="W76" s="4">
        <f>LN('中国汇率&amp;期货（数据表）'!W76)</f>
      </c>
      <c r="X76" s="4">
        <f>LN('中国汇率&amp;期货（数据表）'!X76)</f>
      </c>
      <c r="Y76" s="4">
        <f>LN('中国汇率&amp;期货（数据表）'!Y76)</f>
      </c>
      <c r="Z76" s="4">
        <f>LN('中国汇率&amp;期货（数据表）'!Z76)</f>
      </c>
      <c r="AA76" s="4">
        <f>LN('中国汇率&amp;期货（数据表）'!AA76)</f>
      </c>
      <c r="AB76" s="4">
        <f>LN('中国汇率&amp;期货（数据表）'!AB76)</f>
      </c>
      <c r="AC76" s="4">
        <f>LN('中国汇率&amp;期货（数据表）'!AC76)</f>
      </c>
      <c r="AD76" s="4">
        <f>LN('中国汇率&amp;期货（数据表）'!AD76)</f>
      </c>
      <c r="AE76" s="4">
        <f>LN('中国汇率&amp;期货（数据表）'!AE76)</f>
      </c>
      <c r="AF76" s="4">
        <f>LN('中国汇率&amp;期货（数据表）'!AF76)</f>
      </c>
      <c r="AG76" s="4">
        <f>LN('中国汇率&amp;期货（数据表）'!AG76)</f>
      </c>
      <c r="AH76" s="4">
        <f>LN('中国汇率&amp;期货（数据表）'!AH76)</f>
      </c>
      <c r="AI76" s="4">
        <f>LN('中国汇率&amp;期货（数据表）'!AI76)</f>
      </c>
      <c r="AJ76" s="4">
        <f>LN('中国汇率&amp;期货（数据表）'!AJ76)</f>
      </c>
      <c r="AK76" s="4">
        <f>LN('中国汇率&amp;期货（数据表）'!AK76)</f>
      </c>
      <c r="AL76" s="4">
        <f>LN('中国汇率&amp;期货（数据表）'!AL76)</f>
      </c>
      <c r="AM76" s="4">
        <f>LN('中国汇率&amp;期货（数据表）'!AM76)</f>
      </c>
      <c r="AN76" s="4">
        <f>LN('中国汇率&amp;期货（数据表）'!AN76)</f>
      </c>
      <c r="AO76" s="4">
        <f>LN('中国汇率&amp;期货（数据表）'!AO76)</f>
      </c>
      <c r="AP76" s="4">
        <f>LN('中国汇率&amp;期货（数据表）'!AP76)</f>
      </c>
      <c r="AQ76" s="4">
        <f>LN('中国汇率&amp;期货（数据表）'!AQ76)</f>
      </c>
      <c r="AR76" s="4">
        <f>LN('中国汇率&amp;期货（数据表）'!AR76)</f>
      </c>
      <c r="AS76" s="4">
        <f>LN('中国汇率&amp;期货（数据表）'!AS76)</f>
      </c>
      <c r="AT76" s="4">
        <f>LN('中国汇率&amp;期货（数据表）'!AT76)</f>
      </c>
      <c r="AU76" s="4">
        <f>LN('中国汇率&amp;期货（数据表）'!AU76)</f>
      </c>
      <c r="AV76" s="4">
        <f>LN('中国汇率&amp;期货（数据表）'!AV76)</f>
      </c>
      <c r="AW76" s="4">
        <f>LN('中国汇率&amp;期货（数据表）'!AW76)</f>
      </c>
      <c r="AX76" s="4">
        <f>LN('中国汇率&amp;期货（数据表）'!AX76)</f>
      </c>
      <c r="AY76" s="4">
        <f>LN('中国汇率&amp;期货（数据表）'!AY76)</f>
      </c>
      <c r="AZ76" s="4">
        <f>LN('中国汇率&amp;期货（数据表）'!AZ76)</f>
      </c>
      <c r="BA76" s="4">
        <f>LN('中国汇率&amp;期货（数据表）'!BA76)</f>
      </c>
      <c r="BB76" s="4">
        <f>LN('中国汇率&amp;期货（数据表）'!BB76)</f>
      </c>
      <c r="BC76" s="4">
        <f>LN('中国汇率&amp;期货（数据表）'!BC76)</f>
      </c>
      <c r="BD76" s="4">
        <f>LN('中国汇率&amp;期货（数据表）'!BD76)</f>
      </c>
      <c r="BE76" s="4">
        <f>LN('中国汇率&amp;期货（数据表）'!BE76)</f>
      </c>
    </row>
    <row x14ac:dyDescent="0.25" r="77" customHeight="1" ht="18.75">
      <c r="A77" s="1"/>
      <c r="B77" s="4">
        <f>LN('中国汇率&amp;期货（数据表）'!B77)</f>
      </c>
      <c r="C77" s="4">
        <f>LN('中国汇率&amp;期货（数据表）'!C77)</f>
      </c>
      <c r="D77" s="4">
        <f>LN('中国汇率&amp;期货（数据表）'!D77)</f>
      </c>
      <c r="E77" s="4">
        <f>LN('中国汇率&amp;期货（数据表）'!E77)</f>
      </c>
      <c r="F77" s="4">
        <f>LN('中国汇率&amp;期货（数据表）'!F77)</f>
      </c>
      <c r="G77" s="4">
        <f>LN('中国汇率&amp;期货（数据表）'!G77)</f>
      </c>
      <c r="H77" s="4">
        <f>LN('中国汇率&amp;期货（数据表）'!H77)</f>
      </c>
      <c r="I77" s="4">
        <f>LN('中国汇率&amp;期货（数据表）'!I77)</f>
      </c>
      <c r="J77" s="4">
        <f>LN('中国汇率&amp;期货（数据表）'!J77)</f>
      </c>
      <c r="K77" s="4">
        <f>LN('中国汇率&amp;期货（数据表）'!K77)</f>
      </c>
      <c r="L77" s="4">
        <f>LN('中国汇率&amp;期货（数据表）'!L77)</f>
      </c>
      <c r="M77" s="4">
        <f>LN('中国汇率&amp;期货（数据表）'!M77)</f>
      </c>
      <c r="N77" s="4">
        <f>LN('中国汇率&amp;期货（数据表）'!N77)</f>
      </c>
      <c r="O77" s="4">
        <f>LN('中国汇率&amp;期货（数据表）'!O77)</f>
      </c>
      <c r="P77" s="4">
        <f>LN('中国汇率&amp;期货（数据表）'!P77)</f>
      </c>
      <c r="Q77" s="4">
        <f>LN('中国汇率&amp;期货（数据表）'!Q77)</f>
      </c>
      <c r="R77" s="4">
        <f>LN('中国汇率&amp;期货（数据表）'!R77)</f>
      </c>
      <c r="S77" s="4">
        <f>LN('中国汇率&amp;期货（数据表）'!S77)</f>
      </c>
      <c r="T77" s="4">
        <f>LN('中国汇率&amp;期货（数据表）'!T77)</f>
      </c>
      <c r="U77" s="4">
        <f>LN('中国汇率&amp;期货（数据表）'!U77)</f>
      </c>
      <c r="V77" s="4">
        <f>LN('中国汇率&amp;期货（数据表）'!V77)</f>
      </c>
      <c r="W77" s="4">
        <f>LN('中国汇率&amp;期货（数据表）'!W77)</f>
      </c>
      <c r="X77" s="4">
        <f>LN('中国汇率&amp;期货（数据表）'!X77)</f>
      </c>
      <c r="Y77" s="4">
        <f>LN('中国汇率&amp;期货（数据表）'!Y77)</f>
      </c>
      <c r="Z77" s="4">
        <f>LN('中国汇率&amp;期货（数据表）'!Z77)</f>
      </c>
      <c r="AA77" s="4">
        <f>LN('中国汇率&amp;期货（数据表）'!AA77)</f>
      </c>
      <c r="AB77" s="4">
        <f>LN('中国汇率&amp;期货（数据表）'!AB77)</f>
      </c>
      <c r="AC77" s="4">
        <f>LN('中国汇率&amp;期货（数据表）'!AC77)</f>
      </c>
      <c r="AD77" s="4">
        <f>LN('中国汇率&amp;期货（数据表）'!AD77)</f>
      </c>
      <c r="AE77" s="4">
        <f>LN('中国汇率&amp;期货（数据表）'!AE77)</f>
      </c>
      <c r="AF77" s="4">
        <f>LN('中国汇率&amp;期货（数据表）'!AF77)</f>
      </c>
      <c r="AG77" s="4">
        <f>LN('中国汇率&amp;期货（数据表）'!AG77)</f>
      </c>
      <c r="AH77" s="4">
        <f>LN('中国汇率&amp;期货（数据表）'!AH77)</f>
      </c>
      <c r="AI77" s="4">
        <f>LN('中国汇率&amp;期货（数据表）'!AI77)</f>
      </c>
      <c r="AJ77" s="4">
        <f>LN('中国汇率&amp;期货（数据表）'!AJ77)</f>
      </c>
      <c r="AK77" s="4">
        <f>LN('中国汇率&amp;期货（数据表）'!AK77)</f>
      </c>
      <c r="AL77" s="4">
        <f>LN('中国汇率&amp;期货（数据表）'!AL77)</f>
      </c>
      <c r="AM77" s="4">
        <f>LN('中国汇率&amp;期货（数据表）'!AM77)</f>
      </c>
      <c r="AN77" s="4">
        <f>LN('中国汇率&amp;期货（数据表）'!AN77)</f>
      </c>
      <c r="AO77" s="4">
        <f>LN('中国汇率&amp;期货（数据表）'!AO77)</f>
      </c>
      <c r="AP77" s="4">
        <f>LN('中国汇率&amp;期货（数据表）'!AP77)</f>
      </c>
      <c r="AQ77" s="4">
        <f>LN('中国汇率&amp;期货（数据表）'!AQ77)</f>
      </c>
      <c r="AR77" s="4">
        <f>LN('中国汇率&amp;期货（数据表）'!AR77)</f>
      </c>
      <c r="AS77" s="4">
        <f>LN('中国汇率&amp;期货（数据表）'!AS77)</f>
      </c>
      <c r="AT77" s="4">
        <f>LN('中国汇率&amp;期货（数据表）'!AT77)</f>
      </c>
      <c r="AU77" s="4">
        <f>LN('中国汇率&amp;期货（数据表）'!AU77)</f>
      </c>
      <c r="AV77" s="4">
        <f>LN('中国汇率&amp;期货（数据表）'!AV77)</f>
      </c>
      <c r="AW77" s="4">
        <f>LN('中国汇率&amp;期货（数据表）'!AW77)</f>
      </c>
      <c r="AX77" s="4">
        <f>LN('中国汇率&amp;期货（数据表）'!AX77)</f>
      </c>
      <c r="AY77" s="4">
        <f>LN('中国汇率&amp;期货（数据表）'!AY77)</f>
      </c>
      <c r="AZ77" s="4">
        <f>LN('中国汇率&amp;期货（数据表）'!AZ77)</f>
      </c>
      <c r="BA77" s="4">
        <f>LN('中国汇率&amp;期货（数据表）'!BA77)</f>
      </c>
      <c r="BB77" s="4">
        <f>LN('中国汇率&amp;期货（数据表）'!BB77)</f>
      </c>
      <c r="BC77" s="4">
        <f>LN('中国汇率&amp;期货（数据表）'!BC77)</f>
      </c>
      <c r="BD77" s="4">
        <f>LN('中国汇率&amp;期货（数据表）'!BD77)</f>
      </c>
      <c r="BE77" s="4">
        <f>LN('中国汇率&amp;期货（数据表）'!BE77)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77"/>
  <sheetViews>
    <sheetView workbookViewId="0"/>
  </sheetViews>
  <sheetFormatPr defaultRowHeight="15" x14ac:dyDescent="0.25"/>
  <cols>
    <col min="1" max="1" style="6" width="13.576428571428572" customWidth="1" bestFit="1"/>
    <col min="2" max="2" style="13" width="13.576428571428572" customWidth="1" bestFit="1"/>
    <col min="3" max="3" style="13" width="14.147857142857141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  <col min="30" max="30" style="13" width="13.576428571428572" customWidth="1" bestFit="1"/>
    <col min="31" max="31" style="13" width="13.576428571428572" customWidth="1" bestFit="1"/>
    <col min="32" max="32" style="13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3" width="13.576428571428572" customWidth="1" bestFit="1"/>
    <col min="36" max="36" style="13" width="13.576428571428572" customWidth="1" bestFit="1"/>
    <col min="37" max="37" style="13" width="13.576428571428572" customWidth="1" bestFit="1"/>
    <col min="38" max="38" style="13" width="13.576428571428572" customWidth="1" bestFit="1"/>
    <col min="39" max="39" style="13" width="13.576428571428572" customWidth="1" bestFit="1"/>
    <col min="40" max="40" style="13" width="13.576428571428572" customWidth="1" bestFit="1"/>
    <col min="41" max="41" style="13" width="13.576428571428572" customWidth="1" bestFit="1"/>
    <col min="42" max="42" style="13" width="13.576428571428572" customWidth="1" bestFit="1"/>
    <col min="43" max="43" style="13" width="13.576428571428572" customWidth="1" bestFit="1"/>
    <col min="44" max="44" style="13" width="13.576428571428572" customWidth="1" bestFit="1"/>
    <col min="45" max="45" style="13" width="13.576428571428572" customWidth="1" bestFit="1"/>
    <col min="46" max="46" style="13" width="13.576428571428572" customWidth="1" bestFit="1"/>
    <col min="47" max="47" style="13" width="13.576428571428572" customWidth="1" bestFit="1"/>
    <col min="48" max="48" style="13" width="13.576428571428572" customWidth="1" bestFit="1"/>
    <col min="49" max="49" style="13" width="13.576428571428572" customWidth="1" bestFit="1"/>
    <col min="50" max="50" style="13" width="13.576428571428572" customWidth="1" bestFit="1"/>
    <col min="51" max="51" style="13" width="13.576428571428572" customWidth="1" bestFit="1"/>
    <col min="52" max="52" style="13" width="13.576428571428572" customWidth="1" bestFit="1"/>
    <col min="53" max="53" style="13" width="13.576428571428572" customWidth="1" bestFit="1"/>
    <col min="54" max="54" style="13" width="13.576428571428572" customWidth="1" bestFit="1"/>
    <col min="55" max="55" style="13" width="13.576428571428572" customWidth="1" bestFit="1"/>
    <col min="56" max="56" style="13" width="13.576428571428572" customWidth="1" bestFit="1"/>
    <col min="57" max="57" style="13" width="13.576428571428572" customWidth="1" bestFit="1"/>
  </cols>
  <sheetData>
    <row x14ac:dyDescent="0.25" r="1" customHeight="1" ht="18.75">
      <c r="A1" s="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x14ac:dyDescent="0.25" r="2" customHeight="1" ht="18.75">
      <c r="A2" s="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x14ac:dyDescent="0.25" r="3" customHeight="1" ht="18.75">
      <c r="A3" s="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x14ac:dyDescent="0.25" r="4" customHeight="1" ht="18.75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x14ac:dyDescent="0.25" r="5" customHeight="1" ht="18.75">
      <c r="A5" s="1"/>
      <c r="B5" s="12">
        <f>'中国汇率&amp;期货（ln）'!B5-'中国汇率&amp;期货（ln）'!B24</f>
      </c>
      <c r="C5" s="12">
        <f>'中国汇率&amp;期货（ln）'!C5-'中国汇率&amp;期货（ln）'!C24</f>
      </c>
      <c r="D5" s="12">
        <f>'中国汇率&amp;期货（ln）'!D5-'中国汇率&amp;期货（ln）'!D24</f>
      </c>
      <c r="E5" s="12">
        <f>'中国汇率&amp;期货（ln）'!E5-'中国汇率&amp;期货（ln）'!E24</f>
      </c>
      <c r="F5" s="12">
        <f>'中国汇率&amp;期货（ln）'!F5-'中国汇率&amp;期货（ln）'!F24</f>
      </c>
      <c r="G5" s="12">
        <f>'中国汇率&amp;期货（ln）'!G5-'中国汇率&amp;期货（ln）'!G24</f>
      </c>
      <c r="H5" s="12">
        <f>'中国汇率&amp;期货（ln）'!H5-'中国汇率&amp;期货（ln）'!H24</f>
      </c>
      <c r="I5" s="12">
        <f>'中国汇率&amp;期货（ln）'!I5-'中国汇率&amp;期货（ln）'!I24</f>
      </c>
      <c r="J5" s="12">
        <f>'中国汇率&amp;期货（ln）'!J5-'中国汇率&amp;期货（ln）'!J24</f>
      </c>
      <c r="K5" s="12">
        <f>'中国汇率&amp;期货（ln）'!K5-'中国汇率&amp;期货（ln）'!K24</f>
      </c>
      <c r="L5" s="12">
        <f>'中国汇率&amp;期货（ln）'!L5-'中国汇率&amp;期货（ln）'!L24</f>
      </c>
      <c r="M5" s="12">
        <f>'中国汇率&amp;期货（ln）'!M5-'中国汇率&amp;期货（ln）'!M24</f>
      </c>
      <c r="N5" s="12">
        <f>'中国汇率&amp;期货（ln）'!N5-'中国汇率&amp;期货（ln）'!N24</f>
      </c>
      <c r="O5" s="12">
        <f>'中国汇率&amp;期货（ln）'!O5-'中国汇率&amp;期货（ln）'!O24</f>
      </c>
      <c r="P5" s="12">
        <f>'中国汇率&amp;期货（ln）'!P5-'中国汇率&amp;期货（ln）'!P24</f>
      </c>
      <c r="Q5" s="12">
        <f>'中国汇率&amp;期货（ln）'!Q5-'中国汇率&amp;期货（ln）'!Q24</f>
      </c>
      <c r="R5" s="12">
        <f>'中国汇率&amp;期货（ln）'!R5-'中国汇率&amp;期货（ln）'!R24</f>
      </c>
      <c r="S5" s="12">
        <f>'中国汇率&amp;期货（ln）'!S5-'中国汇率&amp;期货（ln）'!S24</f>
      </c>
      <c r="T5" s="12">
        <f>'中国汇率&amp;期货（ln）'!T5-'中国汇率&amp;期货（ln）'!T24</f>
      </c>
      <c r="U5" s="12">
        <f>'中国汇率&amp;期货（ln）'!U5-'中国汇率&amp;期货（ln）'!U24</f>
      </c>
      <c r="V5" s="12">
        <f>'中国汇率&amp;期货（ln）'!V5-'中国汇率&amp;期货（ln）'!V24</f>
      </c>
      <c r="W5" s="12">
        <f>'中国汇率&amp;期货（ln）'!W5-'中国汇率&amp;期货（ln）'!W24</f>
      </c>
      <c r="X5" s="12">
        <f>'中国汇率&amp;期货（ln）'!X5-'中国汇率&amp;期货（ln）'!X24</f>
      </c>
      <c r="Y5" s="12">
        <f>'中国汇率&amp;期货（ln）'!Y5-'中国汇率&amp;期货（ln）'!Y24</f>
      </c>
      <c r="Z5" s="12">
        <f>'中国汇率&amp;期货（ln）'!Z5-'中国汇率&amp;期货（ln）'!Z24</f>
      </c>
      <c r="AA5" s="12">
        <f>'中国汇率&amp;期货（ln）'!AA5-'中国汇率&amp;期货（ln）'!AA24</f>
      </c>
      <c r="AB5" s="12">
        <f>'中国汇率&amp;期货（ln）'!AB5-'中国汇率&amp;期货（ln）'!AB24</f>
      </c>
      <c r="AC5" s="12">
        <f>'中国汇率&amp;期货（ln）'!AC5-'中国汇率&amp;期货（ln）'!AC24</f>
      </c>
      <c r="AD5" s="12">
        <f>'中国汇率&amp;期货（ln）'!AD5-'中国汇率&amp;期货（ln）'!AD24</f>
      </c>
      <c r="AE5" s="12">
        <f>'中国汇率&amp;期货（ln）'!AE5-'中国汇率&amp;期货（ln）'!AE24</f>
      </c>
      <c r="AF5" s="12">
        <f>'中国汇率&amp;期货（ln）'!AF5-'中国汇率&amp;期货（ln）'!AF24</f>
      </c>
      <c r="AG5" s="12">
        <f>'中国汇率&amp;期货（ln）'!AG5-'中国汇率&amp;期货（ln）'!AG24</f>
      </c>
      <c r="AH5" s="12">
        <f>'中国汇率&amp;期货（ln）'!AH5-'中国汇率&amp;期货（ln）'!AH24</f>
      </c>
      <c r="AI5" s="12">
        <f>'中国汇率&amp;期货（ln）'!AI5-'中国汇率&amp;期货（ln）'!AI24</f>
      </c>
      <c r="AJ5" s="12">
        <f>'中国汇率&amp;期货（ln）'!AJ5-'中国汇率&amp;期货（ln）'!AJ24</f>
      </c>
      <c r="AK5" s="12">
        <f>'中国汇率&amp;期货（ln）'!AK5-'中国汇率&amp;期货（ln）'!AK24</f>
      </c>
      <c r="AL5" s="12">
        <f>'中国汇率&amp;期货（ln）'!AL5-'中国汇率&amp;期货（ln）'!AL24</f>
      </c>
      <c r="AM5" s="12">
        <f>'中国汇率&amp;期货（ln）'!AM5-'中国汇率&amp;期货（ln）'!AM24</f>
      </c>
      <c r="AN5" s="12">
        <f>'中国汇率&amp;期货（ln）'!AN5-'中国汇率&amp;期货（ln）'!AN24</f>
      </c>
      <c r="AO5" s="12">
        <f>'中国汇率&amp;期货（ln）'!AO5-'中国汇率&amp;期货（ln）'!AO24</f>
      </c>
      <c r="AP5" s="12">
        <f>'中国汇率&amp;期货（ln）'!AP5-'中国汇率&amp;期货（ln）'!AP24</f>
      </c>
      <c r="AQ5" s="12">
        <f>'中国汇率&amp;期货（ln）'!AQ5-'中国汇率&amp;期货（ln）'!AQ24</f>
      </c>
      <c r="AR5" s="12">
        <f>'中国汇率&amp;期货（ln）'!AR5-'中国汇率&amp;期货（ln）'!AR24</f>
      </c>
      <c r="AS5" s="12">
        <f>'中国汇率&amp;期货（ln）'!AS5-'中国汇率&amp;期货（ln）'!AS24</f>
      </c>
      <c r="AT5" s="12">
        <f>'中国汇率&amp;期货（ln）'!AT5-'中国汇率&amp;期货（ln）'!AT24</f>
      </c>
      <c r="AU5" s="12">
        <f>'中国汇率&amp;期货（ln）'!AU5-'中国汇率&amp;期货（ln）'!AU24</f>
      </c>
      <c r="AV5" s="12">
        <f>'中国汇率&amp;期货（ln）'!AV5-'中国汇率&amp;期货（ln）'!AV24</f>
      </c>
      <c r="AW5" s="12">
        <f>'中国汇率&amp;期货（ln）'!AW5-'中国汇率&amp;期货（ln）'!AW24</f>
      </c>
      <c r="AX5" s="12">
        <f>'中国汇率&amp;期货（ln）'!AX5-'中国汇率&amp;期货（ln）'!AX24</f>
      </c>
      <c r="AY5" s="12">
        <f>'中国汇率&amp;期货（ln）'!AY5-'中国汇率&amp;期货（ln）'!AY24</f>
      </c>
      <c r="AZ5" s="12">
        <f>'中国汇率&amp;期货（ln）'!AZ5-'中国汇率&amp;期货（ln）'!AZ24</f>
      </c>
      <c r="BA5" s="12">
        <f>'中国汇率&amp;期货（ln）'!BA5-'中国汇率&amp;期货（ln）'!BA24</f>
      </c>
      <c r="BB5" s="12">
        <f>'中国汇率&amp;期货（ln）'!BB5-'中国汇率&amp;期货（ln）'!BB24</f>
      </c>
      <c r="BC5" s="12">
        <f>'中国汇率&amp;期货（ln）'!BC5-'中国汇率&amp;期货（ln）'!BC24</f>
      </c>
      <c r="BD5" s="12">
        <f>'中国汇率&amp;期货（ln）'!BD5-'中国汇率&amp;期货（ln）'!BD24</f>
      </c>
      <c r="BE5" s="12">
        <f>'中国汇率&amp;期货（ln）'!BE5-'中国汇率&amp;期货（ln）'!BE24</f>
      </c>
    </row>
    <row x14ac:dyDescent="0.25" r="6" customHeight="1" ht="18.75">
      <c r="A6" s="1"/>
      <c r="B6" s="12">
        <f>'中国汇率&amp;期货（ln）'!B6-'中国汇率&amp;期货（ln）'!B25</f>
      </c>
      <c r="C6" s="12">
        <f>'中国汇率&amp;期货（ln）'!C6-'中国汇率&amp;期货（ln）'!C25</f>
      </c>
      <c r="D6" s="12">
        <f>'中国汇率&amp;期货（ln）'!D6-'中国汇率&amp;期货（ln）'!D25</f>
      </c>
      <c r="E6" s="12">
        <f>'中国汇率&amp;期货（ln）'!E6-'中国汇率&amp;期货（ln）'!E25</f>
      </c>
      <c r="F6" s="12">
        <f>'中国汇率&amp;期货（ln）'!F6-'中国汇率&amp;期货（ln）'!F25</f>
      </c>
      <c r="G6" s="12">
        <f>'中国汇率&amp;期货（ln）'!G6-'中国汇率&amp;期货（ln）'!G25</f>
      </c>
      <c r="H6" s="12">
        <f>'中国汇率&amp;期货（ln）'!H6-'中国汇率&amp;期货（ln）'!H25</f>
      </c>
      <c r="I6" s="12">
        <f>'中国汇率&amp;期货（ln）'!I6-'中国汇率&amp;期货（ln）'!I25</f>
      </c>
      <c r="J6" s="12">
        <f>'中国汇率&amp;期货（ln）'!J6-'中国汇率&amp;期货（ln）'!J25</f>
      </c>
      <c r="K6" s="12">
        <f>'中国汇率&amp;期货（ln）'!K6-'中国汇率&amp;期货（ln）'!K25</f>
      </c>
      <c r="L6" s="12">
        <f>'中国汇率&amp;期货（ln）'!L6-'中国汇率&amp;期货（ln）'!L25</f>
      </c>
      <c r="M6" s="12">
        <f>'中国汇率&amp;期货（ln）'!M6-'中国汇率&amp;期货（ln）'!M25</f>
      </c>
      <c r="N6" s="12">
        <f>'中国汇率&amp;期货（ln）'!N6-'中国汇率&amp;期货（ln）'!N25</f>
      </c>
      <c r="O6" s="12">
        <f>'中国汇率&amp;期货（ln）'!O6-'中国汇率&amp;期货（ln）'!O25</f>
      </c>
      <c r="P6" s="12">
        <f>'中国汇率&amp;期货（ln）'!P6-'中国汇率&amp;期货（ln）'!P25</f>
      </c>
      <c r="Q6" s="12">
        <f>'中国汇率&amp;期货（ln）'!Q6-'中国汇率&amp;期货（ln）'!Q25</f>
      </c>
      <c r="R6" s="12">
        <f>'中国汇率&amp;期货（ln）'!R6-'中国汇率&amp;期货（ln）'!R25</f>
      </c>
      <c r="S6" s="12">
        <f>'中国汇率&amp;期货（ln）'!S6-'中国汇率&amp;期货（ln）'!S25</f>
      </c>
      <c r="T6" s="12">
        <f>'中国汇率&amp;期货（ln）'!T6-'中国汇率&amp;期货（ln）'!T25</f>
      </c>
      <c r="U6" s="12">
        <f>'中国汇率&amp;期货（ln）'!U6-'中国汇率&amp;期货（ln）'!U25</f>
      </c>
      <c r="V6" s="12">
        <f>'中国汇率&amp;期货（ln）'!V6-'中国汇率&amp;期货（ln）'!V25</f>
      </c>
      <c r="W6" s="12">
        <f>'中国汇率&amp;期货（ln）'!W6-'中国汇率&amp;期货（ln）'!W25</f>
      </c>
      <c r="X6" s="12">
        <f>'中国汇率&amp;期货（ln）'!X6-'中国汇率&amp;期货（ln）'!X25</f>
      </c>
      <c r="Y6" s="12">
        <f>'中国汇率&amp;期货（ln）'!Y6-'中国汇率&amp;期货（ln）'!Y25</f>
      </c>
      <c r="Z6" s="12">
        <f>'中国汇率&amp;期货（ln）'!Z6-'中国汇率&amp;期货（ln）'!Z25</f>
      </c>
      <c r="AA6" s="12">
        <f>'中国汇率&amp;期货（ln）'!AA6-'中国汇率&amp;期货（ln）'!AA25</f>
      </c>
      <c r="AB6" s="12">
        <f>'中国汇率&amp;期货（ln）'!AB6-'中国汇率&amp;期货（ln）'!AB25</f>
      </c>
      <c r="AC6" s="12">
        <f>'中国汇率&amp;期货（ln）'!AC6-'中国汇率&amp;期货（ln）'!AC25</f>
      </c>
      <c r="AD6" s="12">
        <f>'中国汇率&amp;期货（ln）'!AD6-'中国汇率&amp;期货（ln）'!AD25</f>
      </c>
      <c r="AE6" s="12">
        <f>'中国汇率&amp;期货（ln）'!AE6-'中国汇率&amp;期货（ln）'!AE25</f>
      </c>
      <c r="AF6" s="12">
        <f>'中国汇率&amp;期货（ln）'!AF6-'中国汇率&amp;期货（ln）'!AF25</f>
      </c>
      <c r="AG6" s="12">
        <f>'中国汇率&amp;期货（ln）'!AG6-'中国汇率&amp;期货（ln）'!AG25</f>
      </c>
      <c r="AH6" s="12">
        <f>'中国汇率&amp;期货（ln）'!AH6-'中国汇率&amp;期货（ln）'!AH25</f>
      </c>
      <c r="AI6" s="12">
        <f>'中国汇率&amp;期货（ln）'!AI6-'中国汇率&amp;期货（ln）'!AI25</f>
      </c>
      <c r="AJ6" s="12">
        <f>'中国汇率&amp;期货（ln）'!AJ6-'中国汇率&amp;期货（ln）'!AJ25</f>
      </c>
      <c r="AK6" s="12">
        <f>'中国汇率&amp;期货（ln）'!AK6-'中国汇率&amp;期货（ln）'!AK25</f>
      </c>
      <c r="AL6" s="12">
        <f>'中国汇率&amp;期货（ln）'!AL6-'中国汇率&amp;期货（ln）'!AL25</f>
      </c>
      <c r="AM6" s="12">
        <f>'中国汇率&amp;期货（ln）'!AM6-'中国汇率&amp;期货（ln）'!AM25</f>
      </c>
      <c r="AN6" s="12">
        <f>'中国汇率&amp;期货（ln）'!AN6-'中国汇率&amp;期货（ln）'!AN25</f>
      </c>
      <c r="AO6" s="12">
        <f>'中国汇率&amp;期货（ln）'!AO6-'中国汇率&amp;期货（ln）'!AO25</f>
      </c>
      <c r="AP6" s="12">
        <f>'中国汇率&amp;期货（ln）'!AP6-'中国汇率&amp;期货（ln）'!AP25</f>
      </c>
      <c r="AQ6" s="12">
        <f>'中国汇率&amp;期货（ln）'!AQ6-'中国汇率&amp;期货（ln）'!AQ25</f>
      </c>
      <c r="AR6" s="12">
        <f>'中国汇率&amp;期货（ln）'!AR6-'中国汇率&amp;期货（ln）'!AR25</f>
      </c>
      <c r="AS6" s="12">
        <f>'中国汇率&amp;期货（ln）'!AS6-'中国汇率&amp;期货（ln）'!AS25</f>
      </c>
      <c r="AT6" s="12">
        <f>'中国汇率&amp;期货（ln）'!AT6-'中国汇率&amp;期货（ln）'!AT25</f>
      </c>
      <c r="AU6" s="12">
        <f>'中国汇率&amp;期货（ln）'!AU6-'中国汇率&amp;期货（ln）'!AU25</f>
      </c>
      <c r="AV6" s="12">
        <f>'中国汇率&amp;期货（ln）'!AV6-'中国汇率&amp;期货（ln）'!AV25</f>
      </c>
      <c r="AW6" s="12">
        <f>'中国汇率&amp;期货（ln）'!AW6-'中国汇率&amp;期货（ln）'!AW25</f>
      </c>
      <c r="AX6" s="12">
        <f>'中国汇率&amp;期货（ln）'!AX6-'中国汇率&amp;期货（ln）'!AX25</f>
      </c>
      <c r="AY6" s="12">
        <f>'中国汇率&amp;期货（ln）'!AY6-'中国汇率&amp;期货（ln）'!AY25</f>
      </c>
      <c r="AZ6" s="12">
        <f>'中国汇率&amp;期货（ln）'!AZ6-'中国汇率&amp;期货（ln）'!AZ25</f>
      </c>
      <c r="BA6" s="12">
        <f>'中国汇率&amp;期货（ln）'!BA6-'中国汇率&amp;期货（ln）'!BA25</f>
      </c>
      <c r="BB6" s="12">
        <f>'中国汇率&amp;期货（ln）'!BB6-'中国汇率&amp;期货（ln）'!BB25</f>
      </c>
      <c r="BC6" s="12">
        <f>'中国汇率&amp;期货（ln）'!BC6-'中国汇率&amp;期货（ln）'!BC25</f>
      </c>
      <c r="BD6" s="12">
        <f>'中国汇率&amp;期货（ln）'!BD6-'中国汇率&amp;期货（ln）'!BD25</f>
      </c>
      <c r="BE6" s="12">
        <f>'中国汇率&amp;期货（ln）'!BE6-'中国汇率&amp;期货（ln）'!BE25</f>
      </c>
    </row>
    <row x14ac:dyDescent="0.25" r="7" customHeight="1" ht="18.75">
      <c r="A7" s="1"/>
      <c r="B7" s="12">
        <f>'中国汇率&amp;期货（ln）'!B7-'中国汇率&amp;期货（ln）'!B26</f>
      </c>
      <c r="C7" s="12">
        <f>'中国汇率&amp;期货（ln）'!C7-'中国汇率&amp;期货（ln）'!C26</f>
      </c>
      <c r="D7" s="12">
        <f>'中国汇率&amp;期货（ln）'!D7-'中国汇率&amp;期货（ln）'!D26</f>
      </c>
      <c r="E7" s="12">
        <f>'中国汇率&amp;期货（ln）'!E7-'中国汇率&amp;期货（ln）'!E26</f>
      </c>
      <c r="F7" s="12">
        <f>'中国汇率&amp;期货（ln）'!F7-'中国汇率&amp;期货（ln）'!F26</f>
      </c>
      <c r="G7" s="12">
        <f>'中国汇率&amp;期货（ln）'!G7-'中国汇率&amp;期货（ln）'!G26</f>
      </c>
      <c r="H7" s="12">
        <f>'中国汇率&amp;期货（ln）'!H7-'中国汇率&amp;期货（ln）'!H26</f>
      </c>
      <c r="I7" s="12">
        <f>'中国汇率&amp;期货（ln）'!I7-'中国汇率&amp;期货（ln）'!I26</f>
      </c>
      <c r="J7" s="12">
        <f>'中国汇率&amp;期货（ln）'!J7-'中国汇率&amp;期货（ln）'!J26</f>
      </c>
      <c r="K7" s="12">
        <f>'中国汇率&amp;期货（ln）'!K7-'中国汇率&amp;期货（ln）'!K26</f>
      </c>
      <c r="L7" s="12">
        <f>'中国汇率&amp;期货（ln）'!L7-'中国汇率&amp;期货（ln）'!L26</f>
      </c>
      <c r="M7" s="12">
        <f>'中国汇率&amp;期货（ln）'!M7-'中国汇率&amp;期货（ln）'!M26</f>
      </c>
      <c r="N7" s="12">
        <f>'中国汇率&amp;期货（ln）'!N7-'中国汇率&amp;期货（ln）'!N26</f>
      </c>
      <c r="O7" s="12">
        <f>'中国汇率&amp;期货（ln）'!O7-'中国汇率&amp;期货（ln）'!O26</f>
      </c>
      <c r="P7" s="12">
        <f>'中国汇率&amp;期货（ln）'!P7-'中国汇率&amp;期货（ln）'!P26</f>
      </c>
      <c r="Q7" s="12">
        <f>'中国汇率&amp;期货（ln）'!Q7-'中国汇率&amp;期货（ln）'!Q26</f>
      </c>
      <c r="R7" s="12">
        <f>'中国汇率&amp;期货（ln）'!R7-'中国汇率&amp;期货（ln）'!R26</f>
      </c>
      <c r="S7" s="12">
        <f>'中国汇率&amp;期货（ln）'!S7-'中国汇率&amp;期货（ln）'!S26</f>
      </c>
      <c r="T7" s="12">
        <f>'中国汇率&amp;期货（ln）'!T7-'中国汇率&amp;期货（ln）'!T26</f>
      </c>
      <c r="U7" s="12">
        <f>'中国汇率&amp;期货（ln）'!U7-'中国汇率&amp;期货（ln）'!U26</f>
      </c>
      <c r="V7" s="12">
        <f>'中国汇率&amp;期货（ln）'!V7-'中国汇率&amp;期货（ln）'!V26</f>
      </c>
      <c r="W7" s="12">
        <f>'中国汇率&amp;期货（ln）'!W7-'中国汇率&amp;期货（ln）'!W26</f>
      </c>
      <c r="X7" s="12">
        <f>'中国汇率&amp;期货（ln）'!X7-'中国汇率&amp;期货（ln）'!X26</f>
      </c>
      <c r="Y7" s="12">
        <f>'中国汇率&amp;期货（ln）'!Y7-'中国汇率&amp;期货（ln）'!Y26</f>
      </c>
      <c r="Z7" s="12">
        <f>'中国汇率&amp;期货（ln）'!Z7-'中国汇率&amp;期货（ln）'!Z26</f>
      </c>
      <c r="AA7" s="12">
        <f>'中国汇率&amp;期货（ln）'!AA7-'中国汇率&amp;期货（ln）'!AA26</f>
      </c>
      <c r="AB7" s="12">
        <f>'中国汇率&amp;期货（ln）'!AB7-'中国汇率&amp;期货（ln）'!AB26</f>
      </c>
      <c r="AC7" s="12">
        <f>'中国汇率&amp;期货（ln）'!AC7-'中国汇率&amp;期货（ln）'!AC26</f>
      </c>
      <c r="AD7" s="12">
        <f>'中国汇率&amp;期货（ln）'!AD7-'中国汇率&amp;期货（ln）'!AD26</f>
      </c>
      <c r="AE7" s="12">
        <f>'中国汇率&amp;期货（ln）'!AE7-'中国汇率&amp;期货（ln）'!AE26</f>
      </c>
      <c r="AF7" s="12">
        <f>'中国汇率&amp;期货（ln）'!AF7-'中国汇率&amp;期货（ln）'!AF26</f>
      </c>
      <c r="AG7" s="12">
        <f>'中国汇率&amp;期货（ln）'!AG7-'中国汇率&amp;期货（ln）'!AG26</f>
      </c>
      <c r="AH7" s="12">
        <f>'中国汇率&amp;期货（ln）'!AH7-'中国汇率&amp;期货（ln）'!AH26</f>
      </c>
      <c r="AI7" s="12">
        <f>'中国汇率&amp;期货（ln）'!AI7-'中国汇率&amp;期货（ln）'!AI26</f>
      </c>
      <c r="AJ7" s="12">
        <f>'中国汇率&amp;期货（ln）'!AJ7-'中国汇率&amp;期货（ln）'!AJ26</f>
      </c>
      <c r="AK7" s="12">
        <f>'中国汇率&amp;期货（ln）'!AK7-'中国汇率&amp;期货（ln）'!AK26</f>
      </c>
      <c r="AL7" s="12">
        <f>'中国汇率&amp;期货（ln）'!AL7-'中国汇率&amp;期货（ln）'!AL26</f>
      </c>
      <c r="AM7" s="12">
        <f>'中国汇率&amp;期货（ln）'!AM7-'中国汇率&amp;期货（ln）'!AM26</f>
      </c>
      <c r="AN7" s="12">
        <f>'中国汇率&amp;期货（ln）'!AN7-'中国汇率&amp;期货（ln）'!AN26</f>
      </c>
      <c r="AO7" s="12">
        <f>'中国汇率&amp;期货（ln）'!AO7-'中国汇率&amp;期货（ln）'!AO26</f>
      </c>
      <c r="AP7" s="12">
        <f>'中国汇率&amp;期货（ln）'!AP7-'中国汇率&amp;期货（ln）'!AP26</f>
      </c>
      <c r="AQ7" s="12">
        <f>'中国汇率&amp;期货（ln）'!AQ7-'中国汇率&amp;期货（ln）'!AQ26</f>
      </c>
      <c r="AR7" s="12">
        <f>'中国汇率&amp;期货（ln）'!AR7-'中国汇率&amp;期货（ln）'!AR26</f>
      </c>
      <c r="AS7" s="12">
        <f>'中国汇率&amp;期货（ln）'!AS7-'中国汇率&amp;期货（ln）'!AS26</f>
      </c>
      <c r="AT7" s="12">
        <f>'中国汇率&amp;期货（ln）'!AT7-'中国汇率&amp;期货（ln）'!AT26</f>
      </c>
      <c r="AU7" s="12">
        <f>'中国汇率&amp;期货（ln）'!AU7-'中国汇率&amp;期货（ln）'!AU26</f>
      </c>
      <c r="AV7" s="12">
        <f>'中国汇率&amp;期货（ln）'!AV7-'中国汇率&amp;期货（ln）'!AV26</f>
      </c>
      <c r="AW7" s="12">
        <f>'中国汇率&amp;期货（ln）'!AW7-'中国汇率&amp;期货（ln）'!AW26</f>
      </c>
      <c r="AX7" s="12">
        <f>'中国汇率&amp;期货（ln）'!AX7-'中国汇率&amp;期货（ln）'!AX26</f>
      </c>
      <c r="AY7" s="12">
        <f>'中国汇率&amp;期货（ln）'!AY7-'中国汇率&amp;期货（ln）'!AY26</f>
      </c>
      <c r="AZ7" s="12">
        <f>'中国汇率&amp;期货（ln）'!AZ7-'中国汇率&amp;期货（ln）'!AZ26</f>
      </c>
      <c r="BA7" s="12">
        <f>'中国汇率&amp;期货（ln）'!BA7-'中国汇率&amp;期货（ln）'!BA26</f>
      </c>
      <c r="BB7" s="12">
        <f>'中国汇率&amp;期货（ln）'!BB7-'中国汇率&amp;期货（ln）'!BB26</f>
      </c>
      <c r="BC7" s="12">
        <f>'中国汇率&amp;期货（ln）'!BC7-'中国汇率&amp;期货（ln）'!BC26</f>
      </c>
      <c r="BD7" s="12">
        <f>'中国汇率&amp;期货（ln）'!BD7-'中国汇率&amp;期货（ln）'!BD26</f>
      </c>
      <c r="BE7" s="12">
        <f>'中国汇率&amp;期货（ln）'!BE7-'中国汇率&amp;期货（ln）'!BE26</f>
      </c>
    </row>
    <row x14ac:dyDescent="0.25" r="8" customHeight="1" ht="18.75">
      <c r="A8" s="1"/>
      <c r="B8" s="12">
        <f>'中国汇率&amp;期货（ln）'!B8-'中国汇率&amp;期货（ln）'!B27</f>
      </c>
      <c r="C8" s="12">
        <f>'中国汇率&amp;期货（ln）'!C8-'中国汇率&amp;期货（ln）'!C27</f>
      </c>
      <c r="D8" s="12">
        <f>'中国汇率&amp;期货（ln）'!D8-'中国汇率&amp;期货（ln）'!D27</f>
      </c>
      <c r="E8" s="12">
        <f>'中国汇率&amp;期货（ln）'!E8-'中国汇率&amp;期货（ln）'!E27</f>
      </c>
      <c r="F8" s="12">
        <f>'中国汇率&amp;期货（ln）'!F8-'中国汇率&amp;期货（ln）'!F27</f>
      </c>
      <c r="G8" s="12">
        <f>'中国汇率&amp;期货（ln）'!G8-'中国汇率&amp;期货（ln）'!G27</f>
      </c>
      <c r="H8" s="12">
        <f>'中国汇率&amp;期货（ln）'!H8-'中国汇率&amp;期货（ln）'!H27</f>
      </c>
      <c r="I8" s="12">
        <f>'中国汇率&amp;期货（ln）'!I8-'中国汇率&amp;期货（ln）'!I27</f>
      </c>
      <c r="J8" s="12">
        <f>'中国汇率&amp;期货（ln）'!J8-'中国汇率&amp;期货（ln）'!J27</f>
      </c>
      <c r="K8" s="12">
        <f>'中国汇率&amp;期货（ln）'!K8-'中国汇率&amp;期货（ln）'!K27</f>
      </c>
      <c r="L8" s="12">
        <f>'中国汇率&amp;期货（ln）'!L8-'中国汇率&amp;期货（ln）'!L27</f>
      </c>
      <c r="M8" s="12">
        <f>'中国汇率&amp;期货（ln）'!M8-'中国汇率&amp;期货（ln）'!M27</f>
      </c>
      <c r="N8" s="12">
        <f>'中国汇率&amp;期货（ln）'!N8-'中国汇率&amp;期货（ln）'!N27</f>
      </c>
      <c r="O8" s="12">
        <f>'中国汇率&amp;期货（ln）'!O8-'中国汇率&amp;期货（ln）'!O27</f>
      </c>
      <c r="P8" s="12">
        <f>'中国汇率&amp;期货（ln）'!P8-'中国汇率&amp;期货（ln）'!P27</f>
      </c>
      <c r="Q8" s="12">
        <f>'中国汇率&amp;期货（ln）'!Q8-'中国汇率&amp;期货（ln）'!Q27</f>
      </c>
      <c r="R8" s="12">
        <f>'中国汇率&amp;期货（ln）'!R8-'中国汇率&amp;期货（ln）'!R27</f>
      </c>
      <c r="S8" s="12">
        <f>'中国汇率&amp;期货（ln）'!S8-'中国汇率&amp;期货（ln）'!S27</f>
      </c>
      <c r="T8" s="12">
        <f>'中国汇率&amp;期货（ln）'!T8-'中国汇率&amp;期货（ln）'!T27</f>
      </c>
      <c r="U8" s="12">
        <f>'中国汇率&amp;期货（ln）'!U8-'中国汇率&amp;期货（ln）'!U27</f>
      </c>
      <c r="V8" s="12">
        <f>'中国汇率&amp;期货（ln）'!V8-'中国汇率&amp;期货（ln）'!V27</f>
      </c>
      <c r="W8" s="12">
        <f>'中国汇率&amp;期货（ln）'!W8-'中国汇率&amp;期货（ln）'!W27</f>
      </c>
      <c r="X8" s="12">
        <f>'中国汇率&amp;期货（ln）'!X8-'中国汇率&amp;期货（ln）'!X27</f>
      </c>
      <c r="Y8" s="12">
        <f>'中国汇率&amp;期货（ln）'!Y8-'中国汇率&amp;期货（ln）'!Y27</f>
      </c>
      <c r="Z8" s="12">
        <f>'中国汇率&amp;期货（ln）'!Z8-'中国汇率&amp;期货（ln）'!Z27</f>
      </c>
      <c r="AA8" s="12">
        <f>'中国汇率&amp;期货（ln）'!AA8-'中国汇率&amp;期货（ln）'!AA27</f>
      </c>
      <c r="AB8" s="12">
        <f>'中国汇率&amp;期货（ln）'!AB8-'中国汇率&amp;期货（ln）'!AB27</f>
      </c>
      <c r="AC8" s="12">
        <f>'中国汇率&amp;期货（ln）'!AC8-'中国汇率&amp;期货（ln）'!AC27</f>
      </c>
      <c r="AD8" s="12">
        <f>'中国汇率&amp;期货（ln）'!AD8-'中国汇率&amp;期货（ln）'!AD27</f>
      </c>
      <c r="AE8" s="12">
        <f>'中国汇率&amp;期货（ln）'!AE8-'中国汇率&amp;期货（ln）'!AE27</f>
      </c>
      <c r="AF8" s="12">
        <f>'中国汇率&amp;期货（ln）'!AF8-'中国汇率&amp;期货（ln）'!AF27</f>
      </c>
      <c r="AG8" s="12">
        <f>'中国汇率&amp;期货（ln）'!AG8-'中国汇率&amp;期货（ln）'!AG27</f>
      </c>
      <c r="AH8" s="12">
        <f>'中国汇率&amp;期货（ln）'!AH8-'中国汇率&amp;期货（ln）'!AH27</f>
      </c>
      <c r="AI8" s="12">
        <f>'中国汇率&amp;期货（ln）'!AI8-'中国汇率&amp;期货（ln）'!AI27</f>
      </c>
      <c r="AJ8" s="12">
        <f>'中国汇率&amp;期货（ln）'!AJ8-'中国汇率&amp;期货（ln）'!AJ27</f>
      </c>
      <c r="AK8" s="12">
        <f>'中国汇率&amp;期货（ln）'!AK8-'中国汇率&amp;期货（ln）'!AK27</f>
      </c>
      <c r="AL8" s="12">
        <f>'中国汇率&amp;期货（ln）'!AL8-'中国汇率&amp;期货（ln）'!AL27</f>
      </c>
      <c r="AM8" s="12">
        <f>'中国汇率&amp;期货（ln）'!AM8-'中国汇率&amp;期货（ln）'!AM27</f>
      </c>
      <c r="AN8" s="12">
        <f>'中国汇率&amp;期货（ln）'!AN8-'中国汇率&amp;期货（ln）'!AN27</f>
      </c>
      <c r="AO8" s="12">
        <f>'中国汇率&amp;期货（ln）'!AO8-'中国汇率&amp;期货（ln）'!AO27</f>
      </c>
      <c r="AP8" s="12">
        <f>'中国汇率&amp;期货（ln）'!AP8-'中国汇率&amp;期货（ln）'!AP27</f>
      </c>
      <c r="AQ8" s="12">
        <f>'中国汇率&amp;期货（ln）'!AQ8-'中国汇率&amp;期货（ln）'!AQ27</f>
      </c>
      <c r="AR8" s="12">
        <f>'中国汇率&amp;期货（ln）'!AR8-'中国汇率&amp;期货（ln）'!AR27</f>
      </c>
      <c r="AS8" s="12">
        <f>'中国汇率&amp;期货（ln）'!AS8-'中国汇率&amp;期货（ln）'!AS27</f>
      </c>
      <c r="AT8" s="12">
        <f>'中国汇率&amp;期货（ln）'!AT8-'中国汇率&amp;期货（ln）'!AT27</f>
      </c>
      <c r="AU8" s="12">
        <f>'中国汇率&amp;期货（ln）'!AU8-'中国汇率&amp;期货（ln）'!AU27</f>
      </c>
      <c r="AV8" s="12">
        <f>'中国汇率&amp;期货（ln）'!AV8-'中国汇率&amp;期货（ln）'!AV27</f>
      </c>
      <c r="AW8" s="12">
        <f>'中国汇率&amp;期货（ln）'!AW8-'中国汇率&amp;期货（ln）'!AW27</f>
      </c>
      <c r="AX8" s="12">
        <f>'中国汇率&amp;期货（ln）'!AX8-'中国汇率&amp;期货（ln）'!AX27</f>
      </c>
      <c r="AY8" s="12">
        <f>'中国汇率&amp;期货（ln）'!AY8-'中国汇率&amp;期货（ln）'!AY27</f>
      </c>
      <c r="AZ8" s="12">
        <f>'中国汇率&amp;期货（ln）'!AZ8-'中国汇率&amp;期货（ln）'!AZ27</f>
      </c>
      <c r="BA8" s="12">
        <f>'中国汇率&amp;期货（ln）'!BA8-'中国汇率&amp;期货（ln）'!BA27</f>
      </c>
      <c r="BB8" s="12">
        <f>'中国汇率&amp;期货（ln）'!BB8-'中国汇率&amp;期货（ln）'!BB27</f>
      </c>
      <c r="BC8" s="12">
        <f>'中国汇率&amp;期货（ln）'!BC8-'中国汇率&amp;期货（ln）'!BC27</f>
      </c>
      <c r="BD8" s="12">
        <f>'中国汇率&amp;期货（ln）'!BD8-'中国汇率&amp;期货（ln）'!BD27</f>
      </c>
      <c r="BE8" s="12">
        <f>'中国汇率&amp;期货（ln）'!BE8-'中国汇率&amp;期货（ln）'!BE27</f>
      </c>
    </row>
    <row x14ac:dyDescent="0.25" r="9" customHeight="1" ht="18.75">
      <c r="A9" s="1"/>
      <c r="B9" s="12">
        <f>'中国汇率&amp;期货（ln）'!B9-'中国汇率&amp;期货（ln）'!B28</f>
      </c>
      <c r="C9" s="12">
        <f>'中国汇率&amp;期货（ln）'!C9-'中国汇率&amp;期货（ln）'!C28</f>
      </c>
      <c r="D9" s="12">
        <f>'中国汇率&amp;期货（ln）'!D9-'中国汇率&amp;期货（ln）'!D28</f>
      </c>
      <c r="E9" s="12">
        <f>'中国汇率&amp;期货（ln）'!E9-'中国汇率&amp;期货（ln）'!E28</f>
      </c>
      <c r="F9" s="12">
        <f>'中国汇率&amp;期货（ln）'!F9-'中国汇率&amp;期货（ln）'!F28</f>
      </c>
      <c r="G9" s="12">
        <f>'中国汇率&amp;期货（ln）'!G9-'中国汇率&amp;期货（ln）'!G28</f>
      </c>
      <c r="H9" s="12">
        <f>'中国汇率&amp;期货（ln）'!H9-'中国汇率&amp;期货（ln）'!H28</f>
      </c>
      <c r="I9" s="12">
        <f>'中国汇率&amp;期货（ln）'!I9-'中国汇率&amp;期货（ln）'!I28</f>
      </c>
      <c r="J9" s="12">
        <f>'中国汇率&amp;期货（ln）'!J9-'中国汇率&amp;期货（ln）'!J28</f>
      </c>
      <c r="K9" s="12">
        <f>'中国汇率&amp;期货（ln）'!K9-'中国汇率&amp;期货（ln）'!K28</f>
      </c>
      <c r="L9" s="12">
        <f>'中国汇率&amp;期货（ln）'!L9-'中国汇率&amp;期货（ln）'!L28</f>
      </c>
      <c r="M9" s="12">
        <f>'中国汇率&amp;期货（ln）'!M9-'中国汇率&amp;期货（ln）'!M28</f>
      </c>
      <c r="N9" s="12">
        <f>'中国汇率&amp;期货（ln）'!N9-'中国汇率&amp;期货（ln）'!N28</f>
      </c>
      <c r="O9" s="12">
        <f>'中国汇率&amp;期货（ln）'!O9-'中国汇率&amp;期货（ln）'!O28</f>
      </c>
      <c r="P9" s="12">
        <f>'中国汇率&amp;期货（ln）'!P9-'中国汇率&amp;期货（ln）'!P28</f>
      </c>
      <c r="Q9" s="12">
        <f>'中国汇率&amp;期货（ln）'!Q9-'中国汇率&amp;期货（ln）'!Q28</f>
      </c>
      <c r="R9" s="12">
        <f>'中国汇率&amp;期货（ln）'!R9-'中国汇率&amp;期货（ln）'!R28</f>
      </c>
      <c r="S9" s="12">
        <f>'中国汇率&amp;期货（ln）'!S9-'中国汇率&amp;期货（ln）'!S28</f>
      </c>
      <c r="T9" s="12">
        <f>'中国汇率&amp;期货（ln）'!T9-'中国汇率&amp;期货（ln）'!T28</f>
      </c>
      <c r="U9" s="12">
        <f>'中国汇率&amp;期货（ln）'!U9-'中国汇率&amp;期货（ln）'!U28</f>
      </c>
      <c r="V9" s="12">
        <f>'中国汇率&amp;期货（ln）'!V9-'中国汇率&amp;期货（ln）'!V28</f>
      </c>
      <c r="W9" s="12">
        <f>'中国汇率&amp;期货（ln）'!W9-'中国汇率&amp;期货（ln）'!W28</f>
      </c>
      <c r="X9" s="12">
        <f>'中国汇率&amp;期货（ln）'!X9-'中国汇率&amp;期货（ln）'!X28</f>
      </c>
      <c r="Y9" s="12">
        <f>'中国汇率&amp;期货（ln）'!Y9-'中国汇率&amp;期货（ln）'!Y28</f>
      </c>
      <c r="Z9" s="12">
        <f>'中国汇率&amp;期货（ln）'!Z9-'中国汇率&amp;期货（ln）'!Z28</f>
      </c>
      <c r="AA9" s="12">
        <f>'中国汇率&amp;期货（ln）'!AA9-'中国汇率&amp;期货（ln）'!AA28</f>
      </c>
      <c r="AB9" s="12">
        <f>'中国汇率&amp;期货（ln）'!AB9-'中国汇率&amp;期货（ln）'!AB28</f>
      </c>
      <c r="AC9" s="12">
        <f>'中国汇率&amp;期货（ln）'!AC9-'中国汇率&amp;期货（ln）'!AC28</f>
      </c>
      <c r="AD9" s="12">
        <f>'中国汇率&amp;期货（ln）'!AD9-'中国汇率&amp;期货（ln）'!AD28</f>
      </c>
      <c r="AE9" s="12">
        <f>'中国汇率&amp;期货（ln）'!AE9-'中国汇率&amp;期货（ln）'!AE28</f>
      </c>
      <c r="AF9" s="12">
        <f>'中国汇率&amp;期货（ln）'!AF9-'中国汇率&amp;期货（ln）'!AF28</f>
      </c>
      <c r="AG9" s="12">
        <f>'中国汇率&amp;期货（ln）'!AG9-'中国汇率&amp;期货（ln）'!AG28</f>
      </c>
      <c r="AH9" s="12">
        <f>'中国汇率&amp;期货（ln）'!AH9-'中国汇率&amp;期货（ln）'!AH28</f>
      </c>
      <c r="AI9" s="12">
        <f>'中国汇率&amp;期货（ln）'!AI9-'中国汇率&amp;期货（ln）'!AI28</f>
      </c>
      <c r="AJ9" s="12">
        <f>'中国汇率&amp;期货（ln）'!AJ9-'中国汇率&amp;期货（ln）'!AJ28</f>
      </c>
      <c r="AK9" s="12">
        <f>'中国汇率&amp;期货（ln）'!AK9-'中国汇率&amp;期货（ln）'!AK28</f>
      </c>
      <c r="AL9" s="12">
        <f>'中国汇率&amp;期货（ln）'!AL9-'中国汇率&amp;期货（ln）'!AL28</f>
      </c>
      <c r="AM9" s="12">
        <f>'中国汇率&amp;期货（ln）'!AM9-'中国汇率&amp;期货（ln）'!AM28</f>
      </c>
      <c r="AN9" s="12">
        <f>'中国汇率&amp;期货（ln）'!AN9-'中国汇率&amp;期货（ln）'!AN28</f>
      </c>
      <c r="AO9" s="12">
        <f>'中国汇率&amp;期货（ln）'!AO9-'中国汇率&amp;期货（ln）'!AO28</f>
      </c>
      <c r="AP9" s="12">
        <f>'中国汇率&amp;期货（ln）'!AP9-'中国汇率&amp;期货（ln）'!AP28</f>
      </c>
      <c r="AQ9" s="12">
        <f>'中国汇率&amp;期货（ln）'!AQ9-'中国汇率&amp;期货（ln）'!AQ28</f>
      </c>
      <c r="AR9" s="12">
        <f>'中国汇率&amp;期货（ln）'!AR9-'中国汇率&amp;期货（ln）'!AR28</f>
      </c>
      <c r="AS9" s="12">
        <f>'中国汇率&amp;期货（ln）'!AS9-'中国汇率&amp;期货（ln）'!AS28</f>
      </c>
      <c r="AT9" s="12">
        <f>'中国汇率&amp;期货（ln）'!AT9-'中国汇率&amp;期货（ln）'!AT28</f>
      </c>
      <c r="AU9" s="12">
        <f>'中国汇率&amp;期货（ln）'!AU9-'中国汇率&amp;期货（ln）'!AU28</f>
      </c>
      <c r="AV9" s="12">
        <f>'中国汇率&amp;期货（ln）'!AV9-'中国汇率&amp;期货（ln）'!AV28</f>
      </c>
      <c r="AW9" s="12">
        <f>'中国汇率&amp;期货（ln）'!AW9-'中国汇率&amp;期货（ln）'!AW28</f>
      </c>
      <c r="AX9" s="12">
        <f>'中国汇率&amp;期货（ln）'!AX9-'中国汇率&amp;期货（ln）'!AX28</f>
      </c>
      <c r="AY9" s="12">
        <f>'中国汇率&amp;期货（ln）'!AY9-'中国汇率&amp;期货（ln）'!AY28</f>
      </c>
      <c r="AZ9" s="12">
        <f>'中国汇率&amp;期货（ln）'!AZ9-'中国汇率&amp;期货（ln）'!AZ28</f>
      </c>
      <c r="BA9" s="12">
        <f>'中国汇率&amp;期货（ln）'!BA9-'中国汇率&amp;期货（ln）'!BA28</f>
      </c>
      <c r="BB9" s="12">
        <f>'中国汇率&amp;期货（ln）'!BB9-'中国汇率&amp;期货（ln）'!BB28</f>
      </c>
      <c r="BC9" s="12">
        <f>'中国汇率&amp;期货（ln）'!BC9-'中国汇率&amp;期货（ln）'!BC28</f>
      </c>
      <c r="BD9" s="12">
        <f>'中国汇率&amp;期货（ln）'!BD9-'中国汇率&amp;期货（ln）'!BD28</f>
      </c>
      <c r="BE9" s="12">
        <f>'中国汇率&amp;期货（ln）'!BE9-'中国汇率&amp;期货（ln）'!BE28</f>
      </c>
    </row>
    <row x14ac:dyDescent="0.25" r="10" customHeight="1" ht="18.75">
      <c r="A10" s="1"/>
      <c r="B10" s="12">
        <f>'中国汇率&amp;期货（ln）'!B10-'中国汇率&amp;期货（ln）'!B29</f>
      </c>
      <c r="C10" s="12">
        <f>'中国汇率&amp;期货（ln）'!C10-'中国汇率&amp;期货（ln）'!C29</f>
      </c>
      <c r="D10" s="12">
        <f>'中国汇率&amp;期货（ln）'!D10-'中国汇率&amp;期货（ln）'!D29</f>
      </c>
      <c r="E10" s="12">
        <f>'中国汇率&amp;期货（ln）'!E10-'中国汇率&amp;期货（ln）'!E29</f>
      </c>
      <c r="F10" s="12">
        <f>'中国汇率&amp;期货（ln）'!F10-'中国汇率&amp;期货（ln）'!F29</f>
      </c>
      <c r="G10" s="12">
        <f>'中国汇率&amp;期货（ln）'!G10-'中国汇率&amp;期货（ln）'!G29</f>
      </c>
      <c r="H10" s="12">
        <f>'中国汇率&amp;期货（ln）'!H10-'中国汇率&amp;期货（ln）'!H29</f>
      </c>
      <c r="I10" s="12">
        <f>'中国汇率&amp;期货（ln）'!I10-'中国汇率&amp;期货（ln）'!I29</f>
      </c>
      <c r="J10" s="12">
        <f>'中国汇率&amp;期货（ln）'!J10-'中国汇率&amp;期货（ln）'!J29</f>
      </c>
      <c r="K10" s="12">
        <f>'中国汇率&amp;期货（ln）'!K10-'中国汇率&amp;期货（ln）'!K29</f>
      </c>
      <c r="L10" s="12">
        <f>'中国汇率&amp;期货（ln）'!L10-'中国汇率&amp;期货（ln）'!L29</f>
      </c>
      <c r="M10" s="12">
        <f>'中国汇率&amp;期货（ln）'!M10-'中国汇率&amp;期货（ln）'!M29</f>
      </c>
      <c r="N10" s="12">
        <f>'中国汇率&amp;期货（ln）'!N10-'中国汇率&amp;期货（ln）'!N29</f>
      </c>
      <c r="O10" s="12">
        <f>'中国汇率&amp;期货（ln）'!O10-'中国汇率&amp;期货（ln）'!O29</f>
      </c>
      <c r="P10" s="12">
        <f>'中国汇率&amp;期货（ln）'!P10-'中国汇率&amp;期货（ln）'!P29</f>
      </c>
      <c r="Q10" s="12">
        <f>'中国汇率&amp;期货（ln）'!Q10-'中国汇率&amp;期货（ln）'!Q29</f>
      </c>
      <c r="R10" s="12">
        <f>'中国汇率&amp;期货（ln）'!R10-'中国汇率&amp;期货（ln）'!R29</f>
      </c>
      <c r="S10" s="12">
        <f>'中国汇率&amp;期货（ln）'!S10-'中国汇率&amp;期货（ln）'!S29</f>
      </c>
      <c r="T10" s="12">
        <f>'中国汇率&amp;期货（ln）'!T10-'中国汇率&amp;期货（ln）'!T29</f>
      </c>
      <c r="U10" s="12">
        <f>'中国汇率&amp;期货（ln）'!U10-'中国汇率&amp;期货（ln）'!U29</f>
      </c>
      <c r="V10" s="12">
        <f>'中国汇率&amp;期货（ln）'!V10-'中国汇率&amp;期货（ln）'!V29</f>
      </c>
      <c r="W10" s="12">
        <f>'中国汇率&amp;期货（ln）'!W10-'中国汇率&amp;期货（ln）'!W29</f>
      </c>
      <c r="X10" s="12">
        <f>'中国汇率&amp;期货（ln）'!X10-'中国汇率&amp;期货（ln）'!X29</f>
      </c>
      <c r="Y10" s="12">
        <f>'中国汇率&amp;期货（ln）'!Y10-'中国汇率&amp;期货（ln）'!Y29</f>
      </c>
      <c r="Z10" s="12">
        <f>'中国汇率&amp;期货（ln）'!Z10-'中国汇率&amp;期货（ln）'!Z29</f>
      </c>
      <c r="AA10" s="12">
        <f>'中国汇率&amp;期货（ln）'!AA10-'中国汇率&amp;期货（ln）'!AA29</f>
      </c>
      <c r="AB10" s="12">
        <f>'中国汇率&amp;期货（ln）'!AB10-'中国汇率&amp;期货（ln）'!AB29</f>
      </c>
      <c r="AC10" s="12">
        <f>'中国汇率&amp;期货（ln）'!AC10-'中国汇率&amp;期货（ln）'!AC29</f>
      </c>
      <c r="AD10" s="12">
        <f>'中国汇率&amp;期货（ln）'!AD10-'中国汇率&amp;期货（ln）'!AD29</f>
      </c>
      <c r="AE10" s="12">
        <f>'中国汇率&amp;期货（ln）'!AE10-'中国汇率&amp;期货（ln）'!AE29</f>
      </c>
      <c r="AF10" s="12">
        <f>'中国汇率&amp;期货（ln）'!AF10-'中国汇率&amp;期货（ln）'!AF29</f>
      </c>
      <c r="AG10" s="12">
        <f>'中国汇率&amp;期货（ln）'!AG10-'中国汇率&amp;期货（ln）'!AG29</f>
      </c>
      <c r="AH10" s="12">
        <f>'中国汇率&amp;期货（ln）'!AH10-'中国汇率&amp;期货（ln）'!AH29</f>
      </c>
      <c r="AI10" s="12">
        <f>'中国汇率&amp;期货（ln）'!AI10-'中国汇率&amp;期货（ln）'!AI29</f>
      </c>
      <c r="AJ10" s="12">
        <f>'中国汇率&amp;期货（ln）'!AJ10-'中国汇率&amp;期货（ln）'!AJ29</f>
      </c>
      <c r="AK10" s="12">
        <f>'中国汇率&amp;期货（ln）'!AK10-'中国汇率&amp;期货（ln）'!AK29</f>
      </c>
      <c r="AL10" s="12">
        <f>'中国汇率&amp;期货（ln）'!AL10-'中国汇率&amp;期货（ln）'!AL29</f>
      </c>
      <c r="AM10" s="12">
        <f>'中国汇率&amp;期货（ln）'!AM10-'中国汇率&amp;期货（ln）'!AM29</f>
      </c>
      <c r="AN10" s="12">
        <f>'中国汇率&amp;期货（ln）'!AN10-'中国汇率&amp;期货（ln）'!AN29</f>
      </c>
      <c r="AO10" s="12">
        <f>'中国汇率&amp;期货（ln）'!AO10-'中国汇率&amp;期货（ln）'!AO29</f>
      </c>
      <c r="AP10" s="12">
        <f>'中国汇率&amp;期货（ln）'!AP10-'中国汇率&amp;期货（ln）'!AP29</f>
      </c>
      <c r="AQ10" s="12">
        <f>'中国汇率&amp;期货（ln）'!AQ10-'中国汇率&amp;期货（ln）'!AQ29</f>
      </c>
      <c r="AR10" s="12">
        <f>'中国汇率&amp;期货（ln）'!AR10-'中国汇率&amp;期货（ln）'!AR29</f>
      </c>
      <c r="AS10" s="12">
        <f>'中国汇率&amp;期货（ln）'!AS10-'中国汇率&amp;期货（ln）'!AS29</f>
      </c>
      <c r="AT10" s="12">
        <f>'中国汇率&amp;期货（ln）'!AT10-'中国汇率&amp;期货（ln）'!AT29</f>
      </c>
      <c r="AU10" s="12">
        <f>'中国汇率&amp;期货（ln）'!AU10-'中国汇率&amp;期货（ln）'!AU29</f>
      </c>
      <c r="AV10" s="12">
        <f>'中国汇率&amp;期货（ln）'!AV10-'中国汇率&amp;期货（ln）'!AV29</f>
      </c>
      <c r="AW10" s="12">
        <f>'中国汇率&amp;期货（ln）'!AW10-'中国汇率&amp;期货（ln）'!AW29</f>
      </c>
      <c r="AX10" s="12">
        <f>'中国汇率&amp;期货（ln）'!AX10-'中国汇率&amp;期货（ln）'!AX29</f>
      </c>
      <c r="AY10" s="12">
        <f>'中国汇率&amp;期货（ln）'!AY10-'中国汇率&amp;期货（ln）'!AY29</f>
      </c>
      <c r="AZ10" s="12">
        <f>'中国汇率&amp;期货（ln）'!AZ10-'中国汇率&amp;期货（ln）'!AZ29</f>
      </c>
      <c r="BA10" s="12">
        <f>'中国汇率&amp;期货（ln）'!BA10-'中国汇率&amp;期货（ln）'!BA29</f>
      </c>
      <c r="BB10" s="12">
        <f>'中国汇率&amp;期货（ln）'!BB10-'中国汇率&amp;期货（ln）'!BB29</f>
      </c>
      <c r="BC10" s="12">
        <f>'中国汇率&amp;期货（ln）'!BC10-'中国汇率&amp;期货（ln）'!BC29</f>
      </c>
      <c r="BD10" s="12">
        <f>'中国汇率&amp;期货（ln）'!BD10-'中国汇率&amp;期货（ln）'!BD29</f>
      </c>
      <c r="BE10" s="12">
        <f>'中国汇率&amp;期货（ln）'!BE10-'中国汇率&amp;期货（ln）'!BE29</f>
      </c>
    </row>
    <row x14ac:dyDescent="0.25" r="11" customHeight="1" ht="18.75">
      <c r="A11" s="1"/>
      <c r="B11" s="12">
        <f>'中国汇率&amp;期货（ln）'!B11-'中国汇率&amp;期货（ln）'!B30</f>
      </c>
      <c r="C11" s="12">
        <f>'中国汇率&amp;期货（ln）'!C11-'中国汇率&amp;期货（ln）'!C30</f>
      </c>
      <c r="D11" s="12">
        <f>'中国汇率&amp;期货（ln）'!D11-'中国汇率&amp;期货（ln）'!D30</f>
      </c>
      <c r="E11" s="12">
        <f>'中国汇率&amp;期货（ln）'!E11-'中国汇率&amp;期货（ln）'!E30</f>
      </c>
      <c r="F11" s="12">
        <f>'中国汇率&amp;期货（ln）'!F11-'中国汇率&amp;期货（ln）'!F30</f>
      </c>
      <c r="G11" s="12">
        <f>'中国汇率&amp;期货（ln）'!G11-'中国汇率&amp;期货（ln）'!G30</f>
      </c>
      <c r="H11" s="12">
        <f>'中国汇率&amp;期货（ln）'!H11-'中国汇率&amp;期货（ln）'!H30</f>
      </c>
      <c r="I11" s="12">
        <f>'中国汇率&amp;期货（ln）'!I11-'中国汇率&amp;期货（ln）'!I30</f>
      </c>
      <c r="J11" s="12">
        <f>'中国汇率&amp;期货（ln）'!J11-'中国汇率&amp;期货（ln）'!J30</f>
      </c>
      <c r="K11" s="12">
        <f>'中国汇率&amp;期货（ln）'!K11-'中国汇率&amp;期货（ln）'!K30</f>
      </c>
      <c r="L11" s="12">
        <f>'中国汇率&amp;期货（ln）'!L11-'中国汇率&amp;期货（ln）'!L30</f>
      </c>
      <c r="M11" s="12">
        <f>'中国汇率&amp;期货（ln）'!M11-'中国汇率&amp;期货（ln）'!M30</f>
      </c>
      <c r="N11" s="12">
        <f>'中国汇率&amp;期货（ln）'!N11-'中国汇率&amp;期货（ln）'!N30</f>
      </c>
      <c r="O11" s="12">
        <f>'中国汇率&amp;期货（ln）'!O11-'中国汇率&amp;期货（ln）'!O30</f>
      </c>
      <c r="P11" s="12">
        <f>'中国汇率&amp;期货（ln）'!P11-'中国汇率&amp;期货（ln）'!P30</f>
      </c>
      <c r="Q11" s="12">
        <f>'中国汇率&amp;期货（ln）'!Q11-'中国汇率&amp;期货（ln）'!Q30</f>
      </c>
      <c r="R11" s="12">
        <f>'中国汇率&amp;期货（ln）'!R11-'中国汇率&amp;期货（ln）'!R30</f>
      </c>
      <c r="S11" s="12">
        <f>'中国汇率&amp;期货（ln）'!S11-'中国汇率&amp;期货（ln）'!S30</f>
      </c>
      <c r="T11" s="12">
        <f>'中国汇率&amp;期货（ln）'!T11-'中国汇率&amp;期货（ln）'!T30</f>
      </c>
      <c r="U11" s="12">
        <f>'中国汇率&amp;期货（ln）'!U11-'中国汇率&amp;期货（ln）'!U30</f>
      </c>
      <c r="V11" s="12">
        <f>'中国汇率&amp;期货（ln）'!V11-'中国汇率&amp;期货（ln）'!V30</f>
      </c>
      <c r="W11" s="12">
        <f>'中国汇率&amp;期货（ln）'!W11-'中国汇率&amp;期货（ln）'!W30</f>
      </c>
      <c r="X11" s="12">
        <f>'中国汇率&amp;期货（ln）'!X11-'中国汇率&amp;期货（ln）'!X30</f>
      </c>
      <c r="Y11" s="12">
        <f>'中国汇率&amp;期货（ln）'!Y11-'中国汇率&amp;期货（ln）'!Y30</f>
      </c>
      <c r="Z11" s="12">
        <f>'中国汇率&amp;期货（ln）'!Z11-'中国汇率&amp;期货（ln）'!Z30</f>
      </c>
      <c r="AA11" s="12">
        <f>'中国汇率&amp;期货（ln）'!AA11-'中国汇率&amp;期货（ln）'!AA30</f>
      </c>
      <c r="AB11" s="12">
        <f>'中国汇率&amp;期货（ln）'!AB11-'中国汇率&amp;期货（ln）'!AB30</f>
      </c>
      <c r="AC11" s="12">
        <f>'中国汇率&amp;期货（ln）'!AC11-'中国汇率&amp;期货（ln）'!AC30</f>
      </c>
      <c r="AD11" s="12">
        <f>'中国汇率&amp;期货（ln）'!AD11-'中国汇率&amp;期货（ln）'!AD30</f>
      </c>
      <c r="AE11" s="12">
        <f>'中国汇率&amp;期货（ln）'!AE11-'中国汇率&amp;期货（ln）'!AE30</f>
      </c>
      <c r="AF11" s="12">
        <f>'中国汇率&amp;期货（ln）'!AF11-'中国汇率&amp;期货（ln）'!AF30</f>
      </c>
      <c r="AG11" s="12">
        <f>'中国汇率&amp;期货（ln）'!AG11-'中国汇率&amp;期货（ln）'!AG30</f>
      </c>
      <c r="AH11" s="12">
        <f>'中国汇率&amp;期货（ln）'!AH11-'中国汇率&amp;期货（ln）'!AH30</f>
      </c>
      <c r="AI11" s="12">
        <f>'中国汇率&amp;期货（ln）'!AI11-'中国汇率&amp;期货（ln）'!AI30</f>
      </c>
      <c r="AJ11" s="12">
        <f>'中国汇率&amp;期货（ln）'!AJ11-'中国汇率&amp;期货（ln）'!AJ30</f>
      </c>
      <c r="AK11" s="12">
        <f>'中国汇率&amp;期货（ln）'!AK11-'中国汇率&amp;期货（ln）'!AK30</f>
      </c>
      <c r="AL11" s="12">
        <f>'中国汇率&amp;期货（ln）'!AL11-'中国汇率&amp;期货（ln）'!AL30</f>
      </c>
      <c r="AM11" s="12">
        <f>'中国汇率&amp;期货（ln）'!AM11-'中国汇率&amp;期货（ln）'!AM30</f>
      </c>
      <c r="AN11" s="12">
        <f>'中国汇率&amp;期货（ln）'!AN11-'中国汇率&amp;期货（ln）'!AN30</f>
      </c>
      <c r="AO11" s="12">
        <f>'中国汇率&amp;期货（ln）'!AO11-'中国汇率&amp;期货（ln）'!AO30</f>
      </c>
      <c r="AP11" s="12">
        <f>'中国汇率&amp;期货（ln）'!AP11-'中国汇率&amp;期货（ln）'!AP30</f>
      </c>
      <c r="AQ11" s="12">
        <f>'中国汇率&amp;期货（ln）'!AQ11-'中国汇率&amp;期货（ln）'!AQ30</f>
      </c>
      <c r="AR11" s="12">
        <f>'中国汇率&amp;期货（ln）'!AR11-'中国汇率&amp;期货（ln）'!AR30</f>
      </c>
      <c r="AS11" s="12">
        <f>'中国汇率&amp;期货（ln）'!AS11-'中国汇率&amp;期货（ln）'!AS30</f>
      </c>
      <c r="AT11" s="12">
        <f>'中国汇率&amp;期货（ln）'!AT11-'中国汇率&amp;期货（ln）'!AT30</f>
      </c>
      <c r="AU11" s="12">
        <f>'中国汇率&amp;期货（ln）'!AU11-'中国汇率&amp;期货（ln）'!AU30</f>
      </c>
      <c r="AV11" s="12">
        <f>'中国汇率&amp;期货（ln）'!AV11-'中国汇率&amp;期货（ln）'!AV30</f>
      </c>
      <c r="AW11" s="12">
        <f>'中国汇率&amp;期货（ln）'!AW11-'中国汇率&amp;期货（ln）'!AW30</f>
      </c>
      <c r="AX11" s="12">
        <f>'中国汇率&amp;期货（ln）'!AX11-'中国汇率&amp;期货（ln）'!AX30</f>
      </c>
      <c r="AY11" s="12">
        <f>'中国汇率&amp;期货（ln）'!AY11-'中国汇率&amp;期货（ln）'!AY30</f>
      </c>
      <c r="AZ11" s="12">
        <f>'中国汇率&amp;期货（ln）'!AZ11-'中国汇率&amp;期货（ln）'!AZ30</f>
      </c>
      <c r="BA11" s="12">
        <f>'中国汇率&amp;期货（ln）'!BA11-'中国汇率&amp;期货（ln）'!BA30</f>
      </c>
      <c r="BB11" s="12">
        <f>'中国汇率&amp;期货（ln）'!BB11-'中国汇率&amp;期货（ln）'!BB30</f>
      </c>
      <c r="BC11" s="12">
        <f>'中国汇率&amp;期货（ln）'!BC11-'中国汇率&amp;期货（ln）'!BC30</f>
      </c>
      <c r="BD11" s="12">
        <f>'中国汇率&amp;期货（ln）'!BD11-'中国汇率&amp;期货（ln）'!BD30</f>
      </c>
      <c r="BE11" s="12">
        <f>'中国汇率&amp;期货（ln）'!BE11-'中国汇率&amp;期货（ln）'!BE30</f>
      </c>
    </row>
    <row x14ac:dyDescent="0.25" r="12" customHeight="1" ht="18.75">
      <c r="A12" s="1"/>
      <c r="B12" s="12">
        <f>'中国汇率&amp;期货（ln）'!B12-'中国汇率&amp;期货（ln）'!B31</f>
      </c>
      <c r="C12" s="12">
        <f>'中国汇率&amp;期货（ln）'!C12-'中国汇率&amp;期货（ln）'!C31</f>
      </c>
      <c r="D12" s="12">
        <f>'中国汇率&amp;期货（ln）'!D12-'中国汇率&amp;期货（ln）'!D31</f>
      </c>
      <c r="E12" s="12">
        <f>'中国汇率&amp;期货（ln）'!E12-'中国汇率&amp;期货（ln）'!E31</f>
      </c>
      <c r="F12" s="12">
        <f>'中国汇率&amp;期货（ln）'!F12-'中国汇率&amp;期货（ln）'!F31</f>
      </c>
      <c r="G12" s="12">
        <f>'中国汇率&amp;期货（ln）'!G12-'中国汇率&amp;期货（ln）'!G31</f>
      </c>
      <c r="H12" s="12">
        <f>'中国汇率&amp;期货（ln）'!H12-'中国汇率&amp;期货（ln）'!H31</f>
      </c>
      <c r="I12" s="12">
        <f>'中国汇率&amp;期货（ln）'!I12-'中国汇率&amp;期货（ln）'!I31</f>
      </c>
      <c r="J12" s="12">
        <f>'中国汇率&amp;期货（ln）'!J12-'中国汇率&amp;期货（ln）'!J31</f>
      </c>
      <c r="K12" s="12">
        <f>'中国汇率&amp;期货（ln）'!K12-'中国汇率&amp;期货（ln）'!K31</f>
      </c>
      <c r="L12" s="12">
        <f>'中国汇率&amp;期货（ln）'!L12-'中国汇率&amp;期货（ln）'!L31</f>
      </c>
      <c r="M12" s="12">
        <f>'中国汇率&amp;期货（ln）'!M12-'中国汇率&amp;期货（ln）'!M31</f>
      </c>
      <c r="N12" s="12">
        <f>'中国汇率&amp;期货（ln）'!N12-'中国汇率&amp;期货（ln）'!N31</f>
      </c>
      <c r="O12" s="12">
        <f>'中国汇率&amp;期货（ln）'!O12-'中国汇率&amp;期货（ln）'!O31</f>
      </c>
      <c r="P12" s="12">
        <f>'中国汇率&amp;期货（ln）'!P12-'中国汇率&amp;期货（ln）'!P31</f>
      </c>
      <c r="Q12" s="12">
        <f>'中国汇率&amp;期货（ln）'!Q12-'中国汇率&amp;期货（ln）'!Q31</f>
      </c>
      <c r="R12" s="12">
        <f>'中国汇率&amp;期货（ln）'!R12-'中国汇率&amp;期货（ln）'!R31</f>
      </c>
      <c r="S12" s="12">
        <f>'中国汇率&amp;期货（ln）'!S12-'中国汇率&amp;期货（ln）'!S31</f>
      </c>
      <c r="T12" s="12">
        <f>'中国汇率&amp;期货（ln）'!T12-'中国汇率&amp;期货（ln）'!T31</f>
      </c>
      <c r="U12" s="12">
        <f>'中国汇率&amp;期货（ln）'!U12-'中国汇率&amp;期货（ln）'!U31</f>
      </c>
      <c r="V12" s="12">
        <f>'中国汇率&amp;期货（ln）'!V12-'中国汇率&amp;期货（ln）'!V31</f>
      </c>
      <c r="W12" s="12">
        <f>'中国汇率&amp;期货（ln）'!W12-'中国汇率&amp;期货（ln）'!W31</f>
      </c>
      <c r="X12" s="12">
        <f>'中国汇率&amp;期货（ln）'!X12-'中国汇率&amp;期货（ln）'!X31</f>
      </c>
      <c r="Y12" s="12">
        <f>'中国汇率&amp;期货（ln）'!Y12-'中国汇率&amp;期货（ln）'!Y31</f>
      </c>
      <c r="Z12" s="12">
        <f>'中国汇率&amp;期货（ln）'!Z12-'中国汇率&amp;期货（ln）'!Z31</f>
      </c>
      <c r="AA12" s="12">
        <f>'中国汇率&amp;期货（ln）'!AA12-'中国汇率&amp;期货（ln）'!AA31</f>
      </c>
      <c r="AB12" s="12">
        <f>'中国汇率&amp;期货（ln）'!AB12-'中国汇率&amp;期货（ln）'!AB31</f>
      </c>
      <c r="AC12" s="12">
        <f>'中国汇率&amp;期货（ln）'!AC12-'中国汇率&amp;期货（ln）'!AC31</f>
      </c>
      <c r="AD12" s="12">
        <f>'中国汇率&amp;期货（ln）'!AD12-'中国汇率&amp;期货（ln）'!AD31</f>
      </c>
      <c r="AE12" s="12">
        <f>'中国汇率&amp;期货（ln）'!AE12-'中国汇率&amp;期货（ln）'!AE31</f>
      </c>
      <c r="AF12" s="12">
        <f>'中国汇率&amp;期货（ln）'!AF12-'中国汇率&amp;期货（ln）'!AF31</f>
      </c>
      <c r="AG12" s="12">
        <f>'中国汇率&amp;期货（ln）'!AG12-'中国汇率&amp;期货（ln）'!AG31</f>
      </c>
      <c r="AH12" s="12">
        <f>'中国汇率&amp;期货（ln）'!AH12-'中国汇率&amp;期货（ln）'!AH31</f>
      </c>
      <c r="AI12" s="12">
        <f>'中国汇率&amp;期货（ln）'!AI12-'中国汇率&amp;期货（ln）'!AI31</f>
      </c>
      <c r="AJ12" s="12">
        <f>'中国汇率&amp;期货（ln）'!AJ12-'中国汇率&amp;期货（ln）'!AJ31</f>
      </c>
      <c r="AK12" s="12">
        <f>'中国汇率&amp;期货（ln）'!AK12-'中国汇率&amp;期货（ln）'!AK31</f>
      </c>
      <c r="AL12" s="12">
        <f>'中国汇率&amp;期货（ln）'!AL12-'中国汇率&amp;期货（ln）'!AL31</f>
      </c>
      <c r="AM12" s="12">
        <f>'中国汇率&amp;期货（ln）'!AM12-'中国汇率&amp;期货（ln）'!AM31</f>
      </c>
      <c r="AN12" s="12">
        <f>'中国汇率&amp;期货（ln）'!AN12-'中国汇率&amp;期货（ln）'!AN31</f>
      </c>
      <c r="AO12" s="12">
        <f>'中国汇率&amp;期货（ln）'!AO12-'中国汇率&amp;期货（ln）'!AO31</f>
      </c>
      <c r="AP12" s="12">
        <f>'中国汇率&amp;期货（ln）'!AP12-'中国汇率&amp;期货（ln）'!AP31</f>
      </c>
      <c r="AQ12" s="12">
        <f>'中国汇率&amp;期货（ln）'!AQ12-'中国汇率&amp;期货（ln）'!AQ31</f>
      </c>
      <c r="AR12" s="12">
        <f>'中国汇率&amp;期货（ln）'!AR12-'中国汇率&amp;期货（ln）'!AR31</f>
      </c>
      <c r="AS12" s="12">
        <f>'中国汇率&amp;期货（ln）'!AS12-'中国汇率&amp;期货（ln）'!AS31</f>
      </c>
      <c r="AT12" s="12">
        <f>'中国汇率&amp;期货（ln）'!AT12-'中国汇率&amp;期货（ln）'!AT31</f>
      </c>
      <c r="AU12" s="12">
        <f>'中国汇率&amp;期货（ln）'!AU12-'中国汇率&amp;期货（ln）'!AU31</f>
      </c>
      <c r="AV12" s="12">
        <f>'中国汇率&amp;期货（ln）'!AV12-'中国汇率&amp;期货（ln）'!AV31</f>
      </c>
      <c r="AW12" s="12">
        <f>'中国汇率&amp;期货（ln）'!AW12-'中国汇率&amp;期货（ln）'!AW31</f>
      </c>
      <c r="AX12" s="12">
        <f>'中国汇率&amp;期货（ln）'!AX12-'中国汇率&amp;期货（ln）'!AX31</f>
      </c>
      <c r="AY12" s="12">
        <f>'中国汇率&amp;期货（ln）'!AY12-'中国汇率&amp;期货（ln）'!AY31</f>
      </c>
      <c r="AZ12" s="12">
        <f>'中国汇率&amp;期货（ln）'!AZ12-'中国汇率&amp;期货（ln）'!AZ31</f>
      </c>
      <c r="BA12" s="12">
        <f>'中国汇率&amp;期货（ln）'!BA12-'中国汇率&amp;期货（ln）'!BA31</f>
      </c>
      <c r="BB12" s="12">
        <f>'中国汇率&amp;期货（ln）'!BB12-'中国汇率&amp;期货（ln）'!BB31</f>
      </c>
      <c r="BC12" s="12">
        <f>'中国汇率&amp;期货（ln）'!BC12-'中国汇率&amp;期货（ln）'!BC31</f>
      </c>
      <c r="BD12" s="12">
        <f>'中国汇率&amp;期货（ln）'!BD12-'中国汇率&amp;期货（ln）'!BD31</f>
      </c>
      <c r="BE12" s="12">
        <f>'中国汇率&amp;期货（ln）'!BE12-'中国汇率&amp;期货（ln）'!BE31</f>
      </c>
    </row>
    <row x14ac:dyDescent="0.25" r="13" customHeight="1" ht="18.75">
      <c r="A13" s="1"/>
      <c r="B13" s="12">
        <f>'中国汇率&amp;期货（ln）'!B13-'中国汇率&amp;期货（ln）'!B32</f>
      </c>
      <c r="C13" s="12">
        <f>'中国汇率&amp;期货（ln）'!C13-'中国汇率&amp;期货（ln）'!C32</f>
      </c>
      <c r="D13" s="12">
        <f>'中国汇率&amp;期货（ln）'!D13-'中国汇率&amp;期货（ln）'!D32</f>
      </c>
      <c r="E13" s="12">
        <f>'中国汇率&amp;期货（ln）'!E13-'中国汇率&amp;期货（ln）'!E32</f>
      </c>
      <c r="F13" s="12">
        <f>'中国汇率&amp;期货（ln）'!F13-'中国汇率&amp;期货（ln）'!F32</f>
      </c>
      <c r="G13" s="12">
        <f>'中国汇率&amp;期货（ln）'!G13-'中国汇率&amp;期货（ln）'!G32</f>
      </c>
      <c r="H13" s="12">
        <f>'中国汇率&amp;期货（ln）'!H13-'中国汇率&amp;期货（ln）'!H32</f>
      </c>
      <c r="I13" s="12">
        <f>'中国汇率&amp;期货（ln）'!I13-'中国汇率&amp;期货（ln）'!I32</f>
      </c>
      <c r="J13" s="12">
        <f>'中国汇率&amp;期货（ln）'!J13-'中国汇率&amp;期货（ln）'!J32</f>
      </c>
      <c r="K13" s="12">
        <f>'中国汇率&amp;期货（ln）'!K13-'中国汇率&amp;期货（ln）'!K32</f>
      </c>
      <c r="L13" s="12">
        <f>'中国汇率&amp;期货（ln）'!L13-'中国汇率&amp;期货（ln）'!L32</f>
      </c>
      <c r="M13" s="12">
        <f>'中国汇率&amp;期货（ln）'!M13-'中国汇率&amp;期货（ln）'!M32</f>
      </c>
      <c r="N13" s="12">
        <f>'中国汇率&amp;期货（ln）'!N13-'中国汇率&amp;期货（ln）'!N32</f>
      </c>
      <c r="O13" s="12">
        <f>'中国汇率&amp;期货（ln）'!O13-'中国汇率&amp;期货（ln）'!O32</f>
      </c>
      <c r="P13" s="12">
        <f>'中国汇率&amp;期货（ln）'!P13-'中国汇率&amp;期货（ln）'!P32</f>
      </c>
      <c r="Q13" s="12">
        <f>'中国汇率&amp;期货（ln）'!Q13-'中国汇率&amp;期货（ln）'!Q32</f>
      </c>
      <c r="R13" s="12">
        <f>'中国汇率&amp;期货（ln）'!R13-'中国汇率&amp;期货（ln）'!R32</f>
      </c>
      <c r="S13" s="12">
        <f>'中国汇率&amp;期货（ln）'!S13-'中国汇率&amp;期货（ln）'!S32</f>
      </c>
      <c r="T13" s="12">
        <f>'中国汇率&amp;期货（ln）'!T13-'中国汇率&amp;期货（ln）'!T32</f>
      </c>
      <c r="U13" s="12">
        <f>'中国汇率&amp;期货（ln）'!U13-'中国汇率&amp;期货（ln）'!U32</f>
      </c>
      <c r="V13" s="12">
        <f>'中国汇率&amp;期货（ln）'!V13-'中国汇率&amp;期货（ln）'!V32</f>
      </c>
      <c r="W13" s="12">
        <f>'中国汇率&amp;期货（ln）'!W13-'中国汇率&amp;期货（ln）'!W32</f>
      </c>
      <c r="X13" s="12">
        <f>'中国汇率&amp;期货（ln）'!X13-'中国汇率&amp;期货（ln）'!X32</f>
      </c>
      <c r="Y13" s="12">
        <f>'中国汇率&amp;期货（ln）'!Y13-'中国汇率&amp;期货（ln）'!Y32</f>
      </c>
      <c r="Z13" s="12">
        <f>'中国汇率&amp;期货（ln）'!Z13-'中国汇率&amp;期货（ln）'!Z32</f>
      </c>
      <c r="AA13" s="12">
        <f>'中国汇率&amp;期货（ln）'!AA13-'中国汇率&amp;期货（ln）'!AA32</f>
      </c>
      <c r="AB13" s="12">
        <f>'中国汇率&amp;期货（ln）'!AB13-'中国汇率&amp;期货（ln）'!AB32</f>
      </c>
      <c r="AC13" s="12">
        <f>'中国汇率&amp;期货（ln）'!AC13-'中国汇率&amp;期货（ln）'!AC32</f>
      </c>
      <c r="AD13" s="12">
        <f>'中国汇率&amp;期货（ln）'!AD13-'中国汇率&amp;期货（ln）'!AD32</f>
      </c>
      <c r="AE13" s="12">
        <f>'中国汇率&amp;期货（ln）'!AE13-'中国汇率&amp;期货（ln）'!AE32</f>
      </c>
      <c r="AF13" s="12">
        <f>'中国汇率&amp;期货（ln）'!AF13-'中国汇率&amp;期货（ln）'!AF32</f>
      </c>
      <c r="AG13" s="12">
        <f>'中国汇率&amp;期货（ln）'!AG13-'中国汇率&amp;期货（ln）'!AG32</f>
      </c>
      <c r="AH13" s="12">
        <f>'中国汇率&amp;期货（ln）'!AH13-'中国汇率&amp;期货（ln）'!AH32</f>
      </c>
      <c r="AI13" s="12">
        <f>'中国汇率&amp;期货（ln）'!AI13-'中国汇率&amp;期货（ln）'!AI32</f>
      </c>
      <c r="AJ13" s="12">
        <f>'中国汇率&amp;期货（ln）'!AJ13-'中国汇率&amp;期货（ln）'!AJ32</f>
      </c>
      <c r="AK13" s="12">
        <f>'中国汇率&amp;期货（ln）'!AK13-'中国汇率&amp;期货（ln）'!AK32</f>
      </c>
      <c r="AL13" s="12">
        <f>'中国汇率&amp;期货（ln）'!AL13-'中国汇率&amp;期货（ln）'!AL32</f>
      </c>
      <c r="AM13" s="12">
        <f>'中国汇率&amp;期货（ln）'!AM13-'中国汇率&amp;期货（ln）'!AM32</f>
      </c>
      <c r="AN13" s="12">
        <f>'中国汇率&amp;期货（ln）'!AN13-'中国汇率&amp;期货（ln）'!AN32</f>
      </c>
      <c r="AO13" s="12">
        <f>'中国汇率&amp;期货（ln）'!AO13-'中国汇率&amp;期货（ln）'!AO32</f>
      </c>
      <c r="AP13" s="12">
        <f>'中国汇率&amp;期货（ln）'!AP13-'中国汇率&amp;期货（ln）'!AP32</f>
      </c>
      <c r="AQ13" s="12">
        <f>'中国汇率&amp;期货（ln）'!AQ13-'中国汇率&amp;期货（ln）'!AQ32</f>
      </c>
      <c r="AR13" s="12">
        <f>'中国汇率&amp;期货（ln）'!AR13-'中国汇率&amp;期货（ln）'!AR32</f>
      </c>
      <c r="AS13" s="12">
        <f>'中国汇率&amp;期货（ln）'!AS13-'中国汇率&amp;期货（ln）'!AS32</f>
      </c>
      <c r="AT13" s="12">
        <f>'中国汇率&amp;期货（ln）'!AT13-'中国汇率&amp;期货（ln）'!AT32</f>
      </c>
      <c r="AU13" s="12">
        <f>'中国汇率&amp;期货（ln）'!AU13-'中国汇率&amp;期货（ln）'!AU32</f>
      </c>
      <c r="AV13" s="12">
        <f>'中国汇率&amp;期货（ln）'!AV13-'中国汇率&amp;期货（ln）'!AV32</f>
      </c>
      <c r="AW13" s="12">
        <f>'中国汇率&amp;期货（ln）'!AW13-'中国汇率&amp;期货（ln）'!AW32</f>
      </c>
      <c r="AX13" s="12">
        <f>'中国汇率&amp;期货（ln）'!AX13-'中国汇率&amp;期货（ln）'!AX32</f>
      </c>
      <c r="AY13" s="12">
        <f>'中国汇率&amp;期货（ln）'!AY13-'中国汇率&amp;期货（ln）'!AY32</f>
      </c>
      <c r="AZ13" s="12">
        <f>'中国汇率&amp;期货（ln）'!AZ13-'中国汇率&amp;期货（ln）'!AZ32</f>
      </c>
      <c r="BA13" s="12">
        <f>'中国汇率&amp;期货（ln）'!BA13-'中国汇率&amp;期货（ln）'!BA32</f>
      </c>
      <c r="BB13" s="12">
        <f>'中国汇率&amp;期货（ln）'!BB13-'中国汇率&amp;期货（ln）'!BB32</f>
      </c>
      <c r="BC13" s="12">
        <f>'中国汇率&amp;期货（ln）'!BC13-'中国汇率&amp;期货（ln）'!BC32</f>
      </c>
      <c r="BD13" s="12">
        <f>'中国汇率&amp;期货（ln）'!BD13-'中国汇率&amp;期货（ln）'!BD32</f>
      </c>
      <c r="BE13" s="12">
        <f>'中国汇率&amp;期货（ln）'!BE13-'中国汇率&amp;期货（ln）'!BE32</f>
      </c>
    </row>
    <row x14ac:dyDescent="0.25" r="14" customHeight="1" ht="18.75">
      <c r="A14" s="1"/>
      <c r="B14" s="12">
        <f>'中国汇率&amp;期货（ln）'!B14-'中国汇率&amp;期货（ln）'!B33</f>
      </c>
      <c r="C14" s="12">
        <f>'中国汇率&amp;期货（ln）'!C14-'中国汇率&amp;期货（ln）'!C33</f>
      </c>
      <c r="D14" s="12">
        <f>'中国汇率&amp;期货（ln）'!D14-'中国汇率&amp;期货（ln）'!D33</f>
      </c>
      <c r="E14" s="12">
        <f>'中国汇率&amp;期货（ln）'!E14-'中国汇率&amp;期货（ln）'!E33</f>
      </c>
      <c r="F14" s="12">
        <f>'中国汇率&amp;期货（ln）'!F14-'中国汇率&amp;期货（ln）'!F33</f>
      </c>
      <c r="G14" s="12">
        <f>'中国汇率&amp;期货（ln）'!G14-'中国汇率&amp;期货（ln）'!G33</f>
      </c>
      <c r="H14" s="12">
        <f>'中国汇率&amp;期货（ln）'!H14-'中国汇率&amp;期货（ln）'!H33</f>
      </c>
      <c r="I14" s="12">
        <f>'中国汇率&amp;期货（ln）'!I14-'中国汇率&amp;期货（ln）'!I33</f>
      </c>
      <c r="J14" s="12">
        <f>'中国汇率&amp;期货（ln）'!J14-'中国汇率&amp;期货（ln）'!J33</f>
      </c>
      <c r="K14" s="12">
        <f>'中国汇率&amp;期货（ln）'!K14-'中国汇率&amp;期货（ln）'!K33</f>
      </c>
      <c r="L14" s="12">
        <f>'中国汇率&amp;期货（ln）'!L14-'中国汇率&amp;期货（ln）'!L33</f>
      </c>
      <c r="M14" s="12">
        <f>'中国汇率&amp;期货（ln）'!M14-'中国汇率&amp;期货（ln）'!M33</f>
      </c>
      <c r="N14" s="12">
        <f>'中国汇率&amp;期货（ln）'!N14-'中国汇率&amp;期货（ln）'!N33</f>
      </c>
      <c r="O14" s="12">
        <f>'中国汇率&amp;期货（ln）'!O14-'中国汇率&amp;期货（ln）'!O33</f>
      </c>
      <c r="P14" s="12">
        <f>'中国汇率&amp;期货（ln）'!P14-'中国汇率&amp;期货（ln）'!P33</f>
      </c>
      <c r="Q14" s="12">
        <f>'中国汇率&amp;期货（ln）'!Q14-'中国汇率&amp;期货（ln）'!Q33</f>
      </c>
      <c r="R14" s="12">
        <f>'中国汇率&amp;期货（ln）'!R14-'中国汇率&amp;期货（ln）'!R33</f>
      </c>
      <c r="S14" s="12">
        <f>'中国汇率&amp;期货（ln）'!S14-'中国汇率&amp;期货（ln）'!S33</f>
      </c>
      <c r="T14" s="12">
        <f>'中国汇率&amp;期货（ln）'!T14-'中国汇率&amp;期货（ln）'!T33</f>
      </c>
      <c r="U14" s="12">
        <f>'中国汇率&amp;期货（ln）'!U14-'中国汇率&amp;期货（ln）'!U33</f>
      </c>
      <c r="V14" s="12">
        <f>'中国汇率&amp;期货（ln）'!V14-'中国汇率&amp;期货（ln）'!V33</f>
      </c>
      <c r="W14" s="12">
        <f>'中国汇率&amp;期货（ln）'!W14-'中国汇率&amp;期货（ln）'!W33</f>
      </c>
      <c r="X14" s="12">
        <f>'中国汇率&amp;期货（ln）'!X14-'中国汇率&amp;期货（ln）'!X33</f>
      </c>
      <c r="Y14" s="12">
        <f>'中国汇率&amp;期货（ln）'!Y14-'中国汇率&amp;期货（ln）'!Y33</f>
      </c>
      <c r="Z14" s="12">
        <f>'中国汇率&amp;期货（ln）'!Z14-'中国汇率&amp;期货（ln）'!Z33</f>
      </c>
      <c r="AA14" s="12">
        <f>'中国汇率&amp;期货（ln）'!AA14-'中国汇率&amp;期货（ln）'!AA33</f>
      </c>
      <c r="AB14" s="12">
        <f>'中国汇率&amp;期货（ln）'!AB14-'中国汇率&amp;期货（ln）'!AB33</f>
      </c>
      <c r="AC14" s="12">
        <f>'中国汇率&amp;期货（ln）'!AC14-'中国汇率&amp;期货（ln）'!AC33</f>
      </c>
      <c r="AD14" s="12">
        <f>'中国汇率&amp;期货（ln）'!AD14-'中国汇率&amp;期货（ln）'!AD33</f>
      </c>
      <c r="AE14" s="12">
        <f>'中国汇率&amp;期货（ln）'!AE14-'中国汇率&amp;期货（ln）'!AE33</f>
      </c>
      <c r="AF14" s="12">
        <f>'中国汇率&amp;期货（ln）'!AF14-'中国汇率&amp;期货（ln）'!AF33</f>
      </c>
      <c r="AG14" s="12">
        <f>'中国汇率&amp;期货（ln）'!AG14-'中国汇率&amp;期货（ln）'!AG33</f>
      </c>
      <c r="AH14" s="12">
        <f>'中国汇率&amp;期货（ln）'!AH14-'中国汇率&amp;期货（ln）'!AH33</f>
      </c>
      <c r="AI14" s="12">
        <f>'中国汇率&amp;期货（ln）'!AI14-'中国汇率&amp;期货（ln）'!AI33</f>
      </c>
      <c r="AJ14" s="12">
        <f>'中国汇率&amp;期货（ln）'!AJ14-'中国汇率&amp;期货（ln）'!AJ33</f>
      </c>
      <c r="AK14" s="12">
        <f>'中国汇率&amp;期货（ln）'!AK14-'中国汇率&amp;期货（ln）'!AK33</f>
      </c>
      <c r="AL14" s="12">
        <f>'中国汇率&amp;期货（ln）'!AL14-'中国汇率&amp;期货（ln）'!AL33</f>
      </c>
      <c r="AM14" s="12">
        <f>'中国汇率&amp;期货（ln）'!AM14-'中国汇率&amp;期货（ln）'!AM33</f>
      </c>
      <c r="AN14" s="12">
        <f>'中国汇率&amp;期货（ln）'!AN14-'中国汇率&amp;期货（ln）'!AN33</f>
      </c>
      <c r="AO14" s="12">
        <f>'中国汇率&amp;期货（ln）'!AO14-'中国汇率&amp;期货（ln）'!AO33</f>
      </c>
      <c r="AP14" s="12">
        <f>'中国汇率&amp;期货（ln）'!AP14-'中国汇率&amp;期货（ln）'!AP33</f>
      </c>
      <c r="AQ14" s="12">
        <f>'中国汇率&amp;期货（ln）'!AQ14-'中国汇率&amp;期货（ln）'!AQ33</f>
      </c>
      <c r="AR14" s="12">
        <f>'中国汇率&amp;期货（ln）'!AR14-'中国汇率&amp;期货（ln）'!AR33</f>
      </c>
      <c r="AS14" s="12">
        <f>'中国汇率&amp;期货（ln）'!AS14-'中国汇率&amp;期货（ln）'!AS33</f>
      </c>
      <c r="AT14" s="12">
        <f>'中国汇率&amp;期货（ln）'!AT14-'中国汇率&amp;期货（ln）'!AT33</f>
      </c>
      <c r="AU14" s="12">
        <f>'中国汇率&amp;期货（ln）'!AU14-'中国汇率&amp;期货（ln）'!AU33</f>
      </c>
      <c r="AV14" s="12">
        <f>'中国汇率&amp;期货（ln）'!AV14-'中国汇率&amp;期货（ln）'!AV33</f>
      </c>
      <c r="AW14" s="12">
        <f>'中国汇率&amp;期货（ln）'!AW14-'中国汇率&amp;期货（ln）'!AW33</f>
      </c>
      <c r="AX14" s="12">
        <f>'中国汇率&amp;期货（ln）'!AX14-'中国汇率&amp;期货（ln）'!AX33</f>
      </c>
      <c r="AY14" s="12">
        <f>'中国汇率&amp;期货（ln）'!AY14-'中国汇率&amp;期货（ln）'!AY33</f>
      </c>
      <c r="AZ14" s="12">
        <f>'中国汇率&amp;期货（ln）'!AZ14-'中国汇率&amp;期货（ln）'!AZ33</f>
      </c>
      <c r="BA14" s="12">
        <f>'中国汇率&amp;期货（ln）'!BA14-'中国汇率&amp;期货（ln）'!BA33</f>
      </c>
      <c r="BB14" s="12">
        <f>'中国汇率&amp;期货（ln）'!BB14-'中国汇率&amp;期货（ln）'!BB33</f>
      </c>
      <c r="BC14" s="12">
        <f>'中国汇率&amp;期货（ln）'!BC14-'中国汇率&amp;期货（ln）'!BC33</f>
      </c>
      <c r="BD14" s="12">
        <f>'中国汇率&amp;期货（ln）'!BD14-'中国汇率&amp;期货（ln）'!BD33</f>
      </c>
      <c r="BE14" s="12">
        <f>'中国汇率&amp;期货（ln）'!BE14-'中国汇率&amp;期货（ln）'!BE33</f>
      </c>
    </row>
    <row x14ac:dyDescent="0.25" r="15" customHeight="1" ht="18.75">
      <c r="A15" s="1"/>
      <c r="B15" s="12">
        <f>'中国汇率&amp;期货（ln）'!B15-'中国汇率&amp;期货（ln）'!B34</f>
      </c>
      <c r="C15" s="12">
        <f>'中国汇率&amp;期货（ln）'!C15-'中国汇率&amp;期货（ln）'!C34</f>
      </c>
      <c r="D15" s="12">
        <f>'中国汇率&amp;期货（ln）'!D15-'中国汇率&amp;期货（ln）'!D34</f>
      </c>
      <c r="E15" s="12">
        <f>'中国汇率&amp;期货（ln）'!E15-'中国汇率&amp;期货（ln）'!E34</f>
      </c>
      <c r="F15" s="12">
        <f>'中国汇率&amp;期货（ln）'!F15-'中国汇率&amp;期货（ln）'!F34</f>
      </c>
      <c r="G15" s="12">
        <f>'中国汇率&amp;期货（ln）'!G15-'中国汇率&amp;期货（ln）'!G34</f>
      </c>
      <c r="H15" s="12">
        <f>'中国汇率&amp;期货（ln）'!H15-'中国汇率&amp;期货（ln）'!H34</f>
      </c>
      <c r="I15" s="12">
        <f>'中国汇率&amp;期货（ln）'!I15-'中国汇率&amp;期货（ln）'!I34</f>
      </c>
      <c r="J15" s="12">
        <f>'中国汇率&amp;期货（ln）'!J15-'中国汇率&amp;期货（ln）'!J34</f>
      </c>
      <c r="K15" s="12">
        <f>'中国汇率&amp;期货（ln）'!K15-'中国汇率&amp;期货（ln）'!K34</f>
      </c>
      <c r="L15" s="12">
        <f>'中国汇率&amp;期货（ln）'!L15-'中国汇率&amp;期货（ln）'!L34</f>
      </c>
      <c r="M15" s="12">
        <f>'中国汇率&amp;期货（ln）'!M15-'中国汇率&amp;期货（ln）'!M34</f>
      </c>
      <c r="N15" s="12">
        <f>'中国汇率&amp;期货（ln）'!N15-'中国汇率&amp;期货（ln）'!N34</f>
      </c>
      <c r="O15" s="12">
        <f>'中国汇率&amp;期货（ln）'!O15-'中国汇率&amp;期货（ln）'!O34</f>
      </c>
      <c r="P15" s="12">
        <f>'中国汇率&amp;期货（ln）'!P15-'中国汇率&amp;期货（ln）'!P34</f>
      </c>
      <c r="Q15" s="12">
        <f>'中国汇率&amp;期货（ln）'!Q15-'中国汇率&amp;期货（ln）'!Q34</f>
      </c>
      <c r="R15" s="12">
        <f>'中国汇率&amp;期货（ln）'!R15-'中国汇率&amp;期货（ln）'!R34</f>
      </c>
      <c r="S15" s="12">
        <f>'中国汇率&amp;期货（ln）'!S15-'中国汇率&amp;期货（ln）'!S34</f>
      </c>
      <c r="T15" s="12">
        <f>'中国汇率&amp;期货（ln）'!T15-'中国汇率&amp;期货（ln）'!T34</f>
      </c>
      <c r="U15" s="12">
        <f>'中国汇率&amp;期货（ln）'!U15-'中国汇率&amp;期货（ln）'!U34</f>
      </c>
      <c r="V15" s="12">
        <f>'中国汇率&amp;期货（ln）'!V15-'中国汇率&amp;期货（ln）'!V34</f>
      </c>
      <c r="W15" s="12">
        <f>'中国汇率&amp;期货（ln）'!W15-'中国汇率&amp;期货（ln）'!W34</f>
      </c>
      <c r="X15" s="12">
        <f>'中国汇率&amp;期货（ln）'!X15-'中国汇率&amp;期货（ln）'!X34</f>
      </c>
      <c r="Y15" s="12">
        <f>'中国汇率&amp;期货（ln）'!Y15-'中国汇率&amp;期货（ln）'!Y34</f>
      </c>
      <c r="Z15" s="12">
        <f>'中国汇率&amp;期货（ln）'!Z15-'中国汇率&amp;期货（ln）'!Z34</f>
      </c>
      <c r="AA15" s="12">
        <f>'中国汇率&amp;期货（ln）'!AA15-'中国汇率&amp;期货（ln）'!AA34</f>
      </c>
      <c r="AB15" s="12">
        <f>'中国汇率&amp;期货（ln）'!AB15-'中国汇率&amp;期货（ln）'!AB34</f>
      </c>
      <c r="AC15" s="12">
        <f>'中国汇率&amp;期货（ln）'!AC15-'中国汇率&amp;期货（ln）'!AC34</f>
      </c>
      <c r="AD15" s="12">
        <f>'中国汇率&amp;期货（ln）'!AD15-'中国汇率&amp;期货（ln）'!AD34</f>
      </c>
      <c r="AE15" s="12">
        <f>'中国汇率&amp;期货（ln）'!AE15-'中国汇率&amp;期货（ln）'!AE34</f>
      </c>
      <c r="AF15" s="12">
        <f>'中国汇率&amp;期货（ln）'!AF15-'中国汇率&amp;期货（ln）'!AF34</f>
      </c>
      <c r="AG15" s="12">
        <f>'中国汇率&amp;期货（ln）'!AG15-'中国汇率&amp;期货（ln）'!AG34</f>
      </c>
      <c r="AH15" s="12">
        <f>'中国汇率&amp;期货（ln）'!AH15-'中国汇率&amp;期货（ln）'!AH34</f>
      </c>
      <c r="AI15" s="12">
        <f>'中国汇率&amp;期货（ln）'!AI15-'中国汇率&amp;期货（ln）'!AI34</f>
      </c>
      <c r="AJ15" s="12">
        <f>'中国汇率&amp;期货（ln）'!AJ15-'中国汇率&amp;期货（ln）'!AJ34</f>
      </c>
      <c r="AK15" s="12">
        <f>'中国汇率&amp;期货（ln）'!AK15-'中国汇率&amp;期货（ln）'!AK34</f>
      </c>
      <c r="AL15" s="12">
        <f>'中国汇率&amp;期货（ln）'!AL15-'中国汇率&amp;期货（ln）'!AL34</f>
      </c>
      <c r="AM15" s="12">
        <f>'中国汇率&amp;期货（ln）'!AM15-'中国汇率&amp;期货（ln）'!AM34</f>
      </c>
      <c r="AN15" s="12">
        <f>'中国汇率&amp;期货（ln）'!AN15-'中国汇率&amp;期货（ln）'!AN34</f>
      </c>
      <c r="AO15" s="12">
        <f>'中国汇率&amp;期货（ln）'!AO15-'中国汇率&amp;期货（ln）'!AO34</f>
      </c>
      <c r="AP15" s="12">
        <f>'中国汇率&amp;期货（ln）'!AP15-'中国汇率&amp;期货（ln）'!AP34</f>
      </c>
      <c r="AQ15" s="12">
        <f>'中国汇率&amp;期货（ln）'!AQ15-'中国汇率&amp;期货（ln）'!AQ34</f>
      </c>
      <c r="AR15" s="12">
        <f>'中国汇率&amp;期货（ln）'!AR15-'中国汇率&amp;期货（ln）'!AR34</f>
      </c>
      <c r="AS15" s="12">
        <f>'中国汇率&amp;期货（ln）'!AS15-'中国汇率&amp;期货（ln）'!AS34</f>
      </c>
      <c r="AT15" s="12">
        <f>'中国汇率&amp;期货（ln）'!AT15-'中国汇率&amp;期货（ln）'!AT34</f>
      </c>
      <c r="AU15" s="12">
        <f>'中国汇率&amp;期货（ln）'!AU15-'中国汇率&amp;期货（ln）'!AU34</f>
      </c>
      <c r="AV15" s="12">
        <f>'中国汇率&amp;期货（ln）'!AV15-'中国汇率&amp;期货（ln）'!AV34</f>
      </c>
      <c r="AW15" s="12">
        <f>'中国汇率&amp;期货（ln）'!AW15-'中国汇率&amp;期货（ln）'!AW34</f>
      </c>
      <c r="AX15" s="12">
        <f>'中国汇率&amp;期货（ln）'!AX15-'中国汇率&amp;期货（ln）'!AX34</f>
      </c>
      <c r="AY15" s="12">
        <f>'中国汇率&amp;期货（ln）'!AY15-'中国汇率&amp;期货（ln）'!AY34</f>
      </c>
      <c r="AZ15" s="12">
        <f>'中国汇率&amp;期货（ln）'!AZ15-'中国汇率&amp;期货（ln）'!AZ34</f>
      </c>
      <c r="BA15" s="12">
        <f>'中国汇率&amp;期货（ln）'!BA15-'中国汇率&amp;期货（ln）'!BA34</f>
      </c>
      <c r="BB15" s="12">
        <f>'中国汇率&amp;期货（ln）'!BB15-'中国汇率&amp;期货（ln）'!BB34</f>
      </c>
      <c r="BC15" s="12">
        <f>'中国汇率&amp;期货（ln）'!BC15-'中国汇率&amp;期货（ln）'!BC34</f>
      </c>
      <c r="BD15" s="12">
        <f>'中国汇率&amp;期货（ln）'!BD15-'中国汇率&amp;期货（ln）'!BD34</f>
      </c>
      <c r="BE15" s="12">
        <f>'中国汇率&amp;期货（ln）'!BE15-'中国汇率&amp;期货（ln）'!BE34</f>
      </c>
    </row>
    <row x14ac:dyDescent="0.25" r="16" customHeight="1" ht="18.75">
      <c r="A16" s="1"/>
      <c r="B16" s="12">
        <f>'中国汇率&amp;期货（ln）'!B16-'中国汇率&amp;期货（ln）'!B35</f>
      </c>
      <c r="C16" s="12">
        <f>'中国汇率&amp;期货（ln）'!C16-'中国汇率&amp;期货（ln）'!C35</f>
      </c>
      <c r="D16" s="12">
        <f>'中国汇率&amp;期货（ln）'!D16-'中国汇率&amp;期货（ln）'!D35</f>
      </c>
      <c r="E16" s="12">
        <f>'中国汇率&amp;期货（ln）'!E16-'中国汇率&amp;期货（ln）'!E35</f>
      </c>
      <c r="F16" s="12">
        <f>'中国汇率&amp;期货（ln）'!F16-'中国汇率&amp;期货（ln）'!F35</f>
      </c>
      <c r="G16" s="12">
        <f>'中国汇率&amp;期货（ln）'!G16-'中国汇率&amp;期货（ln）'!G35</f>
      </c>
      <c r="H16" s="12">
        <f>'中国汇率&amp;期货（ln）'!H16-'中国汇率&amp;期货（ln）'!H35</f>
      </c>
      <c r="I16" s="12">
        <f>'中国汇率&amp;期货（ln）'!I16-'中国汇率&amp;期货（ln）'!I35</f>
      </c>
      <c r="J16" s="12">
        <f>'中国汇率&amp;期货（ln）'!J16-'中国汇率&amp;期货（ln）'!J35</f>
      </c>
      <c r="K16" s="12">
        <f>'中国汇率&amp;期货（ln）'!K16-'中国汇率&amp;期货（ln）'!K35</f>
      </c>
      <c r="L16" s="12">
        <f>'中国汇率&amp;期货（ln）'!L16-'中国汇率&amp;期货（ln）'!L35</f>
      </c>
      <c r="M16" s="12">
        <f>'中国汇率&amp;期货（ln）'!M16-'中国汇率&amp;期货（ln）'!M35</f>
      </c>
      <c r="N16" s="12">
        <f>'中国汇率&amp;期货（ln）'!N16-'中国汇率&amp;期货（ln）'!N35</f>
      </c>
      <c r="O16" s="12">
        <f>'中国汇率&amp;期货（ln）'!O16-'中国汇率&amp;期货（ln）'!O35</f>
      </c>
      <c r="P16" s="12">
        <f>'中国汇率&amp;期货（ln）'!P16-'中国汇率&amp;期货（ln）'!P35</f>
      </c>
      <c r="Q16" s="12">
        <f>'中国汇率&amp;期货（ln）'!Q16-'中国汇率&amp;期货（ln）'!Q35</f>
      </c>
      <c r="R16" s="12">
        <f>'中国汇率&amp;期货（ln）'!R16-'中国汇率&amp;期货（ln）'!R35</f>
      </c>
      <c r="S16" s="12">
        <f>'中国汇率&amp;期货（ln）'!S16-'中国汇率&amp;期货（ln）'!S35</f>
      </c>
      <c r="T16" s="12">
        <f>'中国汇率&amp;期货（ln）'!T16-'中国汇率&amp;期货（ln）'!T35</f>
      </c>
      <c r="U16" s="12">
        <f>'中国汇率&amp;期货（ln）'!U16-'中国汇率&amp;期货（ln）'!U35</f>
      </c>
      <c r="V16" s="12">
        <f>'中国汇率&amp;期货（ln）'!V16-'中国汇率&amp;期货（ln）'!V35</f>
      </c>
      <c r="W16" s="12">
        <f>'中国汇率&amp;期货（ln）'!W16-'中国汇率&amp;期货（ln）'!W35</f>
      </c>
      <c r="X16" s="12">
        <f>'中国汇率&amp;期货（ln）'!X16-'中国汇率&amp;期货（ln）'!X35</f>
      </c>
      <c r="Y16" s="12">
        <f>'中国汇率&amp;期货（ln）'!Y16-'中国汇率&amp;期货（ln）'!Y35</f>
      </c>
      <c r="Z16" s="12">
        <f>'中国汇率&amp;期货（ln）'!Z16-'中国汇率&amp;期货（ln）'!Z35</f>
      </c>
      <c r="AA16" s="12">
        <f>'中国汇率&amp;期货（ln）'!AA16-'中国汇率&amp;期货（ln）'!AA35</f>
      </c>
      <c r="AB16" s="12">
        <f>'中国汇率&amp;期货（ln）'!AB16-'中国汇率&amp;期货（ln）'!AB35</f>
      </c>
      <c r="AC16" s="12">
        <f>'中国汇率&amp;期货（ln）'!AC16-'中国汇率&amp;期货（ln）'!AC35</f>
      </c>
      <c r="AD16" s="12">
        <f>'中国汇率&amp;期货（ln）'!AD16-'中国汇率&amp;期货（ln）'!AD35</f>
      </c>
      <c r="AE16" s="12">
        <f>'中国汇率&amp;期货（ln）'!AE16-'中国汇率&amp;期货（ln）'!AE35</f>
      </c>
      <c r="AF16" s="12">
        <f>'中国汇率&amp;期货（ln）'!AF16-'中国汇率&amp;期货（ln）'!AF35</f>
      </c>
      <c r="AG16" s="12">
        <f>'中国汇率&amp;期货（ln）'!AG16-'中国汇率&amp;期货（ln）'!AG35</f>
      </c>
      <c r="AH16" s="12">
        <f>'中国汇率&amp;期货（ln）'!AH16-'中国汇率&amp;期货（ln）'!AH35</f>
      </c>
      <c r="AI16" s="12">
        <f>'中国汇率&amp;期货（ln）'!AI16-'中国汇率&amp;期货（ln）'!AI35</f>
      </c>
      <c r="AJ16" s="12">
        <f>'中国汇率&amp;期货（ln）'!AJ16-'中国汇率&amp;期货（ln）'!AJ35</f>
      </c>
      <c r="AK16" s="12">
        <f>'中国汇率&amp;期货（ln）'!AK16-'中国汇率&amp;期货（ln）'!AK35</f>
      </c>
      <c r="AL16" s="12">
        <f>'中国汇率&amp;期货（ln）'!AL16-'中国汇率&amp;期货（ln）'!AL35</f>
      </c>
      <c r="AM16" s="12">
        <f>'中国汇率&amp;期货（ln）'!AM16-'中国汇率&amp;期货（ln）'!AM35</f>
      </c>
      <c r="AN16" s="12">
        <f>'中国汇率&amp;期货（ln）'!AN16-'中国汇率&amp;期货（ln）'!AN35</f>
      </c>
      <c r="AO16" s="12">
        <f>'中国汇率&amp;期货（ln）'!AO16-'中国汇率&amp;期货（ln）'!AO35</f>
      </c>
      <c r="AP16" s="12">
        <f>'中国汇率&amp;期货（ln）'!AP16-'中国汇率&amp;期货（ln）'!AP35</f>
      </c>
      <c r="AQ16" s="12">
        <f>'中国汇率&amp;期货（ln）'!AQ16-'中国汇率&amp;期货（ln）'!AQ35</f>
      </c>
      <c r="AR16" s="12">
        <f>'中国汇率&amp;期货（ln）'!AR16-'中国汇率&amp;期货（ln）'!AR35</f>
      </c>
      <c r="AS16" s="12">
        <f>'中国汇率&amp;期货（ln）'!AS16-'中国汇率&amp;期货（ln）'!AS35</f>
      </c>
      <c r="AT16" s="12">
        <f>'中国汇率&amp;期货（ln）'!AT16-'中国汇率&amp;期货（ln）'!AT35</f>
      </c>
      <c r="AU16" s="12">
        <f>'中国汇率&amp;期货（ln）'!AU16-'中国汇率&amp;期货（ln）'!AU35</f>
      </c>
      <c r="AV16" s="12">
        <f>'中国汇率&amp;期货（ln）'!AV16-'中国汇率&amp;期货（ln）'!AV35</f>
      </c>
      <c r="AW16" s="12">
        <f>'中国汇率&amp;期货（ln）'!AW16-'中国汇率&amp;期货（ln）'!AW35</f>
      </c>
      <c r="AX16" s="12">
        <f>'中国汇率&amp;期货（ln）'!AX16-'中国汇率&amp;期货（ln）'!AX35</f>
      </c>
      <c r="AY16" s="12">
        <f>'中国汇率&amp;期货（ln）'!AY16-'中国汇率&amp;期货（ln）'!AY35</f>
      </c>
      <c r="AZ16" s="12">
        <f>'中国汇率&amp;期货（ln）'!AZ16-'中国汇率&amp;期货（ln）'!AZ35</f>
      </c>
      <c r="BA16" s="12">
        <f>'中国汇率&amp;期货（ln）'!BA16-'中国汇率&amp;期货（ln）'!BA35</f>
      </c>
      <c r="BB16" s="12">
        <f>'中国汇率&amp;期货（ln）'!BB16-'中国汇率&amp;期货（ln）'!BB35</f>
      </c>
      <c r="BC16" s="12">
        <f>'中国汇率&amp;期货（ln）'!BC16-'中国汇率&amp;期货（ln）'!BC35</f>
      </c>
      <c r="BD16" s="12">
        <f>'中国汇率&amp;期货（ln）'!BD16-'中国汇率&amp;期货（ln）'!BD35</f>
      </c>
      <c r="BE16" s="12">
        <f>'中国汇率&amp;期货（ln）'!BE16-'中国汇率&amp;期货（ln）'!BE35</f>
      </c>
    </row>
    <row x14ac:dyDescent="0.25" r="17" customHeight="1" ht="18.75">
      <c r="A17" s="1"/>
      <c r="B17" s="12">
        <f>'中国汇率&amp;期货（ln）'!B17-'中国汇率&amp;期货（ln）'!B36</f>
      </c>
      <c r="C17" s="12">
        <f>'中国汇率&amp;期货（ln）'!C17-'中国汇率&amp;期货（ln）'!C36</f>
      </c>
      <c r="D17" s="12">
        <f>'中国汇率&amp;期货（ln）'!D17-'中国汇率&amp;期货（ln）'!D36</f>
      </c>
      <c r="E17" s="12">
        <f>'中国汇率&amp;期货（ln）'!E17-'中国汇率&amp;期货（ln）'!E36</f>
      </c>
      <c r="F17" s="12">
        <f>'中国汇率&amp;期货（ln）'!F17-'中国汇率&amp;期货（ln）'!F36</f>
      </c>
      <c r="G17" s="12">
        <f>'中国汇率&amp;期货（ln）'!G17-'中国汇率&amp;期货（ln）'!G36</f>
      </c>
      <c r="H17" s="12">
        <f>'中国汇率&amp;期货（ln）'!H17-'中国汇率&amp;期货（ln）'!H36</f>
      </c>
      <c r="I17" s="12">
        <f>'中国汇率&amp;期货（ln）'!I17-'中国汇率&amp;期货（ln）'!I36</f>
      </c>
      <c r="J17" s="12">
        <f>'中国汇率&amp;期货（ln）'!J17-'中国汇率&amp;期货（ln）'!J36</f>
      </c>
      <c r="K17" s="12">
        <f>'中国汇率&amp;期货（ln）'!K17-'中国汇率&amp;期货（ln）'!K36</f>
      </c>
      <c r="L17" s="12">
        <f>'中国汇率&amp;期货（ln）'!L17-'中国汇率&amp;期货（ln）'!L36</f>
      </c>
      <c r="M17" s="12">
        <f>'中国汇率&amp;期货（ln）'!M17-'中国汇率&amp;期货（ln）'!M36</f>
      </c>
      <c r="N17" s="12">
        <f>'中国汇率&amp;期货（ln）'!N17-'中国汇率&amp;期货（ln）'!N36</f>
      </c>
      <c r="O17" s="12">
        <f>'中国汇率&amp;期货（ln）'!O17-'中国汇率&amp;期货（ln）'!O36</f>
      </c>
      <c r="P17" s="12">
        <f>'中国汇率&amp;期货（ln）'!P17-'中国汇率&amp;期货（ln）'!P36</f>
      </c>
      <c r="Q17" s="12">
        <f>'中国汇率&amp;期货（ln）'!Q17-'中国汇率&amp;期货（ln）'!Q36</f>
      </c>
      <c r="R17" s="12">
        <f>'中国汇率&amp;期货（ln）'!R17-'中国汇率&amp;期货（ln）'!R36</f>
      </c>
      <c r="S17" s="12">
        <f>'中国汇率&amp;期货（ln）'!S17-'中国汇率&amp;期货（ln）'!S36</f>
      </c>
      <c r="T17" s="12">
        <f>'中国汇率&amp;期货（ln）'!T17-'中国汇率&amp;期货（ln）'!T36</f>
      </c>
      <c r="U17" s="12">
        <f>'中国汇率&amp;期货（ln）'!U17-'中国汇率&amp;期货（ln）'!U36</f>
      </c>
      <c r="V17" s="12">
        <f>'中国汇率&amp;期货（ln）'!V17-'中国汇率&amp;期货（ln）'!V36</f>
      </c>
      <c r="W17" s="12">
        <f>'中国汇率&amp;期货（ln）'!W17-'中国汇率&amp;期货（ln）'!W36</f>
      </c>
      <c r="X17" s="12">
        <f>'中国汇率&amp;期货（ln）'!X17-'中国汇率&amp;期货（ln）'!X36</f>
      </c>
      <c r="Y17" s="12">
        <f>'中国汇率&amp;期货（ln）'!Y17-'中国汇率&amp;期货（ln）'!Y36</f>
      </c>
      <c r="Z17" s="12">
        <f>'中国汇率&amp;期货（ln）'!Z17-'中国汇率&amp;期货（ln）'!Z36</f>
      </c>
      <c r="AA17" s="12">
        <f>'中国汇率&amp;期货（ln）'!AA17-'中国汇率&amp;期货（ln）'!AA36</f>
      </c>
      <c r="AB17" s="12">
        <f>'中国汇率&amp;期货（ln）'!AB17-'中国汇率&amp;期货（ln）'!AB36</f>
      </c>
      <c r="AC17" s="12">
        <f>'中国汇率&amp;期货（ln）'!AC17-'中国汇率&amp;期货（ln）'!AC36</f>
      </c>
      <c r="AD17" s="12">
        <f>'中国汇率&amp;期货（ln）'!AD17-'中国汇率&amp;期货（ln）'!AD36</f>
      </c>
      <c r="AE17" s="12">
        <f>'中国汇率&amp;期货（ln）'!AE17-'中国汇率&amp;期货（ln）'!AE36</f>
      </c>
      <c r="AF17" s="12">
        <f>'中国汇率&amp;期货（ln）'!AF17-'中国汇率&amp;期货（ln）'!AF36</f>
      </c>
      <c r="AG17" s="12">
        <f>'中国汇率&amp;期货（ln）'!AG17-'中国汇率&amp;期货（ln）'!AG36</f>
      </c>
      <c r="AH17" s="12">
        <f>'中国汇率&amp;期货（ln）'!AH17-'中国汇率&amp;期货（ln）'!AH36</f>
      </c>
      <c r="AI17" s="12">
        <f>'中国汇率&amp;期货（ln）'!AI17-'中国汇率&amp;期货（ln）'!AI36</f>
      </c>
      <c r="AJ17" s="12">
        <f>'中国汇率&amp;期货（ln）'!AJ17-'中国汇率&amp;期货（ln）'!AJ36</f>
      </c>
      <c r="AK17" s="12">
        <f>'中国汇率&amp;期货（ln）'!AK17-'中国汇率&amp;期货（ln）'!AK36</f>
      </c>
      <c r="AL17" s="12">
        <f>'中国汇率&amp;期货（ln）'!AL17-'中国汇率&amp;期货（ln）'!AL36</f>
      </c>
      <c r="AM17" s="12">
        <f>'中国汇率&amp;期货（ln）'!AM17-'中国汇率&amp;期货（ln）'!AM36</f>
      </c>
      <c r="AN17" s="12">
        <f>'中国汇率&amp;期货（ln）'!AN17-'中国汇率&amp;期货（ln）'!AN36</f>
      </c>
      <c r="AO17" s="12">
        <f>'中国汇率&amp;期货（ln）'!AO17-'中国汇率&amp;期货（ln）'!AO36</f>
      </c>
      <c r="AP17" s="12">
        <f>'中国汇率&amp;期货（ln）'!AP17-'中国汇率&amp;期货（ln）'!AP36</f>
      </c>
      <c r="AQ17" s="12">
        <f>'中国汇率&amp;期货（ln）'!AQ17-'中国汇率&amp;期货（ln）'!AQ36</f>
      </c>
      <c r="AR17" s="12">
        <f>'中国汇率&amp;期货（ln）'!AR17-'中国汇率&amp;期货（ln）'!AR36</f>
      </c>
      <c r="AS17" s="12">
        <f>'中国汇率&amp;期货（ln）'!AS17-'中国汇率&amp;期货（ln）'!AS36</f>
      </c>
      <c r="AT17" s="12">
        <f>'中国汇率&amp;期货（ln）'!AT17-'中国汇率&amp;期货（ln）'!AT36</f>
      </c>
      <c r="AU17" s="12">
        <f>'中国汇率&amp;期货（ln）'!AU17-'中国汇率&amp;期货（ln）'!AU36</f>
      </c>
      <c r="AV17" s="12">
        <f>'中国汇率&amp;期货（ln）'!AV17-'中国汇率&amp;期货（ln）'!AV36</f>
      </c>
      <c r="AW17" s="12">
        <f>'中国汇率&amp;期货（ln）'!AW17-'中国汇率&amp;期货（ln）'!AW36</f>
      </c>
      <c r="AX17" s="12">
        <f>'中国汇率&amp;期货（ln）'!AX17-'中国汇率&amp;期货（ln）'!AX36</f>
      </c>
      <c r="AY17" s="12">
        <f>'中国汇率&amp;期货（ln）'!AY17-'中国汇率&amp;期货（ln）'!AY36</f>
      </c>
      <c r="AZ17" s="12">
        <f>'中国汇率&amp;期货（ln）'!AZ17-'中国汇率&amp;期货（ln）'!AZ36</f>
      </c>
      <c r="BA17" s="12">
        <f>'中国汇率&amp;期货（ln）'!BA17-'中国汇率&amp;期货（ln）'!BA36</f>
      </c>
      <c r="BB17" s="12">
        <f>'中国汇率&amp;期货（ln）'!BB17-'中国汇率&amp;期货（ln）'!BB36</f>
      </c>
      <c r="BC17" s="12">
        <f>'中国汇率&amp;期货（ln）'!BC17-'中国汇率&amp;期货（ln）'!BC36</f>
      </c>
      <c r="BD17" s="12">
        <f>'中国汇率&amp;期货（ln）'!BD17-'中国汇率&amp;期货（ln）'!BD36</f>
      </c>
      <c r="BE17" s="12">
        <f>'中国汇率&amp;期货（ln）'!BE17-'中国汇率&amp;期货（ln）'!BE36</f>
      </c>
    </row>
    <row x14ac:dyDescent="0.25" r="18" customHeight="1" ht="18.75">
      <c r="A18" s="1"/>
      <c r="B18" s="12">
        <f>'中国汇率&amp;期货（ln）'!B18-'中国汇率&amp;期货（ln）'!B37</f>
      </c>
      <c r="C18" s="12">
        <f>'中国汇率&amp;期货（ln）'!C18-'中国汇率&amp;期货（ln）'!C37</f>
      </c>
      <c r="D18" s="12">
        <f>'中国汇率&amp;期货（ln）'!D18-'中国汇率&amp;期货（ln）'!D37</f>
      </c>
      <c r="E18" s="12">
        <f>'中国汇率&amp;期货（ln）'!E18-'中国汇率&amp;期货（ln）'!E37</f>
      </c>
      <c r="F18" s="12">
        <f>'中国汇率&amp;期货（ln）'!F18-'中国汇率&amp;期货（ln）'!F37</f>
      </c>
      <c r="G18" s="12">
        <f>'中国汇率&amp;期货（ln）'!G18-'中国汇率&amp;期货（ln）'!G37</f>
      </c>
      <c r="H18" s="12">
        <f>'中国汇率&amp;期货（ln）'!H18-'中国汇率&amp;期货（ln）'!H37</f>
      </c>
      <c r="I18" s="12">
        <f>'中国汇率&amp;期货（ln）'!I18-'中国汇率&amp;期货（ln）'!I37</f>
      </c>
      <c r="J18" s="12">
        <f>'中国汇率&amp;期货（ln）'!J18-'中国汇率&amp;期货（ln）'!J37</f>
      </c>
      <c r="K18" s="12">
        <f>'中国汇率&amp;期货（ln）'!K18-'中国汇率&amp;期货（ln）'!K37</f>
      </c>
      <c r="L18" s="12">
        <f>'中国汇率&amp;期货（ln）'!L18-'中国汇率&amp;期货（ln）'!L37</f>
      </c>
      <c r="M18" s="12">
        <f>'中国汇率&amp;期货（ln）'!M18-'中国汇率&amp;期货（ln）'!M37</f>
      </c>
      <c r="N18" s="12">
        <f>'中国汇率&amp;期货（ln）'!N18-'中国汇率&amp;期货（ln）'!N37</f>
      </c>
      <c r="O18" s="12">
        <f>'中国汇率&amp;期货（ln）'!O18-'中国汇率&amp;期货（ln）'!O37</f>
      </c>
      <c r="P18" s="12">
        <f>'中国汇率&amp;期货（ln）'!P18-'中国汇率&amp;期货（ln）'!P37</f>
      </c>
      <c r="Q18" s="12">
        <f>'中国汇率&amp;期货（ln）'!Q18-'中国汇率&amp;期货（ln）'!Q37</f>
      </c>
      <c r="R18" s="12">
        <f>'中国汇率&amp;期货（ln）'!R18-'中国汇率&amp;期货（ln）'!R37</f>
      </c>
      <c r="S18" s="12">
        <f>'中国汇率&amp;期货（ln）'!S18-'中国汇率&amp;期货（ln）'!S37</f>
      </c>
      <c r="T18" s="12">
        <f>'中国汇率&amp;期货（ln）'!T18-'中国汇率&amp;期货（ln）'!T37</f>
      </c>
      <c r="U18" s="12">
        <f>'中国汇率&amp;期货（ln）'!U18-'中国汇率&amp;期货（ln）'!U37</f>
      </c>
      <c r="V18" s="12">
        <f>'中国汇率&amp;期货（ln）'!V18-'中国汇率&amp;期货（ln）'!V37</f>
      </c>
      <c r="W18" s="12">
        <f>'中国汇率&amp;期货（ln）'!W18-'中国汇率&amp;期货（ln）'!W37</f>
      </c>
      <c r="X18" s="12">
        <f>'中国汇率&amp;期货（ln）'!X18-'中国汇率&amp;期货（ln）'!X37</f>
      </c>
      <c r="Y18" s="12">
        <f>'中国汇率&amp;期货（ln）'!Y18-'中国汇率&amp;期货（ln）'!Y37</f>
      </c>
      <c r="Z18" s="12">
        <f>'中国汇率&amp;期货（ln）'!Z18-'中国汇率&amp;期货（ln）'!Z37</f>
      </c>
      <c r="AA18" s="12">
        <f>'中国汇率&amp;期货（ln）'!AA18-'中国汇率&amp;期货（ln）'!AA37</f>
      </c>
      <c r="AB18" s="12">
        <f>'中国汇率&amp;期货（ln）'!AB18-'中国汇率&amp;期货（ln）'!AB37</f>
      </c>
      <c r="AC18" s="12">
        <f>'中国汇率&amp;期货（ln）'!AC18-'中国汇率&amp;期货（ln）'!AC37</f>
      </c>
      <c r="AD18" s="12">
        <f>'中国汇率&amp;期货（ln）'!AD18-'中国汇率&amp;期货（ln）'!AD37</f>
      </c>
      <c r="AE18" s="12">
        <f>'中国汇率&amp;期货（ln）'!AE18-'中国汇率&amp;期货（ln）'!AE37</f>
      </c>
      <c r="AF18" s="12">
        <f>'中国汇率&amp;期货（ln）'!AF18-'中国汇率&amp;期货（ln）'!AF37</f>
      </c>
      <c r="AG18" s="12">
        <f>'中国汇率&amp;期货（ln）'!AG18-'中国汇率&amp;期货（ln）'!AG37</f>
      </c>
      <c r="AH18" s="12">
        <f>'中国汇率&amp;期货（ln）'!AH18-'中国汇率&amp;期货（ln）'!AH37</f>
      </c>
      <c r="AI18" s="12">
        <f>'中国汇率&amp;期货（ln）'!AI18-'中国汇率&amp;期货（ln）'!AI37</f>
      </c>
      <c r="AJ18" s="12">
        <f>'中国汇率&amp;期货（ln）'!AJ18-'中国汇率&amp;期货（ln）'!AJ37</f>
      </c>
      <c r="AK18" s="12">
        <f>'中国汇率&amp;期货（ln）'!AK18-'中国汇率&amp;期货（ln）'!AK37</f>
      </c>
      <c r="AL18" s="12">
        <f>'中国汇率&amp;期货（ln）'!AL18-'中国汇率&amp;期货（ln）'!AL37</f>
      </c>
      <c r="AM18" s="12">
        <f>'中国汇率&amp;期货（ln）'!AM18-'中国汇率&amp;期货（ln）'!AM37</f>
      </c>
      <c r="AN18" s="12">
        <f>'中国汇率&amp;期货（ln）'!AN18-'中国汇率&amp;期货（ln）'!AN37</f>
      </c>
      <c r="AO18" s="12">
        <f>'中国汇率&amp;期货（ln）'!AO18-'中国汇率&amp;期货（ln）'!AO37</f>
      </c>
      <c r="AP18" s="12">
        <f>'中国汇率&amp;期货（ln）'!AP18-'中国汇率&amp;期货（ln）'!AP37</f>
      </c>
      <c r="AQ18" s="12">
        <f>'中国汇率&amp;期货（ln）'!AQ18-'中国汇率&amp;期货（ln）'!AQ37</f>
      </c>
      <c r="AR18" s="12">
        <f>'中国汇率&amp;期货（ln）'!AR18-'中国汇率&amp;期货（ln）'!AR37</f>
      </c>
      <c r="AS18" s="12">
        <f>'中国汇率&amp;期货（ln）'!AS18-'中国汇率&amp;期货（ln）'!AS37</f>
      </c>
      <c r="AT18" s="12">
        <f>'中国汇率&amp;期货（ln）'!AT18-'中国汇率&amp;期货（ln）'!AT37</f>
      </c>
      <c r="AU18" s="12">
        <f>'中国汇率&amp;期货（ln）'!AU18-'中国汇率&amp;期货（ln）'!AU37</f>
      </c>
      <c r="AV18" s="12">
        <f>'中国汇率&amp;期货（ln）'!AV18-'中国汇率&amp;期货（ln）'!AV37</f>
      </c>
      <c r="AW18" s="12">
        <f>'中国汇率&amp;期货（ln）'!AW18-'中国汇率&amp;期货（ln）'!AW37</f>
      </c>
      <c r="AX18" s="12">
        <f>'中国汇率&amp;期货（ln）'!AX18-'中国汇率&amp;期货（ln）'!AX37</f>
      </c>
      <c r="AY18" s="12">
        <f>'中国汇率&amp;期货（ln）'!AY18-'中国汇率&amp;期货（ln）'!AY37</f>
      </c>
      <c r="AZ18" s="12">
        <f>'中国汇率&amp;期货（ln）'!AZ18-'中国汇率&amp;期货（ln）'!AZ37</f>
      </c>
      <c r="BA18" s="12">
        <f>'中国汇率&amp;期货（ln）'!BA18-'中国汇率&amp;期货（ln）'!BA37</f>
      </c>
      <c r="BB18" s="12">
        <f>'中国汇率&amp;期货（ln）'!BB18-'中国汇率&amp;期货（ln）'!BB37</f>
      </c>
      <c r="BC18" s="12">
        <f>'中国汇率&amp;期货（ln）'!BC18-'中国汇率&amp;期货（ln）'!BC37</f>
      </c>
      <c r="BD18" s="12">
        <f>'中国汇率&amp;期货（ln）'!BD18-'中国汇率&amp;期货（ln）'!BD37</f>
      </c>
      <c r="BE18" s="12">
        <f>'中国汇率&amp;期货（ln）'!BE18-'中国汇率&amp;期货（ln）'!BE37</f>
      </c>
    </row>
    <row x14ac:dyDescent="0.25" r="19" customHeight="1" ht="18.75">
      <c r="A19" s="1"/>
      <c r="B19" s="12">
        <f>'中国汇率&amp;期货（ln）'!B19-'中国汇率&amp;期货（ln）'!B38</f>
      </c>
      <c r="C19" s="12">
        <f>'中国汇率&amp;期货（ln）'!C19-'中国汇率&amp;期货（ln）'!C38</f>
      </c>
      <c r="D19" s="12">
        <f>'中国汇率&amp;期货（ln）'!D19-'中国汇率&amp;期货（ln）'!D38</f>
      </c>
      <c r="E19" s="12">
        <f>'中国汇率&amp;期货（ln）'!E19-'中国汇率&amp;期货（ln）'!E38</f>
      </c>
      <c r="F19" s="12">
        <f>'中国汇率&amp;期货（ln）'!F19-'中国汇率&amp;期货（ln）'!F38</f>
      </c>
      <c r="G19" s="12">
        <f>'中国汇率&amp;期货（ln）'!G19-'中国汇率&amp;期货（ln）'!G38</f>
      </c>
      <c r="H19" s="12">
        <f>'中国汇率&amp;期货（ln）'!H19-'中国汇率&amp;期货（ln）'!H38</f>
      </c>
      <c r="I19" s="12">
        <f>'中国汇率&amp;期货（ln）'!I19-'中国汇率&amp;期货（ln）'!I38</f>
      </c>
      <c r="J19" s="12">
        <f>'中国汇率&amp;期货（ln）'!J19-'中国汇率&amp;期货（ln）'!J38</f>
      </c>
      <c r="K19" s="12">
        <f>'中国汇率&amp;期货（ln）'!K19-'中国汇率&amp;期货（ln）'!K38</f>
      </c>
      <c r="L19" s="12">
        <f>'中国汇率&amp;期货（ln）'!L19-'中国汇率&amp;期货（ln）'!L38</f>
      </c>
      <c r="M19" s="12">
        <f>'中国汇率&amp;期货（ln）'!M19-'中国汇率&amp;期货（ln）'!M38</f>
      </c>
      <c r="N19" s="12">
        <f>'中国汇率&amp;期货（ln）'!N19-'中国汇率&amp;期货（ln）'!N38</f>
      </c>
      <c r="O19" s="12">
        <f>'中国汇率&amp;期货（ln）'!O19-'中国汇率&amp;期货（ln）'!O38</f>
      </c>
      <c r="P19" s="12">
        <f>'中国汇率&amp;期货（ln）'!P19-'中国汇率&amp;期货（ln）'!P38</f>
      </c>
      <c r="Q19" s="12">
        <f>'中国汇率&amp;期货（ln）'!Q19-'中国汇率&amp;期货（ln）'!Q38</f>
      </c>
      <c r="R19" s="12">
        <f>'中国汇率&amp;期货（ln）'!R19-'中国汇率&amp;期货（ln）'!R38</f>
      </c>
      <c r="S19" s="12">
        <f>'中国汇率&amp;期货（ln）'!S19-'中国汇率&amp;期货（ln）'!S38</f>
      </c>
      <c r="T19" s="12">
        <f>'中国汇率&amp;期货（ln）'!T19-'中国汇率&amp;期货（ln）'!T38</f>
      </c>
      <c r="U19" s="12">
        <f>'中国汇率&amp;期货（ln）'!U19-'中国汇率&amp;期货（ln）'!U38</f>
      </c>
      <c r="V19" s="12">
        <f>'中国汇率&amp;期货（ln）'!V19-'中国汇率&amp;期货（ln）'!V38</f>
      </c>
      <c r="W19" s="12">
        <f>'中国汇率&amp;期货（ln）'!W19-'中国汇率&amp;期货（ln）'!W38</f>
      </c>
      <c r="X19" s="12">
        <f>'中国汇率&amp;期货（ln）'!X19-'中国汇率&amp;期货（ln）'!X38</f>
      </c>
      <c r="Y19" s="12">
        <f>'中国汇率&amp;期货（ln）'!Y19-'中国汇率&amp;期货（ln）'!Y38</f>
      </c>
      <c r="Z19" s="12">
        <f>'中国汇率&amp;期货（ln）'!Z19-'中国汇率&amp;期货（ln）'!Z38</f>
      </c>
      <c r="AA19" s="12">
        <f>'中国汇率&amp;期货（ln）'!AA19-'中国汇率&amp;期货（ln）'!AA38</f>
      </c>
      <c r="AB19" s="12">
        <f>'中国汇率&amp;期货（ln）'!AB19-'中国汇率&amp;期货（ln）'!AB38</f>
      </c>
      <c r="AC19" s="12">
        <f>'中国汇率&amp;期货（ln）'!AC19-'中国汇率&amp;期货（ln）'!AC38</f>
      </c>
      <c r="AD19" s="12">
        <f>'中国汇率&amp;期货（ln）'!AD19-'中国汇率&amp;期货（ln）'!AD38</f>
      </c>
      <c r="AE19" s="12">
        <f>'中国汇率&amp;期货（ln）'!AE19-'中国汇率&amp;期货（ln）'!AE38</f>
      </c>
      <c r="AF19" s="12">
        <f>'中国汇率&amp;期货（ln）'!AF19-'中国汇率&amp;期货（ln）'!AF38</f>
      </c>
      <c r="AG19" s="12">
        <f>'中国汇率&amp;期货（ln）'!AG19-'中国汇率&amp;期货（ln）'!AG38</f>
      </c>
      <c r="AH19" s="12">
        <f>'中国汇率&amp;期货（ln）'!AH19-'中国汇率&amp;期货（ln）'!AH38</f>
      </c>
      <c r="AI19" s="12">
        <f>'中国汇率&amp;期货（ln）'!AI19-'中国汇率&amp;期货（ln）'!AI38</f>
      </c>
      <c r="AJ19" s="12">
        <f>'中国汇率&amp;期货（ln）'!AJ19-'中国汇率&amp;期货（ln）'!AJ38</f>
      </c>
      <c r="AK19" s="12">
        <f>'中国汇率&amp;期货（ln）'!AK19-'中国汇率&amp;期货（ln）'!AK38</f>
      </c>
      <c r="AL19" s="12">
        <f>'中国汇率&amp;期货（ln）'!AL19-'中国汇率&amp;期货（ln）'!AL38</f>
      </c>
      <c r="AM19" s="12">
        <f>'中国汇率&amp;期货（ln）'!AM19-'中国汇率&amp;期货（ln）'!AM38</f>
      </c>
      <c r="AN19" s="12">
        <f>'中国汇率&amp;期货（ln）'!AN19-'中国汇率&amp;期货（ln）'!AN38</f>
      </c>
      <c r="AO19" s="12">
        <f>'中国汇率&amp;期货（ln）'!AO19-'中国汇率&amp;期货（ln）'!AO38</f>
      </c>
      <c r="AP19" s="12">
        <f>'中国汇率&amp;期货（ln）'!AP19-'中国汇率&amp;期货（ln）'!AP38</f>
      </c>
      <c r="AQ19" s="12">
        <f>'中国汇率&amp;期货（ln）'!AQ19-'中国汇率&amp;期货（ln）'!AQ38</f>
      </c>
      <c r="AR19" s="12">
        <f>'中国汇率&amp;期货（ln）'!AR19-'中国汇率&amp;期货（ln）'!AR38</f>
      </c>
      <c r="AS19" s="12">
        <f>'中国汇率&amp;期货（ln）'!AS19-'中国汇率&amp;期货（ln）'!AS38</f>
      </c>
      <c r="AT19" s="12">
        <f>'中国汇率&amp;期货（ln）'!AT19-'中国汇率&amp;期货（ln）'!AT38</f>
      </c>
      <c r="AU19" s="12">
        <f>'中国汇率&amp;期货（ln）'!AU19-'中国汇率&amp;期货（ln）'!AU38</f>
      </c>
      <c r="AV19" s="12">
        <f>'中国汇率&amp;期货（ln）'!AV19-'中国汇率&amp;期货（ln）'!AV38</f>
      </c>
      <c r="AW19" s="12">
        <f>'中国汇率&amp;期货（ln）'!AW19-'中国汇率&amp;期货（ln）'!AW38</f>
      </c>
      <c r="AX19" s="12">
        <f>'中国汇率&amp;期货（ln）'!AX19-'中国汇率&amp;期货（ln）'!AX38</f>
      </c>
      <c r="AY19" s="12">
        <f>'中国汇率&amp;期货（ln）'!AY19-'中国汇率&amp;期货（ln）'!AY38</f>
      </c>
      <c r="AZ19" s="12">
        <f>'中国汇率&amp;期货（ln）'!AZ19-'中国汇率&amp;期货（ln）'!AZ38</f>
      </c>
      <c r="BA19" s="12">
        <f>'中国汇率&amp;期货（ln）'!BA19-'中国汇率&amp;期货（ln）'!BA38</f>
      </c>
      <c r="BB19" s="12">
        <f>'中国汇率&amp;期货（ln）'!BB19-'中国汇率&amp;期货（ln）'!BB38</f>
      </c>
      <c r="BC19" s="12">
        <f>'中国汇率&amp;期货（ln）'!BC19-'中国汇率&amp;期货（ln）'!BC38</f>
      </c>
      <c r="BD19" s="12">
        <f>'中国汇率&amp;期货（ln）'!BD19-'中国汇率&amp;期货（ln）'!BD38</f>
      </c>
      <c r="BE19" s="12">
        <f>'中国汇率&amp;期货（ln）'!BE19-'中国汇率&amp;期货（ln）'!BE38</f>
      </c>
    </row>
    <row x14ac:dyDescent="0.25" r="20" customHeight="1" ht="18.75">
      <c r="A20" s="1"/>
      <c r="B20" s="12">
        <f>'中国汇率&amp;期货（ln）'!B20-'中国汇率&amp;期货（ln）'!B39</f>
      </c>
      <c r="C20" s="12">
        <f>'中国汇率&amp;期货（ln）'!C20-'中国汇率&amp;期货（ln）'!C39</f>
      </c>
      <c r="D20" s="12">
        <f>'中国汇率&amp;期货（ln）'!D20-'中国汇率&amp;期货（ln）'!D39</f>
      </c>
      <c r="E20" s="12">
        <f>'中国汇率&amp;期货（ln）'!E20-'中国汇率&amp;期货（ln）'!E39</f>
      </c>
      <c r="F20" s="12">
        <f>'中国汇率&amp;期货（ln）'!F20-'中国汇率&amp;期货（ln）'!F39</f>
      </c>
      <c r="G20" s="12">
        <f>'中国汇率&amp;期货（ln）'!G20-'中国汇率&amp;期货（ln）'!G39</f>
      </c>
      <c r="H20" s="12">
        <f>'中国汇率&amp;期货（ln）'!H20-'中国汇率&amp;期货（ln）'!H39</f>
      </c>
      <c r="I20" s="12">
        <f>'中国汇率&amp;期货（ln）'!I20-'中国汇率&amp;期货（ln）'!I39</f>
      </c>
      <c r="J20" s="12">
        <f>'中国汇率&amp;期货（ln）'!J20-'中国汇率&amp;期货（ln）'!J39</f>
      </c>
      <c r="K20" s="12">
        <f>'中国汇率&amp;期货（ln）'!K20-'中国汇率&amp;期货（ln）'!K39</f>
      </c>
      <c r="L20" s="12">
        <f>'中国汇率&amp;期货（ln）'!L20-'中国汇率&amp;期货（ln）'!L39</f>
      </c>
      <c r="M20" s="12">
        <f>'中国汇率&amp;期货（ln）'!M20-'中国汇率&amp;期货（ln）'!M39</f>
      </c>
      <c r="N20" s="12">
        <f>'中国汇率&amp;期货（ln）'!N20-'中国汇率&amp;期货（ln）'!N39</f>
      </c>
      <c r="O20" s="12">
        <f>'中国汇率&amp;期货（ln）'!O20-'中国汇率&amp;期货（ln）'!O39</f>
      </c>
      <c r="P20" s="12">
        <f>'中国汇率&amp;期货（ln）'!P20-'中国汇率&amp;期货（ln）'!P39</f>
      </c>
      <c r="Q20" s="12">
        <f>'中国汇率&amp;期货（ln）'!Q20-'中国汇率&amp;期货（ln）'!Q39</f>
      </c>
      <c r="R20" s="12">
        <f>'中国汇率&amp;期货（ln）'!R20-'中国汇率&amp;期货（ln）'!R39</f>
      </c>
      <c r="S20" s="12">
        <f>'中国汇率&amp;期货（ln）'!S20-'中国汇率&amp;期货（ln）'!S39</f>
      </c>
      <c r="T20" s="12">
        <f>'中国汇率&amp;期货（ln）'!T20-'中国汇率&amp;期货（ln）'!T39</f>
      </c>
      <c r="U20" s="12">
        <f>'中国汇率&amp;期货（ln）'!U20-'中国汇率&amp;期货（ln）'!U39</f>
      </c>
      <c r="V20" s="12">
        <f>'中国汇率&amp;期货（ln）'!V20-'中国汇率&amp;期货（ln）'!V39</f>
      </c>
      <c r="W20" s="12">
        <f>'中国汇率&amp;期货（ln）'!W20-'中国汇率&amp;期货（ln）'!W39</f>
      </c>
      <c r="X20" s="12">
        <f>'中国汇率&amp;期货（ln）'!X20-'中国汇率&amp;期货（ln）'!X39</f>
      </c>
      <c r="Y20" s="12">
        <f>'中国汇率&amp;期货（ln）'!Y20-'中国汇率&amp;期货（ln）'!Y39</f>
      </c>
      <c r="Z20" s="12">
        <f>'中国汇率&amp;期货（ln）'!Z20-'中国汇率&amp;期货（ln）'!Z39</f>
      </c>
      <c r="AA20" s="12">
        <f>'中国汇率&amp;期货（ln）'!AA20-'中国汇率&amp;期货（ln）'!AA39</f>
      </c>
      <c r="AB20" s="12">
        <f>'中国汇率&amp;期货（ln）'!AB20-'中国汇率&amp;期货（ln）'!AB39</f>
      </c>
      <c r="AC20" s="12">
        <f>'中国汇率&amp;期货（ln）'!AC20-'中国汇率&amp;期货（ln）'!AC39</f>
      </c>
      <c r="AD20" s="12">
        <f>'中国汇率&amp;期货（ln）'!AD20-'中国汇率&amp;期货（ln）'!AD39</f>
      </c>
      <c r="AE20" s="12">
        <f>'中国汇率&amp;期货（ln）'!AE20-'中国汇率&amp;期货（ln）'!AE39</f>
      </c>
      <c r="AF20" s="12">
        <f>'中国汇率&amp;期货（ln）'!AF20-'中国汇率&amp;期货（ln）'!AF39</f>
      </c>
      <c r="AG20" s="12">
        <f>'中国汇率&amp;期货（ln）'!AG20-'中国汇率&amp;期货（ln）'!AG39</f>
      </c>
      <c r="AH20" s="12">
        <f>'中国汇率&amp;期货（ln）'!AH20-'中国汇率&amp;期货（ln）'!AH39</f>
      </c>
      <c r="AI20" s="12">
        <f>'中国汇率&amp;期货（ln）'!AI20-'中国汇率&amp;期货（ln）'!AI39</f>
      </c>
      <c r="AJ20" s="12">
        <f>'中国汇率&amp;期货（ln）'!AJ20-'中国汇率&amp;期货（ln）'!AJ39</f>
      </c>
      <c r="AK20" s="12">
        <f>'中国汇率&amp;期货（ln）'!AK20-'中国汇率&amp;期货（ln）'!AK39</f>
      </c>
      <c r="AL20" s="12">
        <f>'中国汇率&amp;期货（ln）'!AL20-'中国汇率&amp;期货（ln）'!AL39</f>
      </c>
      <c r="AM20" s="12">
        <f>'中国汇率&amp;期货（ln）'!AM20-'中国汇率&amp;期货（ln）'!AM39</f>
      </c>
      <c r="AN20" s="12">
        <f>'中国汇率&amp;期货（ln）'!AN20-'中国汇率&amp;期货（ln）'!AN39</f>
      </c>
      <c r="AO20" s="12">
        <f>'中国汇率&amp;期货（ln）'!AO20-'中国汇率&amp;期货（ln）'!AO39</f>
      </c>
      <c r="AP20" s="12">
        <f>'中国汇率&amp;期货（ln）'!AP20-'中国汇率&amp;期货（ln）'!AP39</f>
      </c>
      <c r="AQ20" s="12">
        <f>'中国汇率&amp;期货（ln）'!AQ20-'中国汇率&amp;期货（ln）'!AQ39</f>
      </c>
      <c r="AR20" s="12">
        <f>'中国汇率&amp;期货（ln）'!AR20-'中国汇率&amp;期货（ln）'!AR39</f>
      </c>
      <c r="AS20" s="12">
        <f>'中国汇率&amp;期货（ln）'!AS20-'中国汇率&amp;期货（ln）'!AS39</f>
      </c>
      <c r="AT20" s="12">
        <f>'中国汇率&amp;期货（ln）'!AT20-'中国汇率&amp;期货（ln）'!AT39</f>
      </c>
      <c r="AU20" s="12">
        <f>'中国汇率&amp;期货（ln）'!AU20-'中国汇率&amp;期货（ln）'!AU39</f>
      </c>
      <c r="AV20" s="12">
        <f>'中国汇率&amp;期货（ln）'!AV20-'中国汇率&amp;期货（ln）'!AV39</f>
      </c>
      <c r="AW20" s="12">
        <f>'中国汇率&amp;期货（ln）'!AW20-'中国汇率&amp;期货（ln）'!AW39</f>
      </c>
      <c r="AX20" s="12">
        <f>'中国汇率&amp;期货（ln）'!AX20-'中国汇率&amp;期货（ln）'!AX39</f>
      </c>
      <c r="AY20" s="12">
        <f>'中国汇率&amp;期货（ln）'!AY20-'中国汇率&amp;期货（ln）'!AY39</f>
      </c>
      <c r="AZ20" s="12">
        <f>'中国汇率&amp;期货（ln）'!AZ20-'中国汇率&amp;期货（ln）'!AZ39</f>
      </c>
      <c r="BA20" s="12">
        <f>'中国汇率&amp;期货（ln）'!BA20-'中国汇率&amp;期货（ln）'!BA39</f>
      </c>
      <c r="BB20" s="12">
        <f>'中国汇率&amp;期货（ln）'!BB20-'中国汇率&amp;期货（ln）'!BB39</f>
      </c>
      <c r="BC20" s="12">
        <f>'中国汇率&amp;期货（ln）'!BC20-'中国汇率&amp;期货（ln）'!BC39</f>
      </c>
      <c r="BD20" s="12">
        <f>'中国汇率&amp;期货（ln）'!BD20-'中国汇率&amp;期货（ln）'!BD39</f>
      </c>
      <c r="BE20" s="12">
        <f>'中国汇率&amp;期货（ln）'!BE20-'中国汇率&amp;期货（ln）'!BE39</f>
      </c>
    </row>
    <row x14ac:dyDescent="0.25" r="21" customHeight="1" ht="18.75">
      <c r="A21" s="1"/>
      <c r="B21" s="12">
        <f>'中国汇率&amp;期货（ln）'!B21-'中国汇率&amp;期货（ln）'!B40</f>
      </c>
      <c r="C21" s="12">
        <f>'中国汇率&amp;期货（ln）'!C21-'中国汇率&amp;期货（ln）'!C40</f>
      </c>
      <c r="D21" s="12">
        <f>'中国汇率&amp;期货（ln）'!D21-'中国汇率&amp;期货（ln）'!D40</f>
      </c>
      <c r="E21" s="12">
        <f>'中国汇率&amp;期货（ln）'!E21-'中国汇率&amp;期货（ln）'!E40</f>
      </c>
      <c r="F21" s="12">
        <f>'中国汇率&amp;期货（ln）'!F21-'中国汇率&amp;期货（ln）'!F40</f>
      </c>
      <c r="G21" s="12">
        <f>'中国汇率&amp;期货（ln）'!G21-'中国汇率&amp;期货（ln）'!G40</f>
      </c>
      <c r="H21" s="12">
        <f>'中国汇率&amp;期货（ln）'!H21-'中国汇率&amp;期货（ln）'!H40</f>
      </c>
      <c r="I21" s="12">
        <f>'中国汇率&amp;期货（ln）'!I21-'中国汇率&amp;期货（ln）'!I40</f>
      </c>
      <c r="J21" s="12">
        <f>'中国汇率&amp;期货（ln）'!J21-'中国汇率&amp;期货（ln）'!J40</f>
      </c>
      <c r="K21" s="12">
        <f>'中国汇率&amp;期货（ln）'!K21-'中国汇率&amp;期货（ln）'!K40</f>
      </c>
      <c r="L21" s="12">
        <f>'中国汇率&amp;期货（ln）'!L21-'中国汇率&amp;期货（ln）'!L40</f>
      </c>
      <c r="M21" s="12">
        <f>'中国汇率&amp;期货（ln）'!M21-'中国汇率&amp;期货（ln）'!M40</f>
      </c>
      <c r="N21" s="12">
        <f>'中国汇率&amp;期货（ln）'!N21-'中国汇率&amp;期货（ln）'!N40</f>
      </c>
      <c r="O21" s="12">
        <f>'中国汇率&amp;期货（ln）'!O21-'中国汇率&amp;期货（ln）'!O40</f>
      </c>
      <c r="P21" s="12">
        <f>'中国汇率&amp;期货（ln）'!P21-'中国汇率&amp;期货（ln）'!P40</f>
      </c>
      <c r="Q21" s="12">
        <f>'中国汇率&amp;期货（ln）'!Q21-'中国汇率&amp;期货（ln）'!Q40</f>
      </c>
      <c r="R21" s="12">
        <f>'中国汇率&amp;期货（ln）'!R21-'中国汇率&amp;期货（ln）'!R40</f>
      </c>
      <c r="S21" s="12">
        <f>'中国汇率&amp;期货（ln）'!S21-'中国汇率&amp;期货（ln）'!S40</f>
      </c>
      <c r="T21" s="12">
        <f>'中国汇率&amp;期货（ln）'!T21-'中国汇率&amp;期货（ln）'!T40</f>
      </c>
      <c r="U21" s="12">
        <f>'中国汇率&amp;期货（ln）'!U21-'中国汇率&amp;期货（ln）'!U40</f>
      </c>
      <c r="V21" s="12">
        <f>'中国汇率&amp;期货（ln）'!V21-'中国汇率&amp;期货（ln）'!V40</f>
      </c>
      <c r="W21" s="12">
        <f>'中国汇率&amp;期货（ln）'!W21-'中国汇率&amp;期货（ln）'!W40</f>
      </c>
      <c r="X21" s="12">
        <f>'中国汇率&amp;期货（ln）'!X21-'中国汇率&amp;期货（ln）'!X40</f>
      </c>
      <c r="Y21" s="12">
        <f>'中国汇率&amp;期货（ln）'!Y21-'中国汇率&amp;期货（ln）'!Y40</f>
      </c>
      <c r="Z21" s="12">
        <f>'中国汇率&amp;期货（ln）'!Z21-'中国汇率&amp;期货（ln）'!Z40</f>
      </c>
      <c r="AA21" s="12">
        <f>'中国汇率&amp;期货（ln）'!AA21-'中国汇率&amp;期货（ln）'!AA40</f>
      </c>
      <c r="AB21" s="12">
        <f>'中国汇率&amp;期货（ln）'!AB21-'中国汇率&amp;期货（ln）'!AB40</f>
      </c>
      <c r="AC21" s="12">
        <f>'中国汇率&amp;期货（ln）'!AC21-'中国汇率&amp;期货（ln）'!AC40</f>
      </c>
      <c r="AD21" s="12">
        <f>'中国汇率&amp;期货（ln）'!AD21-'中国汇率&amp;期货（ln）'!AD40</f>
      </c>
      <c r="AE21" s="12">
        <f>'中国汇率&amp;期货（ln）'!AE21-'中国汇率&amp;期货（ln）'!AE40</f>
      </c>
      <c r="AF21" s="12">
        <f>'中国汇率&amp;期货（ln）'!AF21-'中国汇率&amp;期货（ln）'!AF40</f>
      </c>
      <c r="AG21" s="12">
        <f>'中国汇率&amp;期货（ln）'!AG21-'中国汇率&amp;期货（ln）'!AG40</f>
      </c>
      <c r="AH21" s="12">
        <f>'中国汇率&amp;期货（ln）'!AH21-'中国汇率&amp;期货（ln）'!AH40</f>
      </c>
      <c r="AI21" s="12">
        <f>'中国汇率&amp;期货（ln）'!AI21-'中国汇率&amp;期货（ln）'!AI40</f>
      </c>
      <c r="AJ21" s="12">
        <f>'中国汇率&amp;期货（ln）'!AJ21-'中国汇率&amp;期货（ln）'!AJ40</f>
      </c>
      <c r="AK21" s="12">
        <f>'中国汇率&amp;期货（ln）'!AK21-'中国汇率&amp;期货（ln）'!AK40</f>
      </c>
      <c r="AL21" s="12">
        <f>'中国汇率&amp;期货（ln）'!AL21-'中国汇率&amp;期货（ln）'!AL40</f>
      </c>
      <c r="AM21" s="12">
        <f>'中国汇率&amp;期货（ln）'!AM21-'中国汇率&amp;期货（ln）'!AM40</f>
      </c>
      <c r="AN21" s="12">
        <f>'中国汇率&amp;期货（ln）'!AN21-'中国汇率&amp;期货（ln）'!AN40</f>
      </c>
      <c r="AO21" s="12">
        <f>'中国汇率&amp;期货（ln）'!AO21-'中国汇率&amp;期货（ln）'!AO40</f>
      </c>
      <c r="AP21" s="12">
        <f>'中国汇率&amp;期货（ln）'!AP21-'中国汇率&amp;期货（ln）'!AP40</f>
      </c>
      <c r="AQ21" s="12">
        <f>'中国汇率&amp;期货（ln）'!AQ21-'中国汇率&amp;期货（ln）'!AQ40</f>
      </c>
      <c r="AR21" s="12">
        <f>'中国汇率&amp;期货（ln）'!AR21-'中国汇率&amp;期货（ln）'!AR40</f>
      </c>
      <c r="AS21" s="12">
        <f>'中国汇率&amp;期货（ln）'!AS21-'中国汇率&amp;期货（ln）'!AS40</f>
      </c>
      <c r="AT21" s="12">
        <f>'中国汇率&amp;期货（ln）'!AT21-'中国汇率&amp;期货（ln）'!AT40</f>
      </c>
      <c r="AU21" s="12">
        <f>'中国汇率&amp;期货（ln）'!AU21-'中国汇率&amp;期货（ln）'!AU40</f>
      </c>
      <c r="AV21" s="12">
        <f>'中国汇率&amp;期货（ln）'!AV21-'中国汇率&amp;期货（ln）'!AV40</f>
      </c>
      <c r="AW21" s="12">
        <f>'中国汇率&amp;期货（ln）'!AW21-'中国汇率&amp;期货（ln）'!AW40</f>
      </c>
      <c r="AX21" s="12">
        <f>'中国汇率&amp;期货（ln）'!AX21-'中国汇率&amp;期货（ln）'!AX40</f>
      </c>
      <c r="AY21" s="12">
        <f>'中国汇率&amp;期货（ln）'!AY21-'中国汇率&amp;期货（ln）'!AY40</f>
      </c>
      <c r="AZ21" s="12">
        <f>'中国汇率&amp;期货（ln）'!AZ21-'中国汇率&amp;期货（ln）'!AZ40</f>
      </c>
      <c r="BA21" s="12">
        <f>'中国汇率&amp;期货（ln）'!BA21-'中国汇率&amp;期货（ln）'!BA40</f>
      </c>
      <c r="BB21" s="12">
        <f>'中国汇率&amp;期货（ln）'!BB21-'中国汇率&amp;期货（ln）'!BB40</f>
      </c>
      <c r="BC21" s="12">
        <f>'中国汇率&amp;期货（ln）'!BC21-'中国汇率&amp;期货（ln）'!BC40</f>
      </c>
      <c r="BD21" s="12">
        <f>'中国汇率&amp;期货（ln）'!BD21-'中国汇率&amp;期货（ln）'!BD40</f>
      </c>
      <c r="BE21" s="12">
        <f>'中国汇率&amp;期货（ln）'!BE21-'中国汇率&amp;期货（ln）'!BE40</f>
      </c>
    </row>
    <row x14ac:dyDescent="0.25" r="22" customHeight="1" ht="18.75">
      <c r="A22" s="1"/>
      <c r="B22" s="12">
        <f>'中国汇率&amp;期货（ln）'!B22-'中国汇率&amp;期货（ln）'!B41</f>
      </c>
      <c r="C22" s="12">
        <f>'中国汇率&amp;期货（ln）'!C22-'中国汇率&amp;期货（ln）'!C41</f>
      </c>
      <c r="D22" s="12">
        <f>'中国汇率&amp;期货（ln）'!D22-'中国汇率&amp;期货（ln）'!D41</f>
      </c>
      <c r="E22" s="12">
        <f>'中国汇率&amp;期货（ln）'!E22-'中国汇率&amp;期货（ln）'!E41</f>
      </c>
      <c r="F22" s="12">
        <f>'中国汇率&amp;期货（ln）'!F22-'中国汇率&amp;期货（ln）'!F41</f>
      </c>
      <c r="G22" s="12">
        <f>'中国汇率&amp;期货（ln）'!G22-'中国汇率&amp;期货（ln）'!G41</f>
      </c>
      <c r="H22" s="12">
        <f>'中国汇率&amp;期货（ln）'!H22-'中国汇率&amp;期货（ln）'!H41</f>
      </c>
      <c r="I22" s="12">
        <f>'中国汇率&amp;期货（ln）'!I22-'中国汇率&amp;期货（ln）'!I41</f>
      </c>
      <c r="J22" s="12">
        <f>'中国汇率&amp;期货（ln）'!J22-'中国汇率&amp;期货（ln）'!J41</f>
      </c>
      <c r="K22" s="12">
        <f>'中国汇率&amp;期货（ln）'!K22-'中国汇率&amp;期货（ln）'!K41</f>
      </c>
      <c r="L22" s="12">
        <f>'中国汇率&amp;期货（ln）'!L22-'中国汇率&amp;期货（ln）'!L41</f>
      </c>
      <c r="M22" s="12">
        <f>'中国汇率&amp;期货（ln）'!M22-'中国汇率&amp;期货（ln）'!M41</f>
      </c>
      <c r="N22" s="12">
        <f>'中国汇率&amp;期货（ln）'!N22-'中国汇率&amp;期货（ln）'!N41</f>
      </c>
      <c r="O22" s="12">
        <f>'中国汇率&amp;期货（ln）'!O22-'中国汇率&amp;期货（ln）'!O41</f>
      </c>
      <c r="P22" s="12">
        <f>'中国汇率&amp;期货（ln）'!P22-'中国汇率&amp;期货（ln）'!P41</f>
      </c>
      <c r="Q22" s="12">
        <f>'中国汇率&amp;期货（ln）'!Q22-'中国汇率&amp;期货（ln）'!Q41</f>
      </c>
      <c r="R22" s="12">
        <f>'中国汇率&amp;期货（ln）'!R22-'中国汇率&amp;期货（ln）'!R41</f>
      </c>
      <c r="S22" s="12">
        <f>'中国汇率&amp;期货（ln）'!S22-'中国汇率&amp;期货（ln）'!S41</f>
      </c>
      <c r="T22" s="12">
        <f>'中国汇率&amp;期货（ln）'!T22-'中国汇率&amp;期货（ln）'!T41</f>
      </c>
      <c r="U22" s="12">
        <f>'中国汇率&amp;期货（ln）'!U22-'中国汇率&amp;期货（ln）'!U41</f>
      </c>
      <c r="V22" s="12">
        <f>'中国汇率&amp;期货（ln）'!V22-'中国汇率&amp;期货（ln）'!V41</f>
      </c>
      <c r="W22" s="12">
        <f>'中国汇率&amp;期货（ln）'!W22-'中国汇率&amp;期货（ln）'!W41</f>
      </c>
      <c r="X22" s="12">
        <f>'中国汇率&amp;期货（ln）'!X22-'中国汇率&amp;期货（ln）'!X41</f>
      </c>
      <c r="Y22" s="12">
        <f>'中国汇率&amp;期货（ln）'!Y22-'中国汇率&amp;期货（ln）'!Y41</f>
      </c>
      <c r="Z22" s="12">
        <f>'中国汇率&amp;期货（ln）'!Z22-'中国汇率&amp;期货（ln）'!Z41</f>
      </c>
      <c r="AA22" s="12">
        <f>'中国汇率&amp;期货（ln）'!AA22-'中国汇率&amp;期货（ln）'!AA41</f>
      </c>
      <c r="AB22" s="12">
        <f>'中国汇率&amp;期货（ln）'!AB22-'中国汇率&amp;期货（ln）'!AB41</f>
      </c>
      <c r="AC22" s="12">
        <f>'中国汇率&amp;期货（ln）'!AC22-'中国汇率&amp;期货（ln）'!AC41</f>
      </c>
      <c r="AD22" s="12">
        <f>'中国汇率&amp;期货（ln）'!AD22-'中国汇率&amp;期货（ln）'!AD41</f>
      </c>
      <c r="AE22" s="12">
        <f>'中国汇率&amp;期货（ln）'!AE22-'中国汇率&amp;期货（ln）'!AE41</f>
      </c>
      <c r="AF22" s="12">
        <f>'中国汇率&amp;期货（ln）'!AF22-'中国汇率&amp;期货（ln）'!AF41</f>
      </c>
      <c r="AG22" s="12">
        <f>'中国汇率&amp;期货（ln）'!AG22-'中国汇率&amp;期货（ln）'!AG41</f>
      </c>
      <c r="AH22" s="12">
        <f>'中国汇率&amp;期货（ln）'!AH22-'中国汇率&amp;期货（ln）'!AH41</f>
      </c>
      <c r="AI22" s="12">
        <f>'中国汇率&amp;期货（ln）'!AI22-'中国汇率&amp;期货（ln）'!AI41</f>
      </c>
      <c r="AJ22" s="12">
        <f>'中国汇率&amp;期货（ln）'!AJ22-'中国汇率&amp;期货（ln）'!AJ41</f>
      </c>
      <c r="AK22" s="12">
        <f>'中国汇率&amp;期货（ln）'!AK22-'中国汇率&amp;期货（ln）'!AK41</f>
      </c>
      <c r="AL22" s="12">
        <f>'中国汇率&amp;期货（ln）'!AL22-'中国汇率&amp;期货（ln）'!AL41</f>
      </c>
      <c r="AM22" s="12">
        <f>'中国汇率&amp;期货（ln）'!AM22-'中国汇率&amp;期货（ln）'!AM41</f>
      </c>
      <c r="AN22" s="12">
        <f>'中国汇率&amp;期货（ln）'!AN22-'中国汇率&amp;期货（ln）'!AN41</f>
      </c>
      <c r="AO22" s="12">
        <f>'中国汇率&amp;期货（ln）'!AO22-'中国汇率&amp;期货（ln）'!AO41</f>
      </c>
      <c r="AP22" s="12">
        <f>'中国汇率&amp;期货（ln）'!AP22-'中国汇率&amp;期货（ln）'!AP41</f>
      </c>
      <c r="AQ22" s="12">
        <f>'中国汇率&amp;期货（ln）'!AQ22-'中国汇率&amp;期货（ln）'!AQ41</f>
      </c>
      <c r="AR22" s="12">
        <f>'中国汇率&amp;期货（ln）'!AR22-'中国汇率&amp;期货（ln）'!AR41</f>
      </c>
      <c r="AS22" s="12">
        <f>'中国汇率&amp;期货（ln）'!AS22-'中国汇率&amp;期货（ln）'!AS41</f>
      </c>
      <c r="AT22" s="12">
        <f>'中国汇率&amp;期货（ln）'!AT22-'中国汇率&amp;期货（ln）'!AT41</f>
      </c>
      <c r="AU22" s="12">
        <f>'中国汇率&amp;期货（ln）'!AU22-'中国汇率&amp;期货（ln）'!AU41</f>
      </c>
      <c r="AV22" s="12">
        <f>'中国汇率&amp;期货（ln）'!AV22-'中国汇率&amp;期货（ln）'!AV41</f>
      </c>
      <c r="AW22" s="12">
        <f>'中国汇率&amp;期货（ln）'!AW22-'中国汇率&amp;期货（ln）'!AW41</f>
      </c>
      <c r="AX22" s="12">
        <f>'中国汇率&amp;期货（ln）'!AX22-'中国汇率&amp;期货（ln）'!AX41</f>
      </c>
      <c r="AY22" s="12">
        <f>'中国汇率&amp;期货（ln）'!AY22-'中国汇率&amp;期货（ln）'!AY41</f>
      </c>
      <c r="AZ22" s="12">
        <f>'中国汇率&amp;期货（ln）'!AZ22-'中国汇率&amp;期货（ln）'!AZ41</f>
      </c>
      <c r="BA22" s="12">
        <f>'中国汇率&amp;期货（ln）'!BA22-'中国汇率&amp;期货（ln）'!BA41</f>
      </c>
      <c r="BB22" s="12">
        <f>'中国汇率&amp;期货（ln）'!BB22-'中国汇率&amp;期货（ln）'!BB41</f>
      </c>
      <c r="BC22" s="12">
        <f>'中国汇率&amp;期货（ln）'!BC22-'中国汇率&amp;期货（ln）'!BC41</f>
      </c>
      <c r="BD22" s="12">
        <f>'中国汇率&amp;期货（ln）'!BD22-'中国汇率&amp;期货（ln）'!BD41</f>
      </c>
      <c r="BE22" s="12">
        <f>'中国汇率&amp;期货（ln）'!BE22-'中国汇率&amp;期货（ln）'!BE41</f>
      </c>
    </row>
    <row x14ac:dyDescent="0.25" r="23" customHeight="1" ht="18.75">
      <c r="A23" s="1"/>
      <c r="B23" s="12">
        <f>'中国汇率&amp;期货（ln）'!B23-'中国汇率&amp;期货（ln）'!B42</f>
      </c>
      <c r="C23" s="12">
        <f>'中国汇率&amp;期货（ln）'!C23-'中国汇率&amp;期货（ln）'!C42</f>
      </c>
      <c r="D23" s="12">
        <f>'中国汇率&amp;期货（ln）'!D23-'中国汇率&amp;期货（ln）'!D42</f>
      </c>
      <c r="E23" s="12">
        <f>'中国汇率&amp;期货（ln）'!E23-'中国汇率&amp;期货（ln）'!E42</f>
      </c>
      <c r="F23" s="12">
        <f>'中国汇率&amp;期货（ln）'!F23-'中国汇率&amp;期货（ln）'!F42</f>
      </c>
      <c r="G23" s="12">
        <f>'中国汇率&amp;期货（ln）'!G23-'中国汇率&amp;期货（ln）'!G42</f>
      </c>
      <c r="H23" s="12">
        <f>'中国汇率&amp;期货（ln）'!H23-'中国汇率&amp;期货（ln）'!H42</f>
      </c>
      <c r="I23" s="12">
        <f>'中国汇率&amp;期货（ln）'!I23-'中国汇率&amp;期货（ln）'!I42</f>
      </c>
      <c r="J23" s="12">
        <f>'中国汇率&amp;期货（ln）'!J23-'中国汇率&amp;期货（ln）'!J42</f>
      </c>
      <c r="K23" s="12">
        <f>'中国汇率&amp;期货（ln）'!K23-'中国汇率&amp;期货（ln）'!K42</f>
      </c>
      <c r="L23" s="12">
        <f>'中国汇率&amp;期货（ln）'!L23-'中国汇率&amp;期货（ln）'!L42</f>
      </c>
      <c r="M23" s="12">
        <f>'中国汇率&amp;期货（ln）'!M23-'中国汇率&amp;期货（ln）'!M42</f>
      </c>
      <c r="N23" s="12">
        <f>'中国汇率&amp;期货（ln）'!N23-'中国汇率&amp;期货（ln）'!N42</f>
      </c>
      <c r="O23" s="12">
        <f>'中国汇率&amp;期货（ln）'!O23-'中国汇率&amp;期货（ln）'!O42</f>
      </c>
      <c r="P23" s="12">
        <f>'中国汇率&amp;期货（ln）'!P23-'中国汇率&amp;期货（ln）'!P42</f>
      </c>
      <c r="Q23" s="12">
        <f>'中国汇率&amp;期货（ln）'!Q23-'中国汇率&amp;期货（ln）'!Q42</f>
      </c>
      <c r="R23" s="12">
        <f>'中国汇率&amp;期货（ln）'!R23-'中国汇率&amp;期货（ln）'!R42</f>
      </c>
      <c r="S23" s="12">
        <f>'中国汇率&amp;期货（ln）'!S23-'中国汇率&amp;期货（ln）'!S42</f>
      </c>
      <c r="T23" s="12">
        <f>'中国汇率&amp;期货（ln）'!T23-'中国汇率&amp;期货（ln）'!T42</f>
      </c>
      <c r="U23" s="12">
        <f>'中国汇率&amp;期货（ln）'!U23-'中国汇率&amp;期货（ln）'!U42</f>
      </c>
      <c r="V23" s="12">
        <f>'中国汇率&amp;期货（ln）'!V23-'中国汇率&amp;期货（ln）'!V42</f>
      </c>
      <c r="W23" s="12">
        <f>'中国汇率&amp;期货（ln）'!W23-'中国汇率&amp;期货（ln）'!W42</f>
      </c>
      <c r="X23" s="12">
        <f>'中国汇率&amp;期货（ln）'!X23-'中国汇率&amp;期货（ln）'!X42</f>
      </c>
      <c r="Y23" s="12">
        <f>'中国汇率&amp;期货（ln）'!Y23-'中国汇率&amp;期货（ln）'!Y42</f>
      </c>
      <c r="Z23" s="12">
        <f>'中国汇率&amp;期货（ln）'!Z23-'中国汇率&amp;期货（ln）'!Z42</f>
      </c>
      <c r="AA23" s="12">
        <f>'中国汇率&amp;期货（ln）'!AA23-'中国汇率&amp;期货（ln）'!AA42</f>
      </c>
      <c r="AB23" s="12">
        <f>'中国汇率&amp;期货（ln）'!AB23-'中国汇率&amp;期货（ln）'!AB42</f>
      </c>
      <c r="AC23" s="12">
        <f>'中国汇率&amp;期货（ln）'!AC23-'中国汇率&amp;期货（ln）'!AC42</f>
      </c>
      <c r="AD23" s="12">
        <f>'中国汇率&amp;期货（ln）'!AD23-'中国汇率&amp;期货（ln）'!AD42</f>
      </c>
      <c r="AE23" s="12">
        <f>'中国汇率&amp;期货（ln）'!AE23-'中国汇率&amp;期货（ln）'!AE42</f>
      </c>
      <c r="AF23" s="12">
        <f>'中国汇率&amp;期货（ln）'!AF23-'中国汇率&amp;期货（ln）'!AF42</f>
      </c>
      <c r="AG23" s="12">
        <f>'中国汇率&amp;期货（ln）'!AG23-'中国汇率&amp;期货（ln）'!AG42</f>
      </c>
      <c r="AH23" s="12">
        <f>'中国汇率&amp;期货（ln）'!AH23-'中国汇率&amp;期货（ln）'!AH42</f>
      </c>
      <c r="AI23" s="12">
        <f>'中国汇率&amp;期货（ln）'!AI23-'中国汇率&amp;期货（ln）'!AI42</f>
      </c>
      <c r="AJ23" s="12">
        <f>'中国汇率&amp;期货（ln）'!AJ23-'中国汇率&amp;期货（ln）'!AJ42</f>
      </c>
      <c r="AK23" s="12">
        <f>'中国汇率&amp;期货（ln）'!AK23-'中国汇率&amp;期货（ln）'!AK42</f>
      </c>
      <c r="AL23" s="12">
        <f>'中国汇率&amp;期货（ln）'!AL23-'中国汇率&amp;期货（ln）'!AL42</f>
      </c>
      <c r="AM23" s="12">
        <f>'中国汇率&amp;期货（ln）'!AM23-'中国汇率&amp;期货（ln）'!AM42</f>
      </c>
      <c r="AN23" s="12">
        <f>'中国汇率&amp;期货（ln）'!AN23-'中国汇率&amp;期货（ln）'!AN42</f>
      </c>
      <c r="AO23" s="12">
        <f>'中国汇率&amp;期货（ln）'!AO23-'中国汇率&amp;期货（ln）'!AO42</f>
      </c>
      <c r="AP23" s="12">
        <f>'中国汇率&amp;期货（ln）'!AP23-'中国汇率&amp;期货（ln）'!AP42</f>
      </c>
      <c r="AQ23" s="12">
        <f>'中国汇率&amp;期货（ln）'!AQ23-'中国汇率&amp;期货（ln）'!AQ42</f>
      </c>
      <c r="AR23" s="12">
        <f>'中国汇率&amp;期货（ln）'!AR23-'中国汇率&amp;期货（ln）'!AR42</f>
      </c>
      <c r="AS23" s="12">
        <f>'中国汇率&amp;期货（ln）'!AS23-'中国汇率&amp;期货（ln）'!AS42</f>
      </c>
      <c r="AT23" s="12">
        <f>'中国汇率&amp;期货（ln）'!AT23-'中国汇率&amp;期货（ln）'!AT42</f>
      </c>
      <c r="AU23" s="12">
        <f>'中国汇率&amp;期货（ln）'!AU23-'中国汇率&amp;期货（ln）'!AU42</f>
      </c>
      <c r="AV23" s="12">
        <f>'中国汇率&amp;期货（ln）'!AV23-'中国汇率&amp;期货（ln）'!AV42</f>
      </c>
      <c r="AW23" s="12">
        <f>'中国汇率&amp;期货（ln）'!AW23-'中国汇率&amp;期货（ln）'!AW42</f>
      </c>
      <c r="AX23" s="12">
        <f>'中国汇率&amp;期货（ln）'!AX23-'中国汇率&amp;期货（ln）'!AX42</f>
      </c>
      <c r="AY23" s="12">
        <f>'中国汇率&amp;期货（ln）'!AY23-'中国汇率&amp;期货（ln）'!AY42</f>
      </c>
      <c r="AZ23" s="12">
        <f>'中国汇率&amp;期货（ln）'!AZ23-'中国汇率&amp;期货（ln）'!AZ42</f>
      </c>
      <c r="BA23" s="12">
        <f>'中国汇率&amp;期货（ln）'!BA23-'中国汇率&amp;期货（ln）'!BA42</f>
      </c>
      <c r="BB23" s="12">
        <f>'中国汇率&amp;期货（ln）'!BB23-'中国汇率&amp;期货（ln）'!BB42</f>
      </c>
      <c r="BC23" s="12">
        <f>'中国汇率&amp;期货（ln）'!BC23-'中国汇率&amp;期货（ln）'!BC42</f>
      </c>
      <c r="BD23" s="12">
        <f>'中国汇率&amp;期货（ln）'!BD23-'中国汇率&amp;期货（ln）'!BD42</f>
      </c>
      <c r="BE23" s="12">
        <f>'中国汇率&amp;期货（ln）'!BE23-'中国汇率&amp;期货（ln）'!BE42</f>
      </c>
    </row>
    <row x14ac:dyDescent="0.25" r="24" customHeight="1" ht="18.75">
      <c r="A24" s="1"/>
      <c r="B24" s="12">
        <f>'中国汇率&amp;期货（ln）'!B24-'中国汇率&amp;期货（ln）'!B43</f>
      </c>
      <c r="C24" s="12">
        <f>'中国汇率&amp;期货（ln）'!C24-'中国汇率&amp;期货（ln）'!C43</f>
      </c>
      <c r="D24" s="12">
        <f>'中国汇率&amp;期货（ln）'!D24-'中国汇率&amp;期货（ln）'!D43</f>
      </c>
      <c r="E24" s="12">
        <f>'中国汇率&amp;期货（ln）'!E24-'中国汇率&amp;期货（ln）'!E43</f>
      </c>
      <c r="F24" s="12">
        <f>'中国汇率&amp;期货（ln）'!F24-'中国汇率&amp;期货（ln）'!F43</f>
      </c>
      <c r="G24" s="12">
        <f>'中国汇率&amp;期货（ln）'!G24-'中国汇率&amp;期货（ln）'!G43</f>
      </c>
      <c r="H24" s="12">
        <f>'中国汇率&amp;期货（ln）'!H24-'中国汇率&amp;期货（ln）'!H43</f>
      </c>
      <c r="I24" s="12">
        <f>'中国汇率&amp;期货（ln）'!I24-'中国汇率&amp;期货（ln）'!I43</f>
      </c>
      <c r="J24" s="12">
        <f>'中国汇率&amp;期货（ln）'!J24-'中国汇率&amp;期货（ln）'!J43</f>
      </c>
      <c r="K24" s="12">
        <f>'中国汇率&amp;期货（ln）'!K24-'中国汇率&amp;期货（ln）'!K43</f>
      </c>
      <c r="L24" s="12">
        <f>'中国汇率&amp;期货（ln）'!L24-'中国汇率&amp;期货（ln）'!L43</f>
      </c>
      <c r="M24" s="12">
        <f>'中国汇率&amp;期货（ln）'!M24-'中国汇率&amp;期货（ln）'!M43</f>
      </c>
      <c r="N24" s="12">
        <f>'中国汇率&amp;期货（ln）'!N24-'中国汇率&amp;期货（ln）'!N43</f>
      </c>
      <c r="O24" s="12">
        <f>'中国汇率&amp;期货（ln）'!O24-'中国汇率&amp;期货（ln）'!O43</f>
      </c>
      <c r="P24" s="12">
        <f>'中国汇率&amp;期货（ln）'!P24-'中国汇率&amp;期货（ln）'!P43</f>
      </c>
      <c r="Q24" s="12">
        <f>'中国汇率&amp;期货（ln）'!Q24-'中国汇率&amp;期货（ln）'!Q43</f>
      </c>
      <c r="R24" s="12">
        <f>'中国汇率&amp;期货（ln）'!R24-'中国汇率&amp;期货（ln）'!R43</f>
      </c>
      <c r="S24" s="12">
        <f>'中国汇率&amp;期货（ln）'!S24-'中国汇率&amp;期货（ln）'!S43</f>
      </c>
      <c r="T24" s="12">
        <f>'中国汇率&amp;期货（ln）'!T24-'中国汇率&amp;期货（ln）'!T43</f>
      </c>
      <c r="U24" s="12">
        <f>'中国汇率&amp;期货（ln）'!U24-'中国汇率&amp;期货（ln）'!U43</f>
      </c>
      <c r="V24" s="12">
        <f>'中国汇率&amp;期货（ln）'!V24-'中国汇率&amp;期货（ln）'!V43</f>
      </c>
      <c r="W24" s="12">
        <f>'中国汇率&amp;期货（ln）'!W24-'中国汇率&amp;期货（ln）'!W43</f>
      </c>
      <c r="X24" s="12">
        <f>'中国汇率&amp;期货（ln）'!X24-'中国汇率&amp;期货（ln）'!X43</f>
      </c>
      <c r="Y24" s="12">
        <f>'中国汇率&amp;期货（ln）'!Y24-'中国汇率&amp;期货（ln）'!Y43</f>
      </c>
      <c r="Z24" s="12">
        <f>'中国汇率&amp;期货（ln）'!Z24-'中国汇率&amp;期货（ln）'!Z43</f>
      </c>
      <c r="AA24" s="12">
        <f>'中国汇率&amp;期货（ln）'!AA24-'中国汇率&amp;期货（ln）'!AA43</f>
      </c>
      <c r="AB24" s="12">
        <f>'中国汇率&amp;期货（ln）'!AB24-'中国汇率&amp;期货（ln）'!AB43</f>
      </c>
      <c r="AC24" s="12">
        <f>'中国汇率&amp;期货（ln）'!AC24-'中国汇率&amp;期货（ln）'!AC43</f>
      </c>
      <c r="AD24" s="12">
        <f>'中国汇率&amp;期货（ln）'!AD24-'中国汇率&amp;期货（ln）'!AD43</f>
      </c>
      <c r="AE24" s="12">
        <f>'中国汇率&amp;期货（ln）'!AE24-'中国汇率&amp;期货（ln）'!AE43</f>
      </c>
      <c r="AF24" s="12">
        <f>'中国汇率&amp;期货（ln）'!AF24-'中国汇率&amp;期货（ln）'!AF43</f>
      </c>
      <c r="AG24" s="12">
        <f>'中国汇率&amp;期货（ln）'!AG24-'中国汇率&amp;期货（ln）'!AG43</f>
      </c>
      <c r="AH24" s="12">
        <f>'中国汇率&amp;期货（ln）'!AH24-'中国汇率&amp;期货（ln）'!AH43</f>
      </c>
      <c r="AI24" s="12">
        <f>'中国汇率&amp;期货（ln）'!AI24-'中国汇率&amp;期货（ln）'!AI43</f>
      </c>
      <c r="AJ24" s="12">
        <f>'中国汇率&amp;期货（ln）'!AJ24-'中国汇率&amp;期货（ln）'!AJ43</f>
      </c>
      <c r="AK24" s="12">
        <f>'中国汇率&amp;期货（ln）'!AK24-'中国汇率&amp;期货（ln）'!AK43</f>
      </c>
      <c r="AL24" s="12">
        <f>'中国汇率&amp;期货（ln）'!AL24-'中国汇率&amp;期货（ln）'!AL43</f>
      </c>
      <c r="AM24" s="12">
        <f>'中国汇率&amp;期货（ln）'!AM24-'中国汇率&amp;期货（ln）'!AM43</f>
      </c>
      <c r="AN24" s="12">
        <f>'中国汇率&amp;期货（ln）'!AN24-'中国汇率&amp;期货（ln）'!AN43</f>
      </c>
      <c r="AO24" s="12">
        <f>'中国汇率&amp;期货（ln）'!AO24-'中国汇率&amp;期货（ln）'!AO43</f>
      </c>
      <c r="AP24" s="12">
        <f>'中国汇率&amp;期货（ln）'!AP24-'中国汇率&amp;期货（ln）'!AP43</f>
      </c>
      <c r="AQ24" s="12">
        <f>'中国汇率&amp;期货（ln）'!AQ24-'中国汇率&amp;期货（ln）'!AQ43</f>
      </c>
      <c r="AR24" s="12">
        <f>'中国汇率&amp;期货（ln）'!AR24-'中国汇率&amp;期货（ln）'!AR43</f>
      </c>
      <c r="AS24" s="12">
        <f>'中国汇率&amp;期货（ln）'!AS24-'中国汇率&amp;期货（ln）'!AS43</f>
      </c>
      <c r="AT24" s="12">
        <f>'中国汇率&amp;期货（ln）'!AT24-'中国汇率&amp;期货（ln）'!AT43</f>
      </c>
      <c r="AU24" s="12">
        <f>'中国汇率&amp;期货（ln）'!AU24-'中国汇率&amp;期货（ln）'!AU43</f>
      </c>
      <c r="AV24" s="12">
        <f>'中国汇率&amp;期货（ln）'!AV24-'中国汇率&amp;期货（ln）'!AV43</f>
      </c>
      <c r="AW24" s="12">
        <f>'中国汇率&amp;期货（ln）'!AW24-'中国汇率&amp;期货（ln）'!AW43</f>
      </c>
      <c r="AX24" s="12">
        <f>'中国汇率&amp;期货（ln）'!AX24-'中国汇率&amp;期货（ln）'!AX43</f>
      </c>
      <c r="AY24" s="12">
        <f>'中国汇率&amp;期货（ln）'!AY24-'中国汇率&amp;期货（ln）'!AY43</f>
      </c>
      <c r="AZ24" s="12">
        <f>'中国汇率&amp;期货（ln）'!AZ24-'中国汇率&amp;期货（ln）'!AZ43</f>
      </c>
      <c r="BA24" s="12">
        <f>'中国汇率&amp;期货（ln）'!BA24-'中国汇率&amp;期货（ln）'!BA43</f>
      </c>
      <c r="BB24" s="12">
        <f>'中国汇率&amp;期货（ln）'!BB24-'中国汇率&amp;期货（ln）'!BB43</f>
      </c>
      <c r="BC24" s="12">
        <f>'中国汇率&amp;期货（ln）'!BC24-'中国汇率&amp;期货（ln）'!BC43</f>
      </c>
      <c r="BD24" s="12">
        <f>'中国汇率&amp;期货（ln）'!BD24-'中国汇率&amp;期货（ln）'!BD43</f>
      </c>
      <c r="BE24" s="12">
        <f>'中国汇率&amp;期货（ln）'!BE24-'中国汇率&amp;期货（ln）'!BE43</f>
      </c>
    </row>
    <row x14ac:dyDescent="0.25" r="25" customHeight="1" ht="18.75">
      <c r="A25" s="1"/>
      <c r="B25" s="12">
        <f>'中国汇率&amp;期货（ln）'!B25-'中国汇率&amp;期货（ln）'!B44</f>
      </c>
      <c r="C25" s="12">
        <f>'中国汇率&amp;期货（ln）'!C25-'中国汇率&amp;期货（ln）'!C44</f>
      </c>
      <c r="D25" s="12">
        <f>'中国汇率&amp;期货（ln）'!D25-'中国汇率&amp;期货（ln）'!D44</f>
      </c>
      <c r="E25" s="12">
        <f>'中国汇率&amp;期货（ln）'!E25-'中国汇率&amp;期货（ln）'!E44</f>
      </c>
      <c r="F25" s="12">
        <f>'中国汇率&amp;期货（ln）'!F25-'中国汇率&amp;期货（ln）'!F44</f>
      </c>
      <c r="G25" s="12">
        <f>'中国汇率&amp;期货（ln）'!G25-'中国汇率&amp;期货（ln）'!G44</f>
      </c>
      <c r="H25" s="12">
        <f>'中国汇率&amp;期货（ln）'!H25-'中国汇率&amp;期货（ln）'!H44</f>
      </c>
      <c r="I25" s="12">
        <f>'中国汇率&amp;期货（ln）'!I25-'中国汇率&amp;期货（ln）'!I44</f>
      </c>
      <c r="J25" s="12">
        <f>'中国汇率&amp;期货（ln）'!J25-'中国汇率&amp;期货（ln）'!J44</f>
      </c>
      <c r="K25" s="12">
        <f>'中国汇率&amp;期货（ln）'!K25-'中国汇率&amp;期货（ln）'!K44</f>
      </c>
      <c r="L25" s="12">
        <f>'中国汇率&amp;期货（ln）'!L25-'中国汇率&amp;期货（ln）'!L44</f>
      </c>
      <c r="M25" s="12">
        <f>'中国汇率&amp;期货（ln）'!M25-'中国汇率&amp;期货（ln）'!M44</f>
      </c>
      <c r="N25" s="12">
        <f>'中国汇率&amp;期货（ln）'!N25-'中国汇率&amp;期货（ln）'!N44</f>
      </c>
      <c r="O25" s="12">
        <f>'中国汇率&amp;期货（ln）'!O25-'中国汇率&amp;期货（ln）'!O44</f>
      </c>
      <c r="P25" s="12">
        <f>'中国汇率&amp;期货（ln）'!P25-'中国汇率&amp;期货（ln）'!P44</f>
      </c>
      <c r="Q25" s="12">
        <f>'中国汇率&amp;期货（ln）'!Q25-'中国汇率&amp;期货（ln）'!Q44</f>
      </c>
      <c r="R25" s="12">
        <f>'中国汇率&amp;期货（ln）'!R25-'中国汇率&amp;期货（ln）'!R44</f>
      </c>
      <c r="S25" s="12">
        <f>'中国汇率&amp;期货（ln）'!S25-'中国汇率&amp;期货（ln）'!S44</f>
      </c>
      <c r="T25" s="12">
        <f>'中国汇率&amp;期货（ln）'!T25-'中国汇率&amp;期货（ln）'!T44</f>
      </c>
      <c r="U25" s="12">
        <f>'中国汇率&amp;期货（ln）'!U25-'中国汇率&amp;期货（ln）'!U44</f>
      </c>
      <c r="V25" s="12">
        <f>'中国汇率&amp;期货（ln）'!V25-'中国汇率&amp;期货（ln）'!V44</f>
      </c>
      <c r="W25" s="12">
        <f>'中国汇率&amp;期货（ln）'!W25-'中国汇率&amp;期货（ln）'!W44</f>
      </c>
      <c r="X25" s="12">
        <f>'中国汇率&amp;期货（ln）'!X25-'中国汇率&amp;期货（ln）'!X44</f>
      </c>
      <c r="Y25" s="12">
        <f>'中国汇率&amp;期货（ln）'!Y25-'中国汇率&amp;期货（ln）'!Y44</f>
      </c>
      <c r="Z25" s="12">
        <f>'中国汇率&amp;期货（ln）'!Z25-'中国汇率&amp;期货（ln）'!Z44</f>
      </c>
      <c r="AA25" s="12">
        <f>'中国汇率&amp;期货（ln）'!AA25-'中国汇率&amp;期货（ln）'!AA44</f>
      </c>
      <c r="AB25" s="12">
        <f>'中国汇率&amp;期货（ln）'!AB25-'中国汇率&amp;期货（ln）'!AB44</f>
      </c>
      <c r="AC25" s="12">
        <f>'中国汇率&amp;期货（ln）'!AC25-'中国汇率&amp;期货（ln）'!AC44</f>
      </c>
      <c r="AD25" s="12">
        <f>'中国汇率&amp;期货（ln）'!AD25-'中国汇率&amp;期货（ln）'!AD44</f>
      </c>
      <c r="AE25" s="12">
        <f>'中国汇率&amp;期货（ln）'!AE25-'中国汇率&amp;期货（ln）'!AE44</f>
      </c>
      <c r="AF25" s="12">
        <f>'中国汇率&amp;期货（ln）'!AF25-'中国汇率&amp;期货（ln）'!AF44</f>
      </c>
      <c r="AG25" s="12">
        <f>'中国汇率&amp;期货（ln）'!AG25-'中国汇率&amp;期货（ln）'!AG44</f>
      </c>
      <c r="AH25" s="12">
        <f>'中国汇率&amp;期货（ln）'!AH25-'中国汇率&amp;期货（ln）'!AH44</f>
      </c>
      <c r="AI25" s="12">
        <f>'中国汇率&amp;期货（ln）'!AI25-'中国汇率&amp;期货（ln）'!AI44</f>
      </c>
      <c r="AJ25" s="12">
        <f>'中国汇率&amp;期货（ln）'!AJ25-'中国汇率&amp;期货（ln）'!AJ44</f>
      </c>
      <c r="AK25" s="12">
        <f>'中国汇率&amp;期货（ln）'!AK25-'中国汇率&amp;期货（ln）'!AK44</f>
      </c>
      <c r="AL25" s="12">
        <f>'中国汇率&amp;期货（ln）'!AL25-'中国汇率&amp;期货（ln）'!AL44</f>
      </c>
      <c r="AM25" s="12">
        <f>'中国汇率&amp;期货（ln）'!AM25-'中国汇率&amp;期货（ln）'!AM44</f>
      </c>
      <c r="AN25" s="12">
        <f>'中国汇率&amp;期货（ln）'!AN25-'中国汇率&amp;期货（ln）'!AN44</f>
      </c>
      <c r="AO25" s="12">
        <f>'中国汇率&amp;期货（ln）'!AO25-'中国汇率&amp;期货（ln）'!AO44</f>
      </c>
      <c r="AP25" s="12">
        <f>'中国汇率&amp;期货（ln）'!AP25-'中国汇率&amp;期货（ln）'!AP44</f>
      </c>
      <c r="AQ25" s="12">
        <f>'中国汇率&amp;期货（ln）'!AQ25-'中国汇率&amp;期货（ln）'!AQ44</f>
      </c>
      <c r="AR25" s="12">
        <f>'中国汇率&amp;期货（ln）'!AR25-'中国汇率&amp;期货（ln）'!AR44</f>
      </c>
      <c r="AS25" s="12">
        <f>'中国汇率&amp;期货（ln）'!AS25-'中国汇率&amp;期货（ln）'!AS44</f>
      </c>
      <c r="AT25" s="12">
        <f>'中国汇率&amp;期货（ln）'!AT25-'中国汇率&amp;期货（ln）'!AT44</f>
      </c>
      <c r="AU25" s="12">
        <f>'中国汇率&amp;期货（ln）'!AU25-'中国汇率&amp;期货（ln）'!AU44</f>
      </c>
      <c r="AV25" s="12">
        <f>'中国汇率&amp;期货（ln）'!AV25-'中国汇率&amp;期货（ln）'!AV44</f>
      </c>
      <c r="AW25" s="12">
        <f>'中国汇率&amp;期货（ln）'!AW25-'中国汇率&amp;期货（ln）'!AW44</f>
      </c>
      <c r="AX25" s="12">
        <f>'中国汇率&amp;期货（ln）'!AX25-'中国汇率&amp;期货（ln）'!AX44</f>
      </c>
      <c r="AY25" s="12">
        <f>'中国汇率&amp;期货（ln）'!AY25-'中国汇率&amp;期货（ln）'!AY44</f>
      </c>
      <c r="AZ25" s="12">
        <f>'中国汇率&amp;期货（ln）'!AZ25-'中国汇率&amp;期货（ln）'!AZ44</f>
      </c>
      <c r="BA25" s="12">
        <f>'中国汇率&amp;期货（ln）'!BA25-'中国汇率&amp;期货（ln）'!BA44</f>
      </c>
      <c r="BB25" s="12">
        <f>'中国汇率&amp;期货（ln）'!BB25-'中国汇率&amp;期货（ln）'!BB44</f>
      </c>
      <c r="BC25" s="12">
        <f>'中国汇率&amp;期货（ln）'!BC25-'中国汇率&amp;期货（ln）'!BC44</f>
      </c>
      <c r="BD25" s="12">
        <f>'中国汇率&amp;期货（ln）'!BD25-'中国汇率&amp;期货（ln）'!BD44</f>
      </c>
      <c r="BE25" s="12">
        <f>'中国汇率&amp;期货（ln）'!BE25-'中国汇率&amp;期货（ln）'!BE44</f>
      </c>
    </row>
    <row x14ac:dyDescent="0.25" r="26" customHeight="1" ht="18.75">
      <c r="A26" s="1"/>
      <c r="B26" s="12">
        <f>'中国汇率&amp;期货（ln）'!B26-'中国汇率&amp;期货（ln）'!B45</f>
      </c>
      <c r="C26" s="12">
        <f>'中国汇率&amp;期货（ln）'!C26-'中国汇率&amp;期货（ln）'!C45</f>
      </c>
      <c r="D26" s="12">
        <f>'中国汇率&amp;期货（ln）'!D26-'中国汇率&amp;期货（ln）'!D45</f>
      </c>
      <c r="E26" s="12">
        <f>'中国汇率&amp;期货（ln）'!E26-'中国汇率&amp;期货（ln）'!E45</f>
      </c>
      <c r="F26" s="12">
        <f>'中国汇率&amp;期货（ln）'!F26-'中国汇率&amp;期货（ln）'!F45</f>
      </c>
      <c r="G26" s="12">
        <f>'中国汇率&amp;期货（ln）'!G26-'中国汇率&amp;期货（ln）'!G45</f>
      </c>
      <c r="H26" s="12">
        <f>'中国汇率&amp;期货（ln）'!H26-'中国汇率&amp;期货（ln）'!H45</f>
      </c>
      <c r="I26" s="12">
        <f>'中国汇率&amp;期货（ln）'!I26-'中国汇率&amp;期货（ln）'!I45</f>
      </c>
      <c r="J26" s="12">
        <f>'中国汇率&amp;期货（ln）'!J26-'中国汇率&amp;期货（ln）'!J45</f>
      </c>
      <c r="K26" s="12">
        <f>'中国汇率&amp;期货（ln）'!K26-'中国汇率&amp;期货（ln）'!K45</f>
      </c>
      <c r="L26" s="12">
        <f>'中国汇率&amp;期货（ln）'!L26-'中国汇率&amp;期货（ln）'!L45</f>
      </c>
      <c r="M26" s="12">
        <f>'中国汇率&amp;期货（ln）'!M26-'中国汇率&amp;期货（ln）'!M45</f>
      </c>
      <c r="N26" s="12">
        <f>'中国汇率&amp;期货（ln）'!N26-'中国汇率&amp;期货（ln）'!N45</f>
      </c>
      <c r="O26" s="12">
        <f>'中国汇率&amp;期货（ln）'!O26-'中国汇率&amp;期货（ln）'!O45</f>
      </c>
      <c r="P26" s="12">
        <f>'中国汇率&amp;期货（ln）'!P26-'中国汇率&amp;期货（ln）'!P45</f>
      </c>
      <c r="Q26" s="12">
        <f>'中国汇率&amp;期货（ln）'!Q26-'中国汇率&amp;期货（ln）'!Q45</f>
      </c>
      <c r="R26" s="12">
        <f>'中国汇率&amp;期货（ln）'!R26-'中国汇率&amp;期货（ln）'!R45</f>
      </c>
      <c r="S26" s="12">
        <f>'中国汇率&amp;期货（ln）'!S26-'中国汇率&amp;期货（ln）'!S45</f>
      </c>
      <c r="T26" s="12">
        <f>'中国汇率&amp;期货（ln）'!T26-'中国汇率&amp;期货（ln）'!T45</f>
      </c>
      <c r="U26" s="12">
        <f>'中国汇率&amp;期货（ln）'!U26-'中国汇率&amp;期货（ln）'!U45</f>
      </c>
      <c r="V26" s="12">
        <f>'中国汇率&amp;期货（ln）'!V26-'中国汇率&amp;期货（ln）'!V45</f>
      </c>
      <c r="W26" s="12">
        <f>'中国汇率&amp;期货（ln）'!W26-'中国汇率&amp;期货（ln）'!W45</f>
      </c>
      <c r="X26" s="12">
        <f>'中国汇率&amp;期货（ln）'!X26-'中国汇率&amp;期货（ln）'!X45</f>
      </c>
      <c r="Y26" s="12">
        <f>'中国汇率&amp;期货（ln）'!Y26-'中国汇率&amp;期货（ln）'!Y45</f>
      </c>
      <c r="Z26" s="12">
        <f>'中国汇率&amp;期货（ln）'!Z26-'中国汇率&amp;期货（ln）'!Z45</f>
      </c>
      <c r="AA26" s="12">
        <f>'中国汇率&amp;期货（ln）'!AA26-'中国汇率&amp;期货（ln）'!AA45</f>
      </c>
      <c r="AB26" s="12">
        <f>'中国汇率&amp;期货（ln）'!AB26-'中国汇率&amp;期货（ln）'!AB45</f>
      </c>
      <c r="AC26" s="12">
        <f>'中国汇率&amp;期货（ln）'!AC26-'中国汇率&amp;期货（ln）'!AC45</f>
      </c>
      <c r="AD26" s="12">
        <f>'中国汇率&amp;期货（ln）'!AD26-'中国汇率&amp;期货（ln）'!AD45</f>
      </c>
      <c r="AE26" s="12">
        <f>'中国汇率&amp;期货（ln）'!AE26-'中国汇率&amp;期货（ln）'!AE45</f>
      </c>
      <c r="AF26" s="12">
        <f>'中国汇率&amp;期货（ln）'!AF26-'中国汇率&amp;期货（ln）'!AF45</f>
      </c>
      <c r="AG26" s="12">
        <f>'中国汇率&amp;期货（ln）'!AG26-'中国汇率&amp;期货（ln）'!AG45</f>
      </c>
      <c r="AH26" s="12">
        <f>'中国汇率&amp;期货（ln）'!AH26-'中国汇率&amp;期货（ln）'!AH45</f>
      </c>
      <c r="AI26" s="12">
        <f>'中国汇率&amp;期货（ln）'!AI26-'中国汇率&amp;期货（ln）'!AI45</f>
      </c>
      <c r="AJ26" s="12">
        <f>'中国汇率&amp;期货（ln）'!AJ26-'中国汇率&amp;期货（ln）'!AJ45</f>
      </c>
      <c r="AK26" s="12">
        <f>'中国汇率&amp;期货（ln）'!AK26-'中国汇率&amp;期货（ln）'!AK45</f>
      </c>
      <c r="AL26" s="12">
        <f>'中国汇率&amp;期货（ln）'!AL26-'中国汇率&amp;期货（ln）'!AL45</f>
      </c>
      <c r="AM26" s="12">
        <f>'中国汇率&amp;期货（ln）'!AM26-'中国汇率&amp;期货（ln）'!AM45</f>
      </c>
      <c r="AN26" s="12">
        <f>'中国汇率&amp;期货（ln）'!AN26-'中国汇率&amp;期货（ln）'!AN45</f>
      </c>
      <c r="AO26" s="12">
        <f>'中国汇率&amp;期货（ln）'!AO26-'中国汇率&amp;期货（ln）'!AO45</f>
      </c>
      <c r="AP26" s="12">
        <f>'中国汇率&amp;期货（ln）'!AP26-'中国汇率&amp;期货（ln）'!AP45</f>
      </c>
      <c r="AQ26" s="12">
        <f>'中国汇率&amp;期货（ln）'!AQ26-'中国汇率&amp;期货（ln）'!AQ45</f>
      </c>
      <c r="AR26" s="12">
        <f>'中国汇率&amp;期货（ln）'!AR26-'中国汇率&amp;期货（ln）'!AR45</f>
      </c>
      <c r="AS26" s="12">
        <f>'中国汇率&amp;期货（ln）'!AS26-'中国汇率&amp;期货（ln）'!AS45</f>
      </c>
      <c r="AT26" s="12">
        <f>'中国汇率&amp;期货（ln）'!AT26-'中国汇率&amp;期货（ln）'!AT45</f>
      </c>
      <c r="AU26" s="12">
        <f>'中国汇率&amp;期货（ln）'!AU26-'中国汇率&amp;期货（ln）'!AU45</f>
      </c>
      <c r="AV26" s="12">
        <f>'中国汇率&amp;期货（ln）'!AV26-'中国汇率&amp;期货（ln）'!AV45</f>
      </c>
      <c r="AW26" s="12">
        <f>'中国汇率&amp;期货（ln）'!AW26-'中国汇率&amp;期货（ln）'!AW45</f>
      </c>
      <c r="AX26" s="12">
        <f>'中国汇率&amp;期货（ln）'!AX26-'中国汇率&amp;期货（ln）'!AX45</f>
      </c>
      <c r="AY26" s="12">
        <f>'中国汇率&amp;期货（ln）'!AY26-'中国汇率&amp;期货（ln）'!AY45</f>
      </c>
      <c r="AZ26" s="12">
        <f>'中国汇率&amp;期货（ln）'!AZ26-'中国汇率&amp;期货（ln）'!AZ45</f>
      </c>
      <c r="BA26" s="12">
        <f>'中国汇率&amp;期货（ln）'!BA26-'中国汇率&amp;期货（ln）'!BA45</f>
      </c>
      <c r="BB26" s="12">
        <f>'中国汇率&amp;期货（ln）'!BB26-'中国汇率&amp;期货（ln）'!BB45</f>
      </c>
      <c r="BC26" s="12">
        <f>'中国汇率&amp;期货（ln）'!BC26-'中国汇率&amp;期货（ln）'!BC45</f>
      </c>
      <c r="BD26" s="12">
        <f>'中国汇率&amp;期货（ln）'!BD26-'中国汇率&amp;期货（ln）'!BD45</f>
      </c>
      <c r="BE26" s="12">
        <f>'中国汇率&amp;期货（ln）'!BE26-'中国汇率&amp;期货（ln）'!BE45</f>
      </c>
    </row>
    <row x14ac:dyDescent="0.25" r="27" customHeight="1" ht="18.75">
      <c r="A27" s="1"/>
      <c r="B27" s="12">
        <f>'中国汇率&amp;期货（ln）'!B27-'中国汇率&amp;期货（ln）'!B46</f>
      </c>
      <c r="C27" s="12">
        <f>'中国汇率&amp;期货（ln）'!C27-'中国汇率&amp;期货（ln）'!C46</f>
      </c>
      <c r="D27" s="12">
        <f>'中国汇率&amp;期货（ln）'!D27-'中国汇率&amp;期货（ln）'!D46</f>
      </c>
      <c r="E27" s="12">
        <f>'中国汇率&amp;期货（ln）'!E27-'中国汇率&amp;期货（ln）'!E46</f>
      </c>
      <c r="F27" s="12">
        <f>'中国汇率&amp;期货（ln）'!F27-'中国汇率&amp;期货（ln）'!F46</f>
      </c>
      <c r="G27" s="12">
        <f>'中国汇率&amp;期货（ln）'!G27-'中国汇率&amp;期货（ln）'!G46</f>
      </c>
      <c r="H27" s="12">
        <f>'中国汇率&amp;期货（ln）'!H27-'中国汇率&amp;期货（ln）'!H46</f>
      </c>
      <c r="I27" s="12">
        <f>'中国汇率&amp;期货（ln）'!I27-'中国汇率&amp;期货（ln）'!I46</f>
      </c>
      <c r="J27" s="12">
        <f>'中国汇率&amp;期货（ln）'!J27-'中国汇率&amp;期货（ln）'!J46</f>
      </c>
      <c r="K27" s="12">
        <f>'中国汇率&amp;期货（ln）'!K27-'中国汇率&amp;期货（ln）'!K46</f>
      </c>
      <c r="L27" s="12">
        <f>'中国汇率&amp;期货（ln）'!L27-'中国汇率&amp;期货（ln）'!L46</f>
      </c>
      <c r="M27" s="12">
        <f>'中国汇率&amp;期货（ln）'!M27-'中国汇率&amp;期货（ln）'!M46</f>
      </c>
      <c r="N27" s="12">
        <f>'中国汇率&amp;期货（ln）'!N27-'中国汇率&amp;期货（ln）'!N46</f>
      </c>
      <c r="O27" s="12">
        <f>'中国汇率&amp;期货（ln）'!O27-'中国汇率&amp;期货（ln）'!O46</f>
      </c>
      <c r="P27" s="12">
        <f>'中国汇率&amp;期货（ln）'!P27-'中国汇率&amp;期货（ln）'!P46</f>
      </c>
      <c r="Q27" s="12">
        <f>'中国汇率&amp;期货（ln）'!Q27-'中国汇率&amp;期货（ln）'!Q46</f>
      </c>
      <c r="R27" s="12">
        <f>'中国汇率&amp;期货（ln）'!R27-'中国汇率&amp;期货（ln）'!R46</f>
      </c>
      <c r="S27" s="12">
        <f>'中国汇率&amp;期货（ln）'!S27-'中国汇率&amp;期货（ln）'!S46</f>
      </c>
      <c r="T27" s="12">
        <f>'中国汇率&amp;期货（ln）'!T27-'中国汇率&amp;期货（ln）'!T46</f>
      </c>
      <c r="U27" s="12">
        <f>'中国汇率&amp;期货（ln）'!U27-'中国汇率&amp;期货（ln）'!U46</f>
      </c>
      <c r="V27" s="12">
        <f>'中国汇率&amp;期货（ln）'!V27-'中国汇率&amp;期货（ln）'!V46</f>
      </c>
      <c r="W27" s="12">
        <f>'中国汇率&amp;期货（ln）'!W27-'中国汇率&amp;期货（ln）'!W46</f>
      </c>
      <c r="X27" s="12">
        <f>'中国汇率&amp;期货（ln）'!X27-'中国汇率&amp;期货（ln）'!X46</f>
      </c>
      <c r="Y27" s="12">
        <f>'中国汇率&amp;期货（ln）'!Y27-'中国汇率&amp;期货（ln）'!Y46</f>
      </c>
      <c r="Z27" s="12">
        <f>'中国汇率&amp;期货（ln）'!Z27-'中国汇率&amp;期货（ln）'!Z46</f>
      </c>
      <c r="AA27" s="12">
        <f>'中国汇率&amp;期货（ln）'!AA27-'中国汇率&amp;期货（ln）'!AA46</f>
      </c>
      <c r="AB27" s="12">
        <f>'中国汇率&amp;期货（ln）'!AB27-'中国汇率&amp;期货（ln）'!AB46</f>
      </c>
      <c r="AC27" s="12">
        <f>'中国汇率&amp;期货（ln）'!AC27-'中国汇率&amp;期货（ln）'!AC46</f>
      </c>
      <c r="AD27" s="12">
        <f>'中国汇率&amp;期货（ln）'!AD27-'中国汇率&amp;期货（ln）'!AD46</f>
      </c>
      <c r="AE27" s="12">
        <f>'中国汇率&amp;期货（ln）'!AE27-'中国汇率&amp;期货（ln）'!AE46</f>
      </c>
      <c r="AF27" s="12">
        <f>'中国汇率&amp;期货（ln）'!AF27-'中国汇率&amp;期货（ln）'!AF46</f>
      </c>
      <c r="AG27" s="12">
        <f>'中国汇率&amp;期货（ln）'!AG27-'中国汇率&amp;期货（ln）'!AG46</f>
      </c>
      <c r="AH27" s="12">
        <f>'中国汇率&amp;期货（ln）'!AH27-'中国汇率&amp;期货（ln）'!AH46</f>
      </c>
      <c r="AI27" s="12">
        <f>'中国汇率&amp;期货（ln）'!AI27-'中国汇率&amp;期货（ln）'!AI46</f>
      </c>
      <c r="AJ27" s="12">
        <f>'中国汇率&amp;期货（ln）'!AJ27-'中国汇率&amp;期货（ln）'!AJ46</f>
      </c>
      <c r="AK27" s="12">
        <f>'中国汇率&amp;期货（ln）'!AK27-'中国汇率&amp;期货（ln）'!AK46</f>
      </c>
      <c r="AL27" s="12">
        <f>'中国汇率&amp;期货（ln）'!AL27-'中国汇率&amp;期货（ln）'!AL46</f>
      </c>
      <c r="AM27" s="12">
        <f>'中国汇率&amp;期货（ln）'!AM27-'中国汇率&amp;期货（ln）'!AM46</f>
      </c>
      <c r="AN27" s="12">
        <f>'中国汇率&amp;期货（ln）'!AN27-'中国汇率&amp;期货（ln）'!AN46</f>
      </c>
      <c r="AO27" s="12">
        <f>'中国汇率&amp;期货（ln）'!AO27-'中国汇率&amp;期货（ln）'!AO46</f>
      </c>
      <c r="AP27" s="12">
        <f>'中国汇率&amp;期货（ln）'!AP27-'中国汇率&amp;期货（ln）'!AP46</f>
      </c>
      <c r="AQ27" s="12">
        <f>'中国汇率&amp;期货（ln）'!AQ27-'中国汇率&amp;期货（ln）'!AQ46</f>
      </c>
      <c r="AR27" s="12">
        <f>'中国汇率&amp;期货（ln）'!AR27-'中国汇率&amp;期货（ln）'!AR46</f>
      </c>
      <c r="AS27" s="12">
        <f>'中国汇率&amp;期货（ln）'!AS27-'中国汇率&amp;期货（ln）'!AS46</f>
      </c>
      <c r="AT27" s="12">
        <f>'中国汇率&amp;期货（ln）'!AT27-'中国汇率&amp;期货（ln）'!AT46</f>
      </c>
      <c r="AU27" s="12">
        <f>'中国汇率&amp;期货（ln）'!AU27-'中国汇率&amp;期货（ln）'!AU46</f>
      </c>
      <c r="AV27" s="12">
        <f>'中国汇率&amp;期货（ln）'!AV27-'中国汇率&amp;期货（ln）'!AV46</f>
      </c>
      <c r="AW27" s="12">
        <f>'中国汇率&amp;期货（ln）'!AW27-'中国汇率&amp;期货（ln）'!AW46</f>
      </c>
      <c r="AX27" s="12">
        <f>'中国汇率&amp;期货（ln）'!AX27-'中国汇率&amp;期货（ln）'!AX46</f>
      </c>
      <c r="AY27" s="12">
        <f>'中国汇率&amp;期货（ln）'!AY27-'中国汇率&amp;期货（ln）'!AY46</f>
      </c>
      <c r="AZ27" s="12">
        <f>'中国汇率&amp;期货（ln）'!AZ27-'中国汇率&amp;期货（ln）'!AZ46</f>
      </c>
      <c r="BA27" s="12">
        <f>'中国汇率&amp;期货（ln）'!BA27-'中国汇率&amp;期货（ln）'!BA46</f>
      </c>
      <c r="BB27" s="12">
        <f>'中国汇率&amp;期货（ln）'!BB27-'中国汇率&amp;期货（ln）'!BB46</f>
      </c>
      <c r="BC27" s="12">
        <f>'中国汇率&amp;期货（ln）'!BC27-'中国汇率&amp;期货（ln）'!BC46</f>
      </c>
      <c r="BD27" s="12">
        <f>'中国汇率&amp;期货（ln）'!BD27-'中国汇率&amp;期货（ln）'!BD46</f>
      </c>
      <c r="BE27" s="12">
        <f>'中国汇率&amp;期货（ln）'!BE27-'中国汇率&amp;期货（ln）'!BE46</f>
      </c>
    </row>
    <row x14ac:dyDescent="0.25" r="28" customHeight="1" ht="18.75">
      <c r="A28" s="1"/>
      <c r="B28" s="12">
        <f>'中国汇率&amp;期货（ln）'!B28-'中国汇率&amp;期货（ln）'!B47</f>
      </c>
      <c r="C28" s="12">
        <f>'中国汇率&amp;期货（ln）'!C28-'中国汇率&amp;期货（ln）'!C47</f>
      </c>
      <c r="D28" s="12">
        <f>'中国汇率&amp;期货（ln）'!D28-'中国汇率&amp;期货（ln）'!D47</f>
      </c>
      <c r="E28" s="12">
        <f>'中国汇率&amp;期货（ln）'!E28-'中国汇率&amp;期货（ln）'!E47</f>
      </c>
      <c r="F28" s="12">
        <f>'中国汇率&amp;期货（ln）'!F28-'中国汇率&amp;期货（ln）'!F47</f>
      </c>
      <c r="G28" s="12">
        <f>'中国汇率&amp;期货（ln）'!G28-'中国汇率&amp;期货（ln）'!G47</f>
      </c>
      <c r="H28" s="12">
        <f>'中国汇率&amp;期货（ln）'!H28-'中国汇率&amp;期货（ln）'!H47</f>
      </c>
      <c r="I28" s="12">
        <f>'中国汇率&amp;期货（ln）'!I28-'中国汇率&amp;期货（ln）'!I47</f>
      </c>
      <c r="J28" s="12">
        <f>'中国汇率&amp;期货（ln）'!J28-'中国汇率&amp;期货（ln）'!J47</f>
      </c>
      <c r="K28" s="12">
        <f>'中国汇率&amp;期货（ln）'!K28-'中国汇率&amp;期货（ln）'!K47</f>
      </c>
      <c r="L28" s="12">
        <f>'中国汇率&amp;期货（ln）'!L28-'中国汇率&amp;期货（ln）'!L47</f>
      </c>
      <c r="M28" s="12">
        <f>'中国汇率&amp;期货（ln）'!M28-'中国汇率&amp;期货（ln）'!M47</f>
      </c>
      <c r="N28" s="12">
        <f>'中国汇率&amp;期货（ln）'!N28-'中国汇率&amp;期货（ln）'!N47</f>
      </c>
      <c r="O28" s="12">
        <f>'中国汇率&amp;期货（ln）'!O28-'中国汇率&amp;期货（ln）'!O47</f>
      </c>
      <c r="P28" s="12">
        <f>'中国汇率&amp;期货（ln）'!P28-'中国汇率&amp;期货（ln）'!P47</f>
      </c>
      <c r="Q28" s="12">
        <f>'中国汇率&amp;期货（ln）'!Q28-'中国汇率&amp;期货（ln）'!Q47</f>
      </c>
      <c r="R28" s="12">
        <f>'中国汇率&amp;期货（ln）'!R28-'中国汇率&amp;期货（ln）'!R47</f>
      </c>
      <c r="S28" s="12">
        <f>'中国汇率&amp;期货（ln）'!S28-'中国汇率&amp;期货（ln）'!S47</f>
      </c>
      <c r="T28" s="12">
        <f>'中国汇率&amp;期货（ln）'!T28-'中国汇率&amp;期货（ln）'!T47</f>
      </c>
      <c r="U28" s="12">
        <f>'中国汇率&amp;期货（ln）'!U28-'中国汇率&amp;期货（ln）'!U47</f>
      </c>
      <c r="V28" s="12">
        <f>'中国汇率&amp;期货（ln）'!V28-'中国汇率&amp;期货（ln）'!V47</f>
      </c>
      <c r="W28" s="12">
        <f>'中国汇率&amp;期货（ln）'!W28-'中国汇率&amp;期货（ln）'!W47</f>
      </c>
      <c r="X28" s="12">
        <f>'中国汇率&amp;期货（ln）'!X28-'中国汇率&amp;期货（ln）'!X47</f>
      </c>
      <c r="Y28" s="12">
        <f>'中国汇率&amp;期货（ln）'!Y28-'中国汇率&amp;期货（ln）'!Y47</f>
      </c>
      <c r="Z28" s="12">
        <f>'中国汇率&amp;期货（ln）'!Z28-'中国汇率&amp;期货（ln）'!Z47</f>
      </c>
      <c r="AA28" s="12">
        <f>'中国汇率&amp;期货（ln）'!AA28-'中国汇率&amp;期货（ln）'!AA47</f>
      </c>
      <c r="AB28" s="12">
        <f>'中国汇率&amp;期货（ln）'!AB28-'中国汇率&amp;期货（ln）'!AB47</f>
      </c>
      <c r="AC28" s="12">
        <f>'中国汇率&amp;期货（ln）'!AC28-'中国汇率&amp;期货（ln）'!AC47</f>
      </c>
      <c r="AD28" s="12">
        <f>'中国汇率&amp;期货（ln）'!AD28-'中国汇率&amp;期货（ln）'!AD47</f>
      </c>
      <c r="AE28" s="12">
        <f>'中国汇率&amp;期货（ln）'!AE28-'中国汇率&amp;期货（ln）'!AE47</f>
      </c>
      <c r="AF28" s="12">
        <f>'中国汇率&amp;期货（ln）'!AF28-'中国汇率&amp;期货（ln）'!AF47</f>
      </c>
      <c r="AG28" s="12">
        <f>'中国汇率&amp;期货（ln）'!AG28-'中国汇率&amp;期货（ln）'!AG47</f>
      </c>
      <c r="AH28" s="12">
        <f>'中国汇率&amp;期货（ln）'!AH28-'中国汇率&amp;期货（ln）'!AH47</f>
      </c>
      <c r="AI28" s="12">
        <f>'中国汇率&amp;期货（ln）'!AI28-'中国汇率&amp;期货（ln）'!AI47</f>
      </c>
      <c r="AJ28" s="12">
        <f>'中国汇率&amp;期货（ln）'!AJ28-'中国汇率&amp;期货（ln）'!AJ47</f>
      </c>
      <c r="AK28" s="12">
        <f>'中国汇率&amp;期货（ln）'!AK28-'中国汇率&amp;期货（ln）'!AK47</f>
      </c>
      <c r="AL28" s="12">
        <f>'中国汇率&amp;期货（ln）'!AL28-'中国汇率&amp;期货（ln）'!AL47</f>
      </c>
      <c r="AM28" s="12">
        <f>'中国汇率&amp;期货（ln）'!AM28-'中国汇率&amp;期货（ln）'!AM47</f>
      </c>
      <c r="AN28" s="12">
        <f>'中国汇率&amp;期货（ln）'!AN28-'中国汇率&amp;期货（ln）'!AN47</f>
      </c>
      <c r="AO28" s="12">
        <f>'中国汇率&amp;期货（ln）'!AO28-'中国汇率&amp;期货（ln）'!AO47</f>
      </c>
      <c r="AP28" s="12">
        <f>'中国汇率&amp;期货（ln）'!AP28-'中国汇率&amp;期货（ln）'!AP47</f>
      </c>
      <c r="AQ28" s="12">
        <f>'中国汇率&amp;期货（ln）'!AQ28-'中国汇率&amp;期货（ln）'!AQ47</f>
      </c>
      <c r="AR28" s="12">
        <f>'中国汇率&amp;期货（ln）'!AR28-'中国汇率&amp;期货（ln）'!AR47</f>
      </c>
      <c r="AS28" s="12">
        <f>'中国汇率&amp;期货（ln）'!AS28-'中国汇率&amp;期货（ln）'!AS47</f>
      </c>
      <c r="AT28" s="12">
        <f>'中国汇率&amp;期货（ln）'!AT28-'中国汇率&amp;期货（ln）'!AT47</f>
      </c>
      <c r="AU28" s="12">
        <f>'中国汇率&amp;期货（ln）'!AU28-'中国汇率&amp;期货（ln）'!AU47</f>
      </c>
      <c r="AV28" s="12">
        <f>'中国汇率&amp;期货（ln）'!AV28-'中国汇率&amp;期货（ln）'!AV47</f>
      </c>
      <c r="AW28" s="12">
        <f>'中国汇率&amp;期货（ln）'!AW28-'中国汇率&amp;期货（ln）'!AW47</f>
      </c>
      <c r="AX28" s="12">
        <f>'中国汇率&amp;期货（ln）'!AX28-'中国汇率&amp;期货（ln）'!AX47</f>
      </c>
      <c r="AY28" s="12">
        <f>'中国汇率&amp;期货（ln）'!AY28-'中国汇率&amp;期货（ln）'!AY47</f>
      </c>
      <c r="AZ28" s="12">
        <f>'中国汇率&amp;期货（ln）'!AZ28-'中国汇率&amp;期货（ln）'!AZ47</f>
      </c>
      <c r="BA28" s="12">
        <f>'中国汇率&amp;期货（ln）'!BA28-'中国汇率&amp;期货（ln）'!BA47</f>
      </c>
      <c r="BB28" s="12">
        <f>'中国汇率&amp;期货（ln）'!BB28-'中国汇率&amp;期货（ln）'!BB47</f>
      </c>
      <c r="BC28" s="12">
        <f>'中国汇率&amp;期货（ln）'!BC28-'中国汇率&amp;期货（ln）'!BC47</f>
      </c>
      <c r="BD28" s="12">
        <f>'中国汇率&amp;期货（ln）'!BD28-'中国汇率&amp;期货（ln）'!BD47</f>
      </c>
      <c r="BE28" s="12">
        <f>'中国汇率&amp;期货（ln）'!BE28-'中国汇率&amp;期货（ln）'!BE47</f>
      </c>
    </row>
    <row x14ac:dyDescent="0.25" r="29" customHeight="1" ht="18.75">
      <c r="A29" s="1"/>
      <c r="B29" s="12">
        <f>'中国汇率&amp;期货（ln）'!B29-'中国汇率&amp;期货（ln）'!B48</f>
      </c>
      <c r="C29" s="12">
        <f>'中国汇率&amp;期货（ln）'!C29-'中国汇率&amp;期货（ln）'!C48</f>
      </c>
      <c r="D29" s="12">
        <f>'中国汇率&amp;期货（ln）'!D29-'中国汇率&amp;期货（ln）'!D48</f>
      </c>
      <c r="E29" s="12">
        <f>'中国汇率&amp;期货（ln）'!E29-'中国汇率&amp;期货（ln）'!E48</f>
      </c>
      <c r="F29" s="12">
        <f>'中国汇率&amp;期货（ln）'!F29-'中国汇率&amp;期货（ln）'!F48</f>
      </c>
      <c r="G29" s="12">
        <f>'中国汇率&amp;期货（ln）'!G29-'中国汇率&amp;期货（ln）'!G48</f>
      </c>
      <c r="H29" s="12">
        <f>'中国汇率&amp;期货（ln）'!H29-'中国汇率&amp;期货（ln）'!H48</f>
      </c>
      <c r="I29" s="12">
        <f>'中国汇率&amp;期货（ln）'!I29-'中国汇率&amp;期货（ln）'!I48</f>
      </c>
      <c r="J29" s="12">
        <f>'中国汇率&amp;期货（ln）'!J29-'中国汇率&amp;期货（ln）'!J48</f>
      </c>
      <c r="K29" s="12">
        <f>'中国汇率&amp;期货（ln）'!K29-'中国汇率&amp;期货（ln）'!K48</f>
      </c>
      <c r="L29" s="12">
        <f>'中国汇率&amp;期货（ln）'!L29-'中国汇率&amp;期货（ln）'!L48</f>
      </c>
      <c r="M29" s="12">
        <f>'中国汇率&amp;期货（ln）'!M29-'中国汇率&amp;期货（ln）'!M48</f>
      </c>
      <c r="N29" s="12">
        <f>'中国汇率&amp;期货（ln）'!N29-'中国汇率&amp;期货（ln）'!N48</f>
      </c>
      <c r="O29" s="12">
        <f>'中国汇率&amp;期货（ln）'!O29-'中国汇率&amp;期货（ln）'!O48</f>
      </c>
      <c r="P29" s="12">
        <f>'中国汇率&amp;期货（ln）'!P29-'中国汇率&amp;期货（ln）'!P48</f>
      </c>
      <c r="Q29" s="12">
        <f>'中国汇率&amp;期货（ln）'!Q29-'中国汇率&amp;期货（ln）'!Q48</f>
      </c>
      <c r="R29" s="12">
        <f>'中国汇率&amp;期货（ln）'!R29-'中国汇率&amp;期货（ln）'!R48</f>
      </c>
      <c r="S29" s="12">
        <f>'中国汇率&amp;期货（ln）'!S29-'中国汇率&amp;期货（ln）'!S48</f>
      </c>
      <c r="T29" s="12">
        <f>'中国汇率&amp;期货（ln）'!T29-'中国汇率&amp;期货（ln）'!T48</f>
      </c>
      <c r="U29" s="12">
        <f>'中国汇率&amp;期货（ln）'!U29-'中国汇率&amp;期货（ln）'!U48</f>
      </c>
      <c r="V29" s="12">
        <f>'中国汇率&amp;期货（ln）'!V29-'中国汇率&amp;期货（ln）'!V48</f>
      </c>
      <c r="W29" s="12">
        <f>'中国汇率&amp;期货（ln）'!W29-'中国汇率&amp;期货（ln）'!W48</f>
      </c>
      <c r="X29" s="12">
        <f>'中国汇率&amp;期货（ln）'!X29-'中国汇率&amp;期货（ln）'!X48</f>
      </c>
      <c r="Y29" s="12">
        <f>'中国汇率&amp;期货（ln）'!Y29-'中国汇率&amp;期货（ln）'!Y48</f>
      </c>
      <c r="Z29" s="12">
        <f>'中国汇率&amp;期货（ln）'!Z29-'中国汇率&amp;期货（ln）'!Z48</f>
      </c>
      <c r="AA29" s="12">
        <f>'中国汇率&amp;期货（ln）'!AA29-'中国汇率&amp;期货（ln）'!AA48</f>
      </c>
      <c r="AB29" s="12">
        <f>'中国汇率&amp;期货（ln）'!AB29-'中国汇率&amp;期货（ln）'!AB48</f>
      </c>
      <c r="AC29" s="12">
        <f>'中国汇率&amp;期货（ln）'!AC29-'中国汇率&amp;期货（ln）'!AC48</f>
      </c>
      <c r="AD29" s="12">
        <f>'中国汇率&amp;期货（ln）'!AD29-'中国汇率&amp;期货（ln）'!AD48</f>
      </c>
      <c r="AE29" s="12">
        <f>'中国汇率&amp;期货（ln）'!AE29-'中国汇率&amp;期货（ln）'!AE48</f>
      </c>
      <c r="AF29" s="12">
        <f>'中国汇率&amp;期货（ln）'!AF29-'中国汇率&amp;期货（ln）'!AF48</f>
      </c>
      <c r="AG29" s="12">
        <f>'中国汇率&amp;期货（ln）'!AG29-'中国汇率&amp;期货（ln）'!AG48</f>
      </c>
      <c r="AH29" s="12">
        <f>'中国汇率&amp;期货（ln）'!AH29-'中国汇率&amp;期货（ln）'!AH48</f>
      </c>
      <c r="AI29" s="12">
        <f>'中国汇率&amp;期货（ln）'!AI29-'中国汇率&amp;期货（ln）'!AI48</f>
      </c>
      <c r="AJ29" s="12">
        <f>'中国汇率&amp;期货（ln）'!AJ29-'中国汇率&amp;期货（ln）'!AJ48</f>
      </c>
      <c r="AK29" s="12">
        <f>'中国汇率&amp;期货（ln）'!AK29-'中国汇率&amp;期货（ln）'!AK48</f>
      </c>
      <c r="AL29" s="12">
        <f>'中国汇率&amp;期货（ln）'!AL29-'中国汇率&amp;期货（ln）'!AL48</f>
      </c>
      <c r="AM29" s="12">
        <f>'中国汇率&amp;期货（ln）'!AM29-'中国汇率&amp;期货（ln）'!AM48</f>
      </c>
      <c r="AN29" s="12">
        <f>'中国汇率&amp;期货（ln）'!AN29-'中国汇率&amp;期货（ln）'!AN48</f>
      </c>
      <c r="AO29" s="12">
        <f>'中国汇率&amp;期货（ln）'!AO29-'中国汇率&amp;期货（ln）'!AO48</f>
      </c>
      <c r="AP29" s="12">
        <f>'中国汇率&amp;期货（ln）'!AP29-'中国汇率&amp;期货（ln）'!AP48</f>
      </c>
      <c r="AQ29" s="12">
        <f>'中国汇率&amp;期货（ln）'!AQ29-'中国汇率&amp;期货（ln）'!AQ48</f>
      </c>
      <c r="AR29" s="12">
        <f>'中国汇率&amp;期货（ln）'!AR29-'中国汇率&amp;期货（ln）'!AR48</f>
      </c>
      <c r="AS29" s="12">
        <f>'中国汇率&amp;期货（ln）'!AS29-'中国汇率&amp;期货（ln）'!AS48</f>
      </c>
      <c r="AT29" s="12">
        <f>'中国汇率&amp;期货（ln）'!AT29-'中国汇率&amp;期货（ln）'!AT48</f>
      </c>
      <c r="AU29" s="12">
        <f>'中国汇率&amp;期货（ln）'!AU29-'中国汇率&amp;期货（ln）'!AU48</f>
      </c>
      <c r="AV29" s="12">
        <f>'中国汇率&amp;期货（ln）'!AV29-'中国汇率&amp;期货（ln）'!AV48</f>
      </c>
      <c r="AW29" s="12">
        <f>'中国汇率&amp;期货（ln）'!AW29-'中国汇率&amp;期货（ln）'!AW48</f>
      </c>
      <c r="AX29" s="12">
        <f>'中国汇率&amp;期货（ln）'!AX29-'中国汇率&amp;期货（ln）'!AX48</f>
      </c>
      <c r="AY29" s="12">
        <f>'中国汇率&amp;期货（ln）'!AY29-'中国汇率&amp;期货（ln）'!AY48</f>
      </c>
      <c r="AZ29" s="12">
        <f>'中国汇率&amp;期货（ln）'!AZ29-'中国汇率&amp;期货（ln）'!AZ48</f>
      </c>
      <c r="BA29" s="12">
        <f>'中国汇率&amp;期货（ln）'!BA29-'中国汇率&amp;期货（ln）'!BA48</f>
      </c>
      <c r="BB29" s="12">
        <f>'中国汇率&amp;期货（ln）'!BB29-'中国汇率&amp;期货（ln）'!BB48</f>
      </c>
      <c r="BC29" s="12">
        <f>'中国汇率&amp;期货（ln）'!BC29-'中国汇率&amp;期货（ln）'!BC48</f>
      </c>
      <c r="BD29" s="12">
        <f>'中国汇率&amp;期货（ln）'!BD29-'中国汇率&amp;期货（ln）'!BD48</f>
      </c>
      <c r="BE29" s="12">
        <f>'中国汇率&amp;期货（ln）'!BE29-'中国汇率&amp;期货（ln）'!BE48</f>
      </c>
    </row>
    <row x14ac:dyDescent="0.25" r="30" customHeight="1" ht="18.75">
      <c r="A30" s="1"/>
      <c r="B30" s="12">
        <f>'中国汇率&amp;期货（ln）'!B30-'中国汇率&amp;期货（ln）'!B49</f>
      </c>
      <c r="C30" s="12">
        <f>'中国汇率&amp;期货（ln）'!C30-'中国汇率&amp;期货（ln）'!C49</f>
      </c>
      <c r="D30" s="12">
        <f>'中国汇率&amp;期货（ln）'!D30-'中国汇率&amp;期货（ln）'!D49</f>
      </c>
      <c r="E30" s="12">
        <f>'中国汇率&amp;期货（ln）'!E30-'中国汇率&amp;期货（ln）'!E49</f>
      </c>
      <c r="F30" s="12">
        <f>'中国汇率&amp;期货（ln）'!F30-'中国汇率&amp;期货（ln）'!F49</f>
      </c>
      <c r="G30" s="12">
        <f>'中国汇率&amp;期货（ln）'!G30-'中国汇率&amp;期货（ln）'!G49</f>
      </c>
      <c r="H30" s="12">
        <f>'中国汇率&amp;期货（ln）'!H30-'中国汇率&amp;期货（ln）'!H49</f>
      </c>
      <c r="I30" s="12">
        <f>'中国汇率&amp;期货（ln）'!I30-'中国汇率&amp;期货（ln）'!I49</f>
      </c>
      <c r="J30" s="12">
        <f>'中国汇率&amp;期货（ln）'!J30-'中国汇率&amp;期货（ln）'!J49</f>
      </c>
      <c r="K30" s="12">
        <f>'中国汇率&amp;期货（ln）'!K30-'中国汇率&amp;期货（ln）'!K49</f>
      </c>
      <c r="L30" s="12">
        <f>'中国汇率&amp;期货（ln）'!L30-'中国汇率&amp;期货（ln）'!L49</f>
      </c>
      <c r="M30" s="12">
        <f>'中国汇率&amp;期货（ln）'!M30-'中国汇率&amp;期货（ln）'!M49</f>
      </c>
      <c r="N30" s="12">
        <f>'中国汇率&amp;期货（ln）'!N30-'中国汇率&amp;期货（ln）'!N49</f>
      </c>
      <c r="O30" s="12">
        <f>'中国汇率&amp;期货（ln）'!O30-'中国汇率&amp;期货（ln）'!O49</f>
      </c>
      <c r="P30" s="12">
        <f>'中国汇率&amp;期货（ln）'!P30-'中国汇率&amp;期货（ln）'!P49</f>
      </c>
      <c r="Q30" s="12">
        <f>'中国汇率&amp;期货（ln）'!Q30-'中国汇率&amp;期货（ln）'!Q49</f>
      </c>
      <c r="R30" s="12">
        <f>'中国汇率&amp;期货（ln）'!R30-'中国汇率&amp;期货（ln）'!R49</f>
      </c>
      <c r="S30" s="12">
        <f>'中国汇率&amp;期货（ln）'!S30-'中国汇率&amp;期货（ln）'!S49</f>
      </c>
      <c r="T30" s="12">
        <f>'中国汇率&amp;期货（ln）'!T30-'中国汇率&amp;期货（ln）'!T49</f>
      </c>
      <c r="U30" s="12">
        <f>'中国汇率&amp;期货（ln）'!U30-'中国汇率&amp;期货（ln）'!U49</f>
      </c>
      <c r="V30" s="12">
        <f>'中国汇率&amp;期货（ln）'!V30-'中国汇率&amp;期货（ln）'!V49</f>
      </c>
      <c r="W30" s="12">
        <f>'中国汇率&amp;期货（ln）'!W30-'中国汇率&amp;期货（ln）'!W49</f>
      </c>
      <c r="X30" s="12">
        <f>'中国汇率&amp;期货（ln）'!X30-'中国汇率&amp;期货（ln）'!X49</f>
      </c>
      <c r="Y30" s="12">
        <f>'中国汇率&amp;期货（ln）'!Y30-'中国汇率&amp;期货（ln）'!Y49</f>
      </c>
      <c r="Z30" s="12">
        <f>'中国汇率&amp;期货（ln）'!Z30-'中国汇率&amp;期货（ln）'!Z49</f>
      </c>
      <c r="AA30" s="12">
        <f>'中国汇率&amp;期货（ln）'!AA30-'中国汇率&amp;期货（ln）'!AA49</f>
      </c>
      <c r="AB30" s="12">
        <f>'中国汇率&amp;期货（ln）'!AB30-'中国汇率&amp;期货（ln）'!AB49</f>
      </c>
      <c r="AC30" s="12">
        <f>'中国汇率&amp;期货（ln）'!AC30-'中国汇率&amp;期货（ln）'!AC49</f>
      </c>
      <c r="AD30" s="12">
        <f>'中国汇率&amp;期货（ln）'!AD30-'中国汇率&amp;期货（ln）'!AD49</f>
      </c>
      <c r="AE30" s="12">
        <f>'中国汇率&amp;期货（ln）'!AE30-'中国汇率&amp;期货（ln）'!AE49</f>
      </c>
      <c r="AF30" s="12">
        <f>'中国汇率&amp;期货（ln）'!AF30-'中国汇率&amp;期货（ln）'!AF49</f>
      </c>
      <c r="AG30" s="12">
        <f>'中国汇率&amp;期货（ln）'!AG30-'中国汇率&amp;期货（ln）'!AG49</f>
      </c>
      <c r="AH30" s="12">
        <f>'中国汇率&amp;期货（ln）'!AH30-'中国汇率&amp;期货（ln）'!AH49</f>
      </c>
      <c r="AI30" s="12">
        <f>'中国汇率&amp;期货（ln）'!AI30-'中国汇率&amp;期货（ln）'!AI49</f>
      </c>
      <c r="AJ30" s="12">
        <f>'中国汇率&amp;期货（ln）'!AJ30-'中国汇率&amp;期货（ln）'!AJ49</f>
      </c>
      <c r="AK30" s="12">
        <f>'中国汇率&amp;期货（ln）'!AK30-'中国汇率&amp;期货（ln）'!AK49</f>
      </c>
      <c r="AL30" s="12">
        <f>'中国汇率&amp;期货（ln）'!AL30-'中国汇率&amp;期货（ln）'!AL49</f>
      </c>
      <c r="AM30" s="12">
        <f>'中国汇率&amp;期货（ln）'!AM30-'中国汇率&amp;期货（ln）'!AM49</f>
      </c>
      <c r="AN30" s="12">
        <f>'中国汇率&amp;期货（ln）'!AN30-'中国汇率&amp;期货（ln）'!AN49</f>
      </c>
      <c r="AO30" s="12">
        <f>'中国汇率&amp;期货（ln）'!AO30-'中国汇率&amp;期货（ln）'!AO49</f>
      </c>
      <c r="AP30" s="12">
        <f>'中国汇率&amp;期货（ln）'!AP30-'中国汇率&amp;期货（ln）'!AP49</f>
      </c>
      <c r="AQ30" s="12">
        <f>'中国汇率&amp;期货（ln）'!AQ30-'中国汇率&amp;期货（ln）'!AQ49</f>
      </c>
      <c r="AR30" s="12">
        <f>'中国汇率&amp;期货（ln）'!AR30-'中国汇率&amp;期货（ln）'!AR49</f>
      </c>
      <c r="AS30" s="12">
        <f>'中国汇率&amp;期货（ln）'!AS30-'中国汇率&amp;期货（ln）'!AS49</f>
      </c>
      <c r="AT30" s="12">
        <f>'中国汇率&amp;期货（ln）'!AT30-'中国汇率&amp;期货（ln）'!AT49</f>
      </c>
      <c r="AU30" s="12">
        <f>'中国汇率&amp;期货（ln）'!AU30-'中国汇率&amp;期货（ln）'!AU49</f>
      </c>
      <c r="AV30" s="12">
        <f>'中国汇率&amp;期货（ln）'!AV30-'中国汇率&amp;期货（ln）'!AV49</f>
      </c>
      <c r="AW30" s="12">
        <f>'中国汇率&amp;期货（ln）'!AW30-'中国汇率&amp;期货（ln）'!AW49</f>
      </c>
      <c r="AX30" s="12">
        <f>'中国汇率&amp;期货（ln）'!AX30-'中国汇率&amp;期货（ln）'!AX49</f>
      </c>
      <c r="AY30" s="12">
        <f>'中国汇率&amp;期货（ln）'!AY30-'中国汇率&amp;期货（ln）'!AY49</f>
      </c>
      <c r="AZ30" s="12">
        <f>'中国汇率&amp;期货（ln）'!AZ30-'中国汇率&amp;期货（ln）'!AZ49</f>
      </c>
      <c r="BA30" s="12">
        <f>'中国汇率&amp;期货（ln）'!BA30-'中国汇率&amp;期货（ln）'!BA49</f>
      </c>
      <c r="BB30" s="12">
        <f>'中国汇率&amp;期货（ln）'!BB30-'中国汇率&amp;期货（ln）'!BB49</f>
      </c>
      <c r="BC30" s="12">
        <f>'中国汇率&amp;期货（ln）'!BC30-'中国汇率&amp;期货（ln）'!BC49</f>
      </c>
      <c r="BD30" s="12">
        <f>'中国汇率&amp;期货（ln）'!BD30-'中国汇率&amp;期货（ln）'!BD49</f>
      </c>
      <c r="BE30" s="12">
        <f>'中国汇率&amp;期货（ln）'!BE30-'中国汇率&amp;期货（ln）'!BE49</f>
      </c>
    </row>
    <row x14ac:dyDescent="0.25" r="31" customHeight="1" ht="18.75">
      <c r="A31" s="1"/>
      <c r="B31" s="12">
        <f>'中国汇率&amp;期货（ln）'!B31-'中国汇率&amp;期货（ln）'!B50</f>
      </c>
      <c r="C31" s="12">
        <f>'中国汇率&amp;期货（ln）'!C31-'中国汇率&amp;期货（ln）'!C50</f>
      </c>
      <c r="D31" s="12">
        <f>'中国汇率&amp;期货（ln）'!D31-'中国汇率&amp;期货（ln）'!D50</f>
      </c>
      <c r="E31" s="12">
        <f>'中国汇率&amp;期货（ln）'!E31-'中国汇率&amp;期货（ln）'!E50</f>
      </c>
      <c r="F31" s="12">
        <f>'中国汇率&amp;期货（ln）'!F31-'中国汇率&amp;期货（ln）'!F50</f>
      </c>
      <c r="G31" s="12">
        <f>'中国汇率&amp;期货（ln）'!G31-'中国汇率&amp;期货（ln）'!G50</f>
      </c>
      <c r="H31" s="12">
        <f>'中国汇率&amp;期货（ln）'!H31-'中国汇率&amp;期货（ln）'!H50</f>
      </c>
      <c r="I31" s="12">
        <f>'中国汇率&amp;期货（ln）'!I31-'中国汇率&amp;期货（ln）'!I50</f>
      </c>
      <c r="J31" s="12">
        <f>'中国汇率&amp;期货（ln）'!J31-'中国汇率&amp;期货（ln）'!J50</f>
      </c>
      <c r="K31" s="12">
        <f>'中国汇率&amp;期货（ln）'!K31-'中国汇率&amp;期货（ln）'!K50</f>
      </c>
      <c r="L31" s="12">
        <f>'中国汇率&amp;期货（ln）'!L31-'中国汇率&amp;期货（ln）'!L50</f>
      </c>
      <c r="M31" s="12">
        <f>'中国汇率&amp;期货（ln）'!M31-'中国汇率&amp;期货（ln）'!M50</f>
      </c>
      <c r="N31" s="12">
        <f>'中国汇率&amp;期货（ln）'!N31-'中国汇率&amp;期货（ln）'!N50</f>
      </c>
      <c r="O31" s="12">
        <f>'中国汇率&amp;期货（ln）'!O31-'中国汇率&amp;期货（ln）'!O50</f>
      </c>
      <c r="P31" s="12">
        <f>'中国汇率&amp;期货（ln）'!P31-'中国汇率&amp;期货（ln）'!P50</f>
      </c>
      <c r="Q31" s="12">
        <f>'中国汇率&amp;期货（ln）'!Q31-'中国汇率&amp;期货（ln）'!Q50</f>
      </c>
      <c r="R31" s="12">
        <f>'中国汇率&amp;期货（ln）'!R31-'中国汇率&amp;期货（ln）'!R50</f>
      </c>
      <c r="S31" s="12">
        <f>'中国汇率&amp;期货（ln）'!S31-'中国汇率&amp;期货（ln）'!S50</f>
      </c>
      <c r="T31" s="12">
        <f>'中国汇率&amp;期货（ln）'!T31-'中国汇率&amp;期货（ln）'!T50</f>
      </c>
      <c r="U31" s="12">
        <f>'中国汇率&amp;期货（ln）'!U31-'中国汇率&amp;期货（ln）'!U50</f>
      </c>
      <c r="V31" s="12">
        <f>'中国汇率&amp;期货（ln）'!V31-'中国汇率&amp;期货（ln）'!V50</f>
      </c>
      <c r="W31" s="12">
        <f>'中国汇率&amp;期货（ln）'!W31-'中国汇率&amp;期货（ln）'!W50</f>
      </c>
      <c r="X31" s="12">
        <f>'中国汇率&amp;期货（ln）'!X31-'中国汇率&amp;期货（ln）'!X50</f>
      </c>
      <c r="Y31" s="12">
        <f>'中国汇率&amp;期货（ln）'!Y31-'中国汇率&amp;期货（ln）'!Y50</f>
      </c>
      <c r="Z31" s="12">
        <f>'中国汇率&amp;期货（ln）'!Z31-'中国汇率&amp;期货（ln）'!Z50</f>
      </c>
      <c r="AA31" s="12">
        <f>'中国汇率&amp;期货（ln）'!AA31-'中国汇率&amp;期货（ln）'!AA50</f>
      </c>
      <c r="AB31" s="12">
        <f>'中国汇率&amp;期货（ln）'!AB31-'中国汇率&amp;期货（ln）'!AB50</f>
      </c>
      <c r="AC31" s="12">
        <f>'中国汇率&amp;期货（ln）'!AC31-'中国汇率&amp;期货（ln）'!AC50</f>
      </c>
      <c r="AD31" s="12">
        <f>'中国汇率&amp;期货（ln）'!AD31-'中国汇率&amp;期货（ln）'!AD50</f>
      </c>
      <c r="AE31" s="12">
        <f>'中国汇率&amp;期货（ln）'!AE31-'中国汇率&amp;期货（ln）'!AE50</f>
      </c>
      <c r="AF31" s="12">
        <f>'中国汇率&amp;期货（ln）'!AF31-'中国汇率&amp;期货（ln）'!AF50</f>
      </c>
      <c r="AG31" s="12">
        <f>'中国汇率&amp;期货（ln）'!AG31-'中国汇率&amp;期货（ln）'!AG50</f>
      </c>
      <c r="AH31" s="12">
        <f>'中国汇率&amp;期货（ln）'!AH31-'中国汇率&amp;期货（ln）'!AH50</f>
      </c>
      <c r="AI31" s="12">
        <f>'中国汇率&amp;期货（ln）'!AI31-'中国汇率&amp;期货（ln）'!AI50</f>
      </c>
      <c r="AJ31" s="12">
        <f>'中国汇率&amp;期货（ln）'!AJ31-'中国汇率&amp;期货（ln）'!AJ50</f>
      </c>
      <c r="AK31" s="12">
        <f>'中国汇率&amp;期货（ln）'!AK31-'中国汇率&amp;期货（ln）'!AK50</f>
      </c>
      <c r="AL31" s="12">
        <f>'中国汇率&amp;期货（ln）'!AL31-'中国汇率&amp;期货（ln）'!AL50</f>
      </c>
      <c r="AM31" s="12">
        <f>'中国汇率&amp;期货（ln）'!AM31-'中国汇率&amp;期货（ln）'!AM50</f>
      </c>
      <c r="AN31" s="12">
        <f>'中国汇率&amp;期货（ln）'!AN31-'中国汇率&amp;期货（ln）'!AN50</f>
      </c>
      <c r="AO31" s="12">
        <f>'中国汇率&amp;期货（ln）'!AO31-'中国汇率&amp;期货（ln）'!AO50</f>
      </c>
      <c r="AP31" s="12">
        <f>'中国汇率&amp;期货（ln）'!AP31-'中国汇率&amp;期货（ln）'!AP50</f>
      </c>
      <c r="AQ31" s="12">
        <f>'中国汇率&amp;期货（ln）'!AQ31-'中国汇率&amp;期货（ln）'!AQ50</f>
      </c>
      <c r="AR31" s="12">
        <f>'中国汇率&amp;期货（ln）'!AR31-'中国汇率&amp;期货（ln）'!AR50</f>
      </c>
      <c r="AS31" s="12">
        <f>'中国汇率&amp;期货（ln）'!AS31-'中国汇率&amp;期货（ln）'!AS50</f>
      </c>
      <c r="AT31" s="12">
        <f>'中国汇率&amp;期货（ln）'!AT31-'中国汇率&amp;期货（ln）'!AT50</f>
      </c>
      <c r="AU31" s="12">
        <f>'中国汇率&amp;期货（ln）'!AU31-'中国汇率&amp;期货（ln）'!AU50</f>
      </c>
      <c r="AV31" s="12">
        <f>'中国汇率&amp;期货（ln）'!AV31-'中国汇率&amp;期货（ln）'!AV50</f>
      </c>
      <c r="AW31" s="12">
        <f>'中国汇率&amp;期货（ln）'!AW31-'中国汇率&amp;期货（ln）'!AW50</f>
      </c>
      <c r="AX31" s="12">
        <f>'中国汇率&amp;期货（ln）'!AX31-'中国汇率&amp;期货（ln）'!AX50</f>
      </c>
      <c r="AY31" s="12">
        <f>'中国汇率&amp;期货（ln）'!AY31-'中国汇率&amp;期货（ln）'!AY50</f>
      </c>
      <c r="AZ31" s="12">
        <f>'中国汇率&amp;期货（ln）'!AZ31-'中国汇率&amp;期货（ln）'!AZ50</f>
      </c>
      <c r="BA31" s="12">
        <f>'中国汇率&amp;期货（ln）'!BA31-'中国汇率&amp;期货（ln）'!BA50</f>
      </c>
      <c r="BB31" s="12">
        <f>'中国汇率&amp;期货（ln）'!BB31-'中国汇率&amp;期货（ln）'!BB50</f>
      </c>
      <c r="BC31" s="12">
        <f>'中国汇率&amp;期货（ln）'!BC31-'中国汇率&amp;期货（ln）'!BC50</f>
      </c>
      <c r="BD31" s="12">
        <f>'中国汇率&amp;期货（ln）'!BD31-'中国汇率&amp;期货（ln）'!BD50</f>
      </c>
      <c r="BE31" s="12">
        <f>'中国汇率&amp;期货（ln）'!BE31-'中国汇率&amp;期货（ln）'!BE50</f>
      </c>
    </row>
    <row x14ac:dyDescent="0.25" r="32" customHeight="1" ht="18.75">
      <c r="A32" s="1"/>
      <c r="B32" s="12">
        <f>'中国汇率&amp;期货（ln）'!B32-'中国汇率&amp;期货（ln）'!B51</f>
      </c>
      <c r="C32" s="12">
        <f>'中国汇率&amp;期货（ln）'!C32-'中国汇率&amp;期货（ln）'!C51</f>
      </c>
      <c r="D32" s="12">
        <f>'中国汇率&amp;期货（ln）'!D32-'中国汇率&amp;期货（ln）'!D51</f>
      </c>
      <c r="E32" s="12">
        <f>'中国汇率&amp;期货（ln）'!E32-'中国汇率&amp;期货（ln）'!E51</f>
      </c>
      <c r="F32" s="12">
        <f>'中国汇率&amp;期货（ln）'!F32-'中国汇率&amp;期货（ln）'!F51</f>
      </c>
      <c r="G32" s="12">
        <f>'中国汇率&amp;期货（ln）'!G32-'中国汇率&amp;期货（ln）'!G51</f>
      </c>
      <c r="H32" s="12">
        <f>'中国汇率&amp;期货（ln）'!H32-'中国汇率&amp;期货（ln）'!H51</f>
      </c>
      <c r="I32" s="12">
        <f>'中国汇率&amp;期货（ln）'!I32-'中国汇率&amp;期货（ln）'!I51</f>
      </c>
      <c r="J32" s="12">
        <f>'中国汇率&amp;期货（ln）'!J32-'中国汇率&amp;期货（ln）'!J51</f>
      </c>
      <c r="K32" s="12">
        <f>'中国汇率&amp;期货（ln）'!K32-'中国汇率&amp;期货（ln）'!K51</f>
      </c>
      <c r="L32" s="12">
        <f>'中国汇率&amp;期货（ln）'!L32-'中国汇率&amp;期货（ln）'!L51</f>
      </c>
      <c r="M32" s="12">
        <f>'中国汇率&amp;期货（ln）'!M32-'中国汇率&amp;期货（ln）'!M51</f>
      </c>
      <c r="N32" s="12">
        <f>'中国汇率&amp;期货（ln）'!N32-'中国汇率&amp;期货（ln）'!N51</f>
      </c>
      <c r="O32" s="12">
        <f>'中国汇率&amp;期货（ln）'!O32-'中国汇率&amp;期货（ln）'!O51</f>
      </c>
      <c r="P32" s="12">
        <f>'中国汇率&amp;期货（ln）'!P32-'中国汇率&amp;期货（ln）'!P51</f>
      </c>
      <c r="Q32" s="12">
        <f>'中国汇率&amp;期货（ln）'!Q32-'中国汇率&amp;期货（ln）'!Q51</f>
      </c>
      <c r="R32" s="12">
        <f>'中国汇率&amp;期货（ln）'!R32-'中国汇率&amp;期货（ln）'!R51</f>
      </c>
      <c r="S32" s="12">
        <f>'中国汇率&amp;期货（ln）'!S32-'中国汇率&amp;期货（ln）'!S51</f>
      </c>
      <c r="T32" s="12">
        <f>'中国汇率&amp;期货（ln）'!T32-'中国汇率&amp;期货（ln）'!T51</f>
      </c>
      <c r="U32" s="12">
        <f>'中国汇率&amp;期货（ln）'!U32-'中国汇率&amp;期货（ln）'!U51</f>
      </c>
      <c r="V32" s="12">
        <f>'中国汇率&amp;期货（ln）'!V32-'中国汇率&amp;期货（ln）'!V51</f>
      </c>
      <c r="W32" s="12">
        <f>'中国汇率&amp;期货（ln）'!W32-'中国汇率&amp;期货（ln）'!W51</f>
      </c>
      <c r="X32" s="12">
        <f>'中国汇率&amp;期货（ln）'!X32-'中国汇率&amp;期货（ln）'!X51</f>
      </c>
      <c r="Y32" s="12">
        <f>'中国汇率&amp;期货（ln）'!Y32-'中国汇率&amp;期货（ln）'!Y51</f>
      </c>
      <c r="Z32" s="12">
        <f>'中国汇率&amp;期货（ln）'!Z32-'中国汇率&amp;期货（ln）'!Z51</f>
      </c>
      <c r="AA32" s="12">
        <f>'中国汇率&amp;期货（ln）'!AA32-'中国汇率&amp;期货（ln）'!AA51</f>
      </c>
      <c r="AB32" s="12">
        <f>'中国汇率&amp;期货（ln）'!AB32-'中国汇率&amp;期货（ln）'!AB51</f>
      </c>
      <c r="AC32" s="12">
        <f>'中国汇率&amp;期货（ln）'!AC32-'中国汇率&amp;期货（ln）'!AC51</f>
      </c>
      <c r="AD32" s="12">
        <f>'中国汇率&amp;期货（ln）'!AD32-'中国汇率&amp;期货（ln）'!AD51</f>
      </c>
      <c r="AE32" s="12">
        <f>'中国汇率&amp;期货（ln）'!AE32-'中国汇率&amp;期货（ln）'!AE51</f>
      </c>
      <c r="AF32" s="12">
        <f>'中国汇率&amp;期货（ln）'!AF32-'中国汇率&amp;期货（ln）'!AF51</f>
      </c>
      <c r="AG32" s="12">
        <f>'中国汇率&amp;期货（ln）'!AG32-'中国汇率&amp;期货（ln）'!AG51</f>
      </c>
      <c r="AH32" s="12">
        <f>'中国汇率&amp;期货（ln）'!AH32-'中国汇率&amp;期货（ln）'!AH51</f>
      </c>
      <c r="AI32" s="12">
        <f>'中国汇率&amp;期货（ln）'!AI32-'中国汇率&amp;期货（ln）'!AI51</f>
      </c>
      <c r="AJ32" s="12">
        <f>'中国汇率&amp;期货（ln）'!AJ32-'中国汇率&amp;期货（ln）'!AJ51</f>
      </c>
      <c r="AK32" s="12">
        <f>'中国汇率&amp;期货（ln）'!AK32-'中国汇率&amp;期货（ln）'!AK51</f>
      </c>
      <c r="AL32" s="12">
        <f>'中国汇率&amp;期货（ln）'!AL32-'中国汇率&amp;期货（ln）'!AL51</f>
      </c>
      <c r="AM32" s="12">
        <f>'中国汇率&amp;期货（ln）'!AM32-'中国汇率&amp;期货（ln）'!AM51</f>
      </c>
      <c r="AN32" s="12">
        <f>'中国汇率&amp;期货（ln）'!AN32-'中国汇率&amp;期货（ln）'!AN51</f>
      </c>
      <c r="AO32" s="12">
        <f>'中国汇率&amp;期货（ln）'!AO32-'中国汇率&amp;期货（ln）'!AO51</f>
      </c>
      <c r="AP32" s="12">
        <f>'中国汇率&amp;期货（ln）'!AP32-'中国汇率&amp;期货（ln）'!AP51</f>
      </c>
      <c r="AQ32" s="12">
        <f>'中国汇率&amp;期货（ln）'!AQ32-'中国汇率&amp;期货（ln）'!AQ51</f>
      </c>
      <c r="AR32" s="12">
        <f>'中国汇率&amp;期货（ln）'!AR32-'中国汇率&amp;期货（ln）'!AR51</f>
      </c>
      <c r="AS32" s="12">
        <f>'中国汇率&amp;期货（ln）'!AS32-'中国汇率&amp;期货（ln）'!AS51</f>
      </c>
      <c r="AT32" s="12">
        <f>'中国汇率&amp;期货（ln）'!AT32-'中国汇率&amp;期货（ln）'!AT51</f>
      </c>
      <c r="AU32" s="12">
        <f>'中国汇率&amp;期货（ln）'!AU32-'中国汇率&amp;期货（ln）'!AU51</f>
      </c>
      <c r="AV32" s="12">
        <f>'中国汇率&amp;期货（ln）'!AV32-'中国汇率&amp;期货（ln）'!AV51</f>
      </c>
      <c r="AW32" s="12">
        <f>'中国汇率&amp;期货（ln）'!AW32-'中国汇率&amp;期货（ln）'!AW51</f>
      </c>
      <c r="AX32" s="12">
        <f>'中国汇率&amp;期货（ln）'!AX32-'中国汇率&amp;期货（ln）'!AX51</f>
      </c>
      <c r="AY32" s="12">
        <f>'中国汇率&amp;期货（ln）'!AY32-'中国汇率&amp;期货（ln）'!AY51</f>
      </c>
      <c r="AZ32" s="12">
        <f>'中国汇率&amp;期货（ln）'!AZ32-'中国汇率&amp;期货（ln）'!AZ51</f>
      </c>
      <c r="BA32" s="12">
        <f>'中国汇率&amp;期货（ln）'!BA32-'中国汇率&amp;期货（ln）'!BA51</f>
      </c>
      <c r="BB32" s="12">
        <f>'中国汇率&amp;期货（ln）'!BB32-'中国汇率&amp;期货（ln）'!BB51</f>
      </c>
      <c r="BC32" s="12">
        <f>'中国汇率&amp;期货（ln）'!BC32-'中国汇率&amp;期货（ln）'!BC51</f>
      </c>
      <c r="BD32" s="12">
        <f>'中国汇率&amp;期货（ln）'!BD32-'中国汇率&amp;期货（ln）'!BD51</f>
      </c>
      <c r="BE32" s="12">
        <f>'中国汇率&amp;期货（ln）'!BE32-'中国汇率&amp;期货（ln）'!BE51</f>
      </c>
    </row>
    <row x14ac:dyDescent="0.25" r="33" customHeight="1" ht="18.75">
      <c r="A33" s="1"/>
      <c r="B33" s="12">
        <f>'中国汇率&amp;期货（ln）'!B33-'中国汇率&amp;期货（ln）'!B52</f>
      </c>
      <c r="C33" s="12">
        <f>'中国汇率&amp;期货（ln）'!C33-'中国汇率&amp;期货（ln）'!C52</f>
      </c>
      <c r="D33" s="12">
        <f>'中国汇率&amp;期货（ln）'!D33-'中国汇率&amp;期货（ln）'!D52</f>
      </c>
      <c r="E33" s="12">
        <f>'中国汇率&amp;期货（ln）'!E33-'中国汇率&amp;期货（ln）'!E52</f>
      </c>
      <c r="F33" s="12">
        <f>'中国汇率&amp;期货（ln）'!F33-'中国汇率&amp;期货（ln）'!F52</f>
      </c>
      <c r="G33" s="12">
        <f>'中国汇率&amp;期货（ln）'!G33-'中国汇率&amp;期货（ln）'!G52</f>
      </c>
      <c r="H33" s="12">
        <f>'中国汇率&amp;期货（ln）'!H33-'中国汇率&amp;期货（ln）'!H52</f>
      </c>
      <c r="I33" s="12">
        <f>'中国汇率&amp;期货（ln）'!I33-'中国汇率&amp;期货（ln）'!I52</f>
      </c>
      <c r="J33" s="12">
        <f>'中国汇率&amp;期货（ln）'!J33-'中国汇率&amp;期货（ln）'!J52</f>
      </c>
      <c r="K33" s="12">
        <f>'中国汇率&amp;期货（ln）'!K33-'中国汇率&amp;期货（ln）'!K52</f>
      </c>
      <c r="L33" s="12">
        <f>'中国汇率&amp;期货（ln）'!L33-'中国汇率&amp;期货（ln）'!L52</f>
      </c>
      <c r="M33" s="12">
        <f>'中国汇率&amp;期货（ln）'!M33-'中国汇率&amp;期货（ln）'!M52</f>
      </c>
      <c r="N33" s="12">
        <f>'中国汇率&amp;期货（ln）'!N33-'中国汇率&amp;期货（ln）'!N52</f>
      </c>
      <c r="O33" s="12">
        <f>'中国汇率&amp;期货（ln）'!O33-'中国汇率&amp;期货（ln）'!O52</f>
      </c>
      <c r="P33" s="12">
        <f>'中国汇率&amp;期货（ln）'!P33-'中国汇率&amp;期货（ln）'!P52</f>
      </c>
      <c r="Q33" s="12">
        <f>'中国汇率&amp;期货（ln）'!Q33-'中国汇率&amp;期货（ln）'!Q52</f>
      </c>
      <c r="R33" s="12">
        <f>'中国汇率&amp;期货（ln）'!R33-'中国汇率&amp;期货（ln）'!R52</f>
      </c>
      <c r="S33" s="12">
        <f>'中国汇率&amp;期货（ln）'!S33-'中国汇率&amp;期货（ln）'!S52</f>
      </c>
      <c r="T33" s="12">
        <f>'中国汇率&amp;期货（ln）'!T33-'中国汇率&amp;期货（ln）'!T52</f>
      </c>
      <c r="U33" s="12">
        <f>'中国汇率&amp;期货（ln）'!U33-'中国汇率&amp;期货（ln）'!U52</f>
      </c>
      <c r="V33" s="12">
        <f>'中国汇率&amp;期货（ln）'!V33-'中国汇率&amp;期货（ln）'!V52</f>
      </c>
      <c r="W33" s="12">
        <f>'中国汇率&amp;期货（ln）'!W33-'中国汇率&amp;期货（ln）'!W52</f>
      </c>
      <c r="X33" s="12">
        <f>'中国汇率&amp;期货（ln）'!X33-'中国汇率&amp;期货（ln）'!X52</f>
      </c>
      <c r="Y33" s="12">
        <f>'中国汇率&amp;期货（ln）'!Y33-'中国汇率&amp;期货（ln）'!Y52</f>
      </c>
      <c r="Z33" s="12">
        <f>'中国汇率&amp;期货（ln）'!Z33-'中国汇率&amp;期货（ln）'!Z52</f>
      </c>
      <c r="AA33" s="12">
        <f>'中国汇率&amp;期货（ln）'!AA33-'中国汇率&amp;期货（ln）'!AA52</f>
      </c>
      <c r="AB33" s="12">
        <f>'中国汇率&amp;期货（ln）'!AB33-'中国汇率&amp;期货（ln）'!AB52</f>
      </c>
      <c r="AC33" s="12">
        <f>'中国汇率&amp;期货（ln）'!AC33-'中国汇率&amp;期货（ln）'!AC52</f>
      </c>
      <c r="AD33" s="12">
        <f>'中国汇率&amp;期货（ln）'!AD33-'中国汇率&amp;期货（ln）'!AD52</f>
      </c>
      <c r="AE33" s="12">
        <f>'中国汇率&amp;期货（ln）'!AE33-'中国汇率&amp;期货（ln）'!AE52</f>
      </c>
      <c r="AF33" s="12">
        <f>'中国汇率&amp;期货（ln）'!AF33-'中国汇率&amp;期货（ln）'!AF52</f>
      </c>
      <c r="AG33" s="12">
        <f>'中国汇率&amp;期货（ln）'!AG33-'中国汇率&amp;期货（ln）'!AG52</f>
      </c>
      <c r="AH33" s="12">
        <f>'中国汇率&amp;期货（ln）'!AH33-'中国汇率&amp;期货（ln）'!AH52</f>
      </c>
      <c r="AI33" s="12">
        <f>'中国汇率&amp;期货（ln）'!AI33-'中国汇率&amp;期货（ln）'!AI52</f>
      </c>
      <c r="AJ33" s="12">
        <f>'中国汇率&amp;期货（ln）'!AJ33-'中国汇率&amp;期货（ln）'!AJ52</f>
      </c>
      <c r="AK33" s="12">
        <f>'中国汇率&amp;期货（ln）'!AK33-'中国汇率&amp;期货（ln）'!AK52</f>
      </c>
      <c r="AL33" s="12">
        <f>'中国汇率&amp;期货（ln）'!AL33-'中国汇率&amp;期货（ln）'!AL52</f>
      </c>
      <c r="AM33" s="12">
        <f>'中国汇率&amp;期货（ln）'!AM33-'中国汇率&amp;期货（ln）'!AM52</f>
      </c>
      <c r="AN33" s="12">
        <f>'中国汇率&amp;期货（ln）'!AN33-'中国汇率&amp;期货（ln）'!AN52</f>
      </c>
      <c r="AO33" s="12">
        <f>'中国汇率&amp;期货（ln）'!AO33-'中国汇率&amp;期货（ln）'!AO52</f>
      </c>
      <c r="AP33" s="12">
        <f>'中国汇率&amp;期货（ln）'!AP33-'中国汇率&amp;期货（ln）'!AP52</f>
      </c>
      <c r="AQ33" s="12">
        <f>'中国汇率&amp;期货（ln）'!AQ33-'中国汇率&amp;期货（ln）'!AQ52</f>
      </c>
      <c r="AR33" s="12">
        <f>'中国汇率&amp;期货（ln）'!AR33-'中国汇率&amp;期货（ln）'!AR52</f>
      </c>
      <c r="AS33" s="12">
        <f>'中国汇率&amp;期货（ln）'!AS33-'中国汇率&amp;期货（ln）'!AS52</f>
      </c>
      <c r="AT33" s="12">
        <f>'中国汇率&amp;期货（ln）'!AT33-'中国汇率&amp;期货（ln）'!AT52</f>
      </c>
      <c r="AU33" s="12">
        <f>'中国汇率&amp;期货（ln）'!AU33-'中国汇率&amp;期货（ln）'!AU52</f>
      </c>
      <c r="AV33" s="12">
        <f>'中国汇率&amp;期货（ln）'!AV33-'中国汇率&amp;期货（ln）'!AV52</f>
      </c>
      <c r="AW33" s="12">
        <f>'中国汇率&amp;期货（ln）'!AW33-'中国汇率&amp;期货（ln）'!AW52</f>
      </c>
      <c r="AX33" s="12">
        <f>'中国汇率&amp;期货（ln）'!AX33-'中国汇率&amp;期货（ln）'!AX52</f>
      </c>
      <c r="AY33" s="12">
        <f>'中国汇率&amp;期货（ln）'!AY33-'中国汇率&amp;期货（ln）'!AY52</f>
      </c>
      <c r="AZ33" s="12">
        <f>'中国汇率&amp;期货（ln）'!AZ33-'中国汇率&amp;期货（ln）'!AZ52</f>
      </c>
      <c r="BA33" s="12">
        <f>'中国汇率&amp;期货（ln）'!BA33-'中国汇率&amp;期货（ln）'!BA52</f>
      </c>
      <c r="BB33" s="12">
        <f>'中国汇率&amp;期货（ln）'!BB33-'中国汇率&amp;期货（ln）'!BB52</f>
      </c>
      <c r="BC33" s="12">
        <f>'中国汇率&amp;期货（ln）'!BC33-'中国汇率&amp;期货（ln）'!BC52</f>
      </c>
      <c r="BD33" s="12">
        <f>'中国汇率&amp;期货（ln）'!BD33-'中国汇率&amp;期货（ln）'!BD52</f>
      </c>
      <c r="BE33" s="12">
        <f>'中国汇率&amp;期货（ln）'!BE33-'中国汇率&amp;期货（ln）'!BE52</f>
      </c>
    </row>
    <row x14ac:dyDescent="0.25" r="34" customHeight="1" ht="18.75">
      <c r="A34" s="1"/>
      <c r="B34" s="12">
        <f>'中国汇率&amp;期货（ln）'!B34-'中国汇率&amp;期货（ln）'!B53</f>
      </c>
      <c r="C34" s="12">
        <f>'中国汇率&amp;期货（ln）'!C34-'中国汇率&amp;期货（ln）'!C53</f>
      </c>
      <c r="D34" s="12">
        <f>'中国汇率&amp;期货（ln）'!D34-'中国汇率&amp;期货（ln）'!D53</f>
      </c>
      <c r="E34" s="12">
        <f>'中国汇率&amp;期货（ln）'!E34-'中国汇率&amp;期货（ln）'!E53</f>
      </c>
      <c r="F34" s="12">
        <f>'中国汇率&amp;期货（ln）'!F34-'中国汇率&amp;期货（ln）'!F53</f>
      </c>
      <c r="G34" s="12">
        <f>'中国汇率&amp;期货（ln）'!G34-'中国汇率&amp;期货（ln）'!G53</f>
      </c>
      <c r="H34" s="12">
        <f>'中国汇率&amp;期货（ln）'!H34-'中国汇率&amp;期货（ln）'!H53</f>
      </c>
      <c r="I34" s="12">
        <f>'中国汇率&amp;期货（ln）'!I34-'中国汇率&amp;期货（ln）'!I53</f>
      </c>
      <c r="J34" s="12">
        <f>'中国汇率&amp;期货（ln）'!J34-'中国汇率&amp;期货（ln）'!J53</f>
      </c>
      <c r="K34" s="12">
        <f>'中国汇率&amp;期货（ln）'!K34-'中国汇率&amp;期货（ln）'!K53</f>
      </c>
      <c r="L34" s="12">
        <f>'中国汇率&amp;期货（ln）'!L34-'中国汇率&amp;期货（ln）'!L53</f>
      </c>
      <c r="M34" s="12">
        <f>'中国汇率&amp;期货（ln）'!M34-'中国汇率&amp;期货（ln）'!M53</f>
      </c>
      <c r="N34" s="12">
        <f>'中国汇率&amp;期货（ln）'!N34-'中国汇率&amp;期货（ln）'!N53</f>
      </c>
      <c r="O34" s="12">
        <f>'中国汇率&amp;期货（ln）'!O34-'中国汇率&amp;期货（ln）'!O53</f>
      </c>
      <c r="P34" s="12">
        <f>'中国汇率&amp;期货（ln）'!P34-'中国汇率&amp;期货（ln）'!P53</f>
      </c>
      <c r="Q34" s="12">
        <f>'中国汇率&amp;期货（ln）'!Q34-'中国汇率&amp;期货（ln）'!Q53</f>
      </c>
      <c r="R34" s="12">
        <f>'中国汇率&amp;期货（ln）'!R34-'中国汇率&amp;期货（ln）'!R53</f>
      </c>
      <c r="S34" s="12">
        <f>'中国汇率&amp;期货（ln）'!S34-'中国汇率&amp;期货（ln）'!S53</f>
      </c>
      <c r="T34" s="12">
        <f>'中国汇率&amp;期货（ln）'!T34-'中国汇率&amp;期货（ln）'!T53</f>
      </c>
      <c r="U34" s="12">
        <f>'中国汇率&amp;期货（ln）'!U34-'中国汇率&amp;期货（ln）'!U53</f>
      </c>
      <c r="V34" s="12">
        <f>'中国汇率&amp;期货（ln）'!V34-'中国汇率&amp;期货（ln）'!V53</f>
      </c>
      <c r="W34" s="12">
        <f>'中国汇率&amp;期货（ln）'!W34-'中国汇率&amp;期货（ln）'!W53</f>
      </c>
      <c r="X34" s="12">
        <f>'中国汇率&amp;期货（ln）'!X34-'中国汇率&amp;期货（ln）'!X53</f>
      </c>
      <c r="Y34" s="12">
        <f>'中国汇率&amp;期货（ln）'!Y34-'中国汇率&amp;期货（ln）'!Y53</f>
      </c>
      <c r="Z34" s="12">
        <f>'中国汇率&amp;期货（ln）'!Z34-'中国汇率&amp;期货（ln）'!Z53</f>
      </c>
      <c r="AA34" s="12">
        <f>'中国汇率&amp;期货（ln）'!AA34-'中国汇率&amp;期货（ln）'!AA53</f>
      </c>
      <c r="AB34" s="12">
        <f>'中国汇率&amp;期货（ln）'!AB34-'中国汇率&amp;期货（ln）'!AB53</f>
      </c>
      <c r="AC34" s="12">
        <f>'中国汇率&amp;期货（ln）'!AC34-'中国汇率&amp;期货（ln）'!AC53</f>
      </c>
      <c r="AD34" s="12">
        <f>'中国汇率&amp;期货（ln）'!AD34-'中国汇率&amp;期货（ln）'!AD53</f>
      </c>
      <c r="AE34" s="12">
        <f>'中国汇率&amp;期货（ln）'!AE34-'中国汇率&amp;期货（ln）'!AE53</f>
      </c>
      <c r="AF34" s="12">
        <f>'中国汇率&amp;期货（ln）'!AF34-'中国汇率&amp;期货（ln）'!AF53</f>
      </c>
      <c r="AG34" s="12">
        <f>'中国汇率&amp;期货（ln）'!AG34-'中国汇率&amp;期货（ln）'!AG53</f>
      </c>
      <c r="AH34" s="12">
        <f>'中国汇率&amp;期货（ln）'!AH34-'中国汇率&amp;期货（ln）'!AH53</f>
      </c>
      <c r="AI34" s="12">
        <f>'中国汇率&amp;期货（ln）'!AI34-'中国汇率&amp;期货（ln）'!AI53</f>
      </c>
      <c r="AJ34" s="12">
        <f>'中国汇率&amp;期货（ln）'!AJ34-'中国汇率&amp;期货（ln）'!AJ53</f>
      </c>
      <c r="AK34" s="12">
        <f>'中国汇率&amp;期货（ln）'!AK34-'中国汇率&amp;期货（ln）'!AK53</f>
      </c>
      <c r="AL34" s="12">
        <f>'中国汇率&amp;期货（ln）'!AL34-'中国汇率&amp;期货（ln）'!AL53</f>
      </c>
      <c r="AM34" s="12">
        <f>'中国汇率&amp;期货（ln）'!AM34-'中国汇率&amp;期货（ln）'!AM53</f>
      </c>
      <c r="AN34" s="12">
        <f>'中国汇率&amp;期货（ln）'!AN34-'中国汇率&amp;期货（ln）'!AN53</f>
      </c>
      <c r="AO34" s="12">
        <f>'中国汇率&amp;期货（ln）'!AO34-'中国汇率&amp;期货（ln）'!AO53</f>
      </c>
      <c r="AP34" s="12">
        <f>'中国汇率&amp;期货（ln）'!AP34-'中国汇率&amp;期货（ln）'!AP53</f>
      </c>
      <c r="AQ34" s="12">
        <f>'中国汇率&amp;期货（ln）'!AQ34-'中国汇率&amp;期货（ln）'!AQ53</f>
      </c>
      <c r="AR34" s="12">
        <f>'中国汇率&amp;期货（ln）'!AR34-'中国汇率&amp;期货（ln）'!AR53</f>
      </c>
      <c r="AS34" s="12">
        <f>'中国汇率&amp;期货（ln）'!AS34-'中国汇率&amp;期货（ln）'!AS53</f>
      </c>
      <c r="AT34" s="12">
        <f>'中国汇率&amp;期货（ln）'!AT34-'中国汇率&amp;期货（ln）'!AT53</f>
      </c>
      <c r="AU34" s="12">
        <f>'中国汇率&amp;期货（ln）'!AU34-'中国汇率&amp;期货（ln）'!AU53</f>
      </c>
      <c r="AV34" s="12">
        <f>'中国汇率&amp;期货（ln）'!AV34-'中国汇率&amp;期货（ln）'!AV53</f>
      </c>
      <c r="AW34" s="12">
        <f>'中国汇率&amp;期货（ln）'!AW34-'中国汇率&amp;期货（ln）'!AW53</f>
      </c>
      <c r="AX34" s="12">
        <f>'中国汇率&amp;期货（ln）'!AX34-'中国汇率&amp;期货（ln）'!AX53</f>
      </c>
      <c r="AY34" s="12">
        <f>'中国汇率&amp;期货（ln）'!AY34-'中国汇率&amp;期货（ln）'!AY53</f>
      </c>
      <c r="AZ34" s="12">
        <f>'中国汇率&amp;期货（ln）'!AZ34-'中国汇率&amp;期货（ln）'!AZ53</f>
      </c>
      <c r="BA34" s="12">
        <f>'中国汇率&amp;期货（ln）'!BA34-'中国汇率&amp;期货（ln）'!BA53</f>
      </c>
      <c r="BB34" s="12">
        <f>'中国汇率&amp;期货（ln）'!BB34-'中国汇率&amp;期货（ln）'!BB53</f>
      </c>
      <c r="BC34" s="12">
        <f>'中国汇率&amp;期货（ln）'!BC34-'中国汇率&amp;期货（ln）'!BC53</f>
      </c>
      <c r="BD34" s="12">
        <f>'中国汇率&amp;期货（ln）'!BD34-'中国汇率&amp;期货（ln）'!BD53</f>
      </c>
      <c r="BE34" s="12">
        <f>'中国汇率&amp;期货（ln）'!BE34-'中国汇率&amp;期货（ln）'!BE53</f>
      </c>
    </row>
    <row x14ac:dyDescent="0.25" r="35" customHeight="1" ht="18.75">
      <c r="A35" s="1"/>
      <c r="B35" s="12">
        <f>'中国汇率&amp;期货（ln）'!B35-'中国汇率&amp;期货（ln）'!B54</f>
      </c>
      <c r="C35" s="12">
        <f>'中国汇率&amp;期货（ln）'!C35-'中国汇率&amp;期货（ln）'!C54</f>
      </c>
      <c r="D35" s="12">
        <f>'中国汇率&amp;期货（ln）'!D35-'中国汇率&amp;期货（ln）'!D54</f>
      </c>
      <c r="E35" s="12">
        <f>'中国汇率&amp;期货（ln）'!E35-'中国汇率&amp;期货（ln）'!E54</f>
      </c>
      <c r="F35" s="12">
        <f>'中国汇率&amp;期货（ln）'!F35-'中国汇率&amp;期货（ln）'!F54</f>
      </c>
      <c r="G35" s="12">
        <f>'中国汇率&amp;期货（ln）'!G35-'中国汇率&amp;期货（ln）'!G54</f>
      </c>
      <c r="H35" s="12">
        <f>'中国汇率&amp;期货（ln）'!H35-'中国汇率&amp;期货（ln）'!H54</f>
      </c>
      <c r="I35" s="12">
        <f>'中国汇率&amp;期货（ln）'!I35-'中国汇率&amp;期货（ln）'!I54</f>
      </c>
      <c r="J35" s="12">
        <f>'中国汇率&amp;期货（ln）'!J35-'中国汇率&amp;期货（ln）'!J54</f>
      </c>
      <c r="K35" s="12">
        <f>'中国汇率&amp;期货（ln）'!K35-'中国汇率&amp;期货（ln）'!K54</f>
      </c>
      <c r="L35" s="12">
        <f>'中国汇率&amp;期货（ln）'!L35-'中国汇率&amp;期货（ln）'!L54</f>
      </c>
      <c r="M35" s="12">
        <f>'中国汇率&amp;期货（ln）'!M35-'中国汇率&amp;期货（ln）'!M54</f>
      </c>
      <c r="N35" s="12">
        <f>'中国汇率&amp;期货（ln）'!N35-'中国汇率&amp;期货（ln）'!N54</f>
      </c>
      <c r="O35" s="12">
        <f>'中国汇率&amp;期货（ln）'!O35-'中国汇率&amp;期货（ln）'!O54</f>
      </c>
      <c r="P35" s="12">
        <f>'中国汇率&amp;期货（ln）'!P35-'中国汇率&amp;期货（ln）'!P54</f>
      </c>
      <c r="Q35" s="12">
        <f>'中国汇率&amp;期货（ln）'!Q35-'中国汇率&amp;期货（ln）'!Q54</f>
      </c>
      <c r="R35" s="12">
        <f>'中国汇率&amp;期货（ln）'!R35-'中国汇率&amp;期货（ln）'!R54</f>
      </c>
      <c r="S35" s="12">
        <f>'中国汇率&amp;期货（ln）'!S35-'中国汇率&amp;期货（ln）'!S54</f>
      </c>
      <c r="T35" s="12">
        <f>'中国汇率&amp;期货（ln）'!T35-'中国汇率&amp;期货（ln）'!T54</f>
      </c>
      <c r="U35" s="12">
        <f>'中国汇率&amp;期货（ln）'!U35-'中国汇率&amp;期货（ln）'!U54</f>
      </c>
      <c r="V35" s="12">
        <f>'中国汇率&amp;期货（ln）'!V35-'中国汇率&amp;期货（ln）'!V54</f>
      </c>
      <c r="W35" s="12">
        <f>'中国汇率&amp;期货（ln）'!W35-'中国汇率&amp;期货（ln）'!W54</f>
      </c>
      <c r="X35" s="12">
        <f>'中国汇率&amp;期货（ln）'!X35-'中国汇率&amp;期货（ln）'!X54</f>
      </c>
      <c r="Y35" s="12">
        <f>'中国汇率&amp;期货（ln）'!Y35-'中国汇率&amp;期货（ln）'!Y54</f>
      </c>
      <c r="Z35" s="12">
        <f>'中国汇率&amp;期货（ln）'!Z35-'中国汇率&amp;期货（ln）'!Z54</f>
      </c>
      <c r="AA35" s="12">
        <f>'中国汇率&amp;期货（ln）'!AA35-'中国汇率&amp;期货（ln）'!AA54</f>
      </c>
      <c r="AB35" s="12">
        <f>'中国汇率&amp;期货（ln）'!AB35-'中国汇率&amp;期货（ln）'!AB54</f>
      </c>
      <c r="AC35" s="12">
        <f>'中国汇率&amp;期货（ln）'!AC35-'中国汇率&amp;期货（ln）'!AC54</f>
      </c>
      <c r="AD35" s="12">
        <f>'中国汇率&amp;期货（ln）'!AD35-'中国汇率&amp;期货（ln）'!AD54</f>
      </c>
      <c r="AE35" s="12">
        <f>'中国汇率&amp;期货（ln）'!AE35-'中国汇率&amp;期货（ln）'!AE54</f>
      </c>
      <c r="AF35" s="12">
        <f>'中国汇率&amp;期货（ln）'!AF35-'中国汇率&amp;期货（ln）'!AF54</f>
      </c>
      <c r="AG35" s="12">
        <f>'中国汇率&amp;期货（ln）'!AG35-'中国汇率&amp;期货（ln）'!AG54</f>
      </c>
      <c r="AH35" s="12">
        <f>'中国汇率&amp;期货（ln）'!AH35-'中国汇率&amp;期货（ln）'!AH54</f>
      </c>
      <c r="AI35" s="12">
        <f>'中国汇率&amp;期货（ln）'!AI35-'中国汇率&amp;期货（ln）'!AI54</f>
      </c>
      <c r="AJ35" s="12">
        <f>'中国汇率&amp;期货（ln）'!AJ35-'中国汇率&amp;期货（ln）'!AJ54</f>
      </c>
      <c r="AK35" s="12">
        <f>'中国汇率&amp;期货（ln）'!AK35-'中国汇率&amp;期货（ln）'!AK54</f>
      </c>
      <c r="AL35" s="12">
        <f>'中国汇率&amp;期货（ln）'!AL35-'中国汇率&amp;期货（ln）'!AL54</f>
      </c>
      <c r="AM35" s="12">
        <f>'中国汇率&amp;期货（ln）'!AM35-'中国汇率&amp;期货（ln）'!AM54</f>
      </c>
      <c r="AN35" s="12">
        <f>'中国汇率&amp;期货（ln）'!AN35-'中国汇率&amp;期货（ln）'!AN54</f>
      </c>
      <c r="AO35" s="12">
        <f>'中国汇率&amp;期货（ln）'!AO35-'中国汇率&amp;期货（ln）'!AO54</f>
      </c>
      <c r="AP35" s="12">
        <f>'中国汇率&amp;期货（ln）'!AP35-'中国汇率&amp;期货（ln）'!AP54</f>
      </c>
      <c r="AQ35" s="12">
        <f>'中国汇率&amp;期货（ln）'!AQ35-'中国汇率&amp;期货（ln）'!AQ54</f>
      </c>
      <c r="AR35" s="12">
        <f>'中国汇率&amp;期货（ln）'!AR35-'中国汇率&amp;期货（ln）'!AR54</f>
      </c>
      <c r="AS35" s="12">
        <f>'中国汇率&amp;期货（ln）'!AS35-'中国汇率&amp;期货（ln）'!AS54</f>
      </c>
      <c r="AT35" s="12">
        <f>'中国汇率&amp;期货（ln）'!AT35-'中国汇率&amp;期货（ln）'!AT54</f>
      </c>
      <c r="AU35" s="12">
        <f>'中国汇率&amp;期货（ln）'!AU35-'中国汇率&amp;期货（ln）'!AU54</f>
      </c>
      <c r="AV35" s="12">
        <f>'中国汇率&amp;期货（ln）'!AV35-'中国汇率&amp;期货（ln）'!AV54</f>
      </c>
      <c r="AW35" s="12">
        <f>'中国汇率&amp;期货（ln）'!AW35-'中国汇率&amp;期货（ln）'!AW54</f>
      </c>
      <c r="AX35" s="12">
        <f>'中国汇率&amp;期货（ln）'!AX35-'中国汇率&amp;期货（ln）'!AX54</f>
      </c>
      <c r="AY35" s="12">
        <f>'中国汇率&amp;期货（ln）'!AY35-'中国汇率&amp;期货（ln）'!AY54</f>
      </c>
      <c r="AZ35" s="12">
        <f>'中国汇率&amp;期货（ln）'!AZ35-'中国汇率&amp;期货（ln）'!AZ54</f>
      </c>
      <c r="BA35" s="12">
        <f>'中国汇率&amp;期货（ln）'!BA35-'中国汇率&amp;期货（ln）'!BA54</f>
      </c>
      <c r="BB35" s="12">
        <f>'中国汇率&amp;期货（ln）'!BB35-'中国汇率&amp;期货（ln）'!BB54</f>
      </c>
      <c r="BC35" s="12">
        <f>'中国汇率&amp;期货（ln）'!BC35-'中国汇率&amp;期货（ln）'!BC54</f>
      </c>
      <c r="BD35" s="12">
        <f>'中国汇率&amp;期货（ln）'!BD35-'中国汇率&amp;期货（ln）'!BD54</f>
      </c>
      <c r="BE35" s="12">
        <f>'中国汇率&amp;期货（ln）'!BE35-'中国汇率&amp;期货（ln）'!BE54</f>
      </c>
    </row>
    <row x14ac:dyDescent="0.25" r="36" customHeight="1" ht="18.75">
      <c r="A36" s="1"/>
      <c r="B36" s="12">
        <f>'中国汇率&amp;期货（ln）'!B36-'中国汇率&amp;期货（ln）'!B55</f>
      </c>
      <c r="C36" s="12">
        <f>'中国汇率&amp;期货（ln）'!C36-'中国汇率&amp;期货（ln）'!C55</f>
      </c>
      <c r="D36" s="12">
        <f>'中国汇率&amp;期货（ln）'!D36-'中国汇率&amp;期货（ln）'!D55</f>
      </c>
      <c r="E36" s="12">
        <f>'中国汇率&amp;期货（ln）'!E36-'中国汇率&amp;期货（ln）'!E55</f>
      </c>
      <c r="F36" s="12">
        <f>'中国汇率&amp;期货（ln）'!F36-'中国汇率&amp;期货（ln）'!F55</f>
      </c>
      <c r="G36" s="12">
        <f>'中国汇率&amp;期货（ln）'!G36-'中国汇率&amp;期货（ln）'!G55</f>
      </c>
      <c r="H36" s="12">
        <f>'中国汇率&amp;期货（ln）'!H36-'中国汇率&amp;期货（ln）'!H55</f>
      </c>
      <c r="I36" s="12">
        <f>'中国汇率&amp;期货（ln）'!I36-'中国汇率&amp;期货（ln）'!I55</f>
      </c>
      <c r="J36" s="12">
        <f>'中国汇率&amp;期货（ln）'!J36-'中国汇率&amp;期货（ln）'!J55</f>
      </c>
      <c r="K36" s="12">
        <f>'中国汇率&amp;期货（ln）'!K36-'中国汇率&amp;期货（ln）'!K55</f>
      </c>
      <c r="L36" s="12">
        <f>'中国汇率&amp;期货（ln）'!L36-'中国汇率&amp;期货（ln）'!L55</f>
      </c>
      <c r="M36" s="12">
        <f>'中国汇率&amp;期货（ln）'!M36-'中国汇率&amp;期货（ln）'!M55</f>
      </c>
      <c r="N36" s="12">
        <f>'中国汇率&amp;期货（ln）'!N36-'中国汇率&amp;期货（ln）'!N55</f>
      </c>
      <c r="O36" s="12">
        <f>'中国汇率&amp;期货（ln）'!O36-'中国汇率&amp;期货（ln）'!O55</f>
      </c>
      <c r="P36" s="12">
        <f>'中国汇率&amp;期货（ln）'!P36-'中国汇率&amp;期货（ln）'!P55</f>
      </c>
      <c r="Q36" s="12">
        <f>'中国汇率&amp;期货（ln）'!Q36-'中国汇率&amp;期货（ln）'!Q55</f>
      </c>
      <c r="R36" s="12">
        <f>'中国汇率&amp;期货（ln）'!R36-'中国汇率&amp;期货（ln）'!R55</f>
      </c>
      <c r="S36" s="12">
        <f>'中国汇率&amp;期货（ln）'!S36-'中国汇率&amp;期货（ln）'!S55</f>
      </c>
      <c r="T36" s="12">
        <f>'中国汇率&amp;期货（ln）'!T36-'中国汇率&amp;期货（ln）'!T55</f>
      </c>
      <c r="U36" s="12">
        <f>'中国汇率&amp;期货（ln）'!U36-'中国汇率&amp;期货（ln）'!U55</f>
      </c>
      <c r="V36" s="12">
        <f>'中国汇率&amp;期货（ln）'!V36-'中国汇率&amp;期货（ln）'!V55</f>
      </c>
      <c r="W36" s="12">
        <f>'中国汇率&amp;期货（ln）'!W36-'中国汇率&amp;期货（ln）'!W55</f>
      </c>
      <c r="X36" s="12">
        <f>'中国汇率&amp;期货（ln）'!X36-'中国汇率&amp;期货（ln）'!X55</f>
      </c>
      <c r="Y36" s="12">
        <f>'中国汇率&amp;期货（ln）'!Y36-'中国汇率&amp;期货（ln）'!Y55</f>
      </c>
      <c r="Z36" s="12">
        <f>'中国汇率&amp;期货（ln）'!Z36-'中国汇率&amp;期货（ln）'!Z55</f>
      </c>
      <c r="AA36" s="12">
        <f>'中国汇率&amp;期货（ln）'!AA36-'中国汇率&amp;期货（ln）'!AA55</f>
      </c>
      <c r="AB36" s="12">
        <f>'中国汇率&amp;期货（ln）'!AB36-'中国汇率&amp;期货（ln）'!AB55</f>
      </c>
      <c r="AC36" s="12">
        <f>'中国汇率&amp;期货（ln）'!AC36-'中国汇率&amp;期货（ln）'!AC55</f>
      </c>
      <c r="AD36" s="12">
        <f>'中国汇率&amp;期货（ln）'!AD36-'中国汇率&amp;期货（ln）'!AD55</f>
      </c>
      <c r="AE36" s="12">
        <f>'中国汇率&amp;期货（ln）'!AE36-'中国汇率&amp;期货（ln）'!AE55</f>
      </c>
      <c r="AF36" s="12">
        <f>'中国汇率&amp;期货（ln）'!AF36-'中国汇率&amp;期货（ln）'!AF55</f>
      </c>
      <c r="AG36" s="12">
        <f>'中国汇率&amp;期货（ln）'!AG36-'中国汇率&amp;期货（ln）'!AG55</f>
      </c>
      <c r="AH36" s="12">
        <f>'中国汇率&amp;期货（ln）'!AH36-'中国汇率&amp;期货（ln）'!AH55</f>
      </c>
      <c r="AI36" s="12">
        <f>'中国汇率&amp;期货（ln）'!AI36-'中国汇率&amp;期货（ln）'!AI55</f>
      </c>
      <c r="AJ36" s="12">
        <f>'中国汇率&amp;期货（ln）'!AJ36-'中国汇率&amp;期货（ln）'!AJ55</f>
      </c>
      <c r="AK36" s="12">
        <f>'中国汇率&amp;期货（ln）'!AK36-'中国汇率&amp;期货（ln）'!AK55</f>
      </c>
      <c r="AL36" s="12">
        <f>'中国汇率&amp;期货（ln）'!AL36-'中国汇率&amp;期货（ln）'!AL55</f>
      </c>
      <c r="AM36" s="12">
        <f>'中国汇率&amp;期货（ln）'!AM36-'中国汇率&amp;期货（ln）'!AM55</f>
      </c>
      <c r="AN36" s="12">
        <f>'中国汇率&amp;期货（ln）'!AN36-'中国汇率&amp;期货（ln）'!AN55</f>
      </c>
      <c r="AO36" s="12">
        <f>'中国汇率&amp;期货（ln）'!AO36-'中国汇率&amp;期货（ln）'!AO55</f>
      </c>
      <c r="AP36" s="12">
        <f>'中国汇率&amp;期货（ln）'!AP36-'中国汇率&amp;期货（ln）'!AP55</f>
      </c>
      <c r="AQ36" s="12">
        <f>'中国汇率&amp;期货（ln）'!AQ36-'中国汇率&amp;期货（ln）'!AQ55</f>
      </c>
      <c r="AR36" s="12">
        <f>'中国汇率&amp;期货（ln）'!AR36-'中国汇率&amp;期货（ln）'!AR55</f>
      </c>
      <c r="AS36" s="12">
        <f>'中国汇率&amp;期货（ln）'!AS36-'中国汇率&amp;期货（ln）'!AS55</f>
      </c>
      <c r="AT36" s="12">
        <f>'中国汇率&amp;期货（ln）'!AT36-'中国汇率&amp;期货（ln）'!AT55</f>
      </c>
      <c r="AU36" s="12">
        <f>'中国汇率&amp;期货（ln）'!AU36-'中国汇率&amp;期货（ln）'!AU55</f>
      </c>
      <c r="AV36" s="12">
        <f>'中国汇率&amp;期货（ln）'!AV36-'中国汇率&amp;期货（ln）'!AV55</f>
      </c>
      <c r="AW36" s="12">
        <f>'中国汇率&amp;期货（ln）'!AW36-'中国汇率&amp;期货（ln）'!AW55</f>
      </c>
      <c r="AX36" s="12">
        <f>'中国汇率&amp;期货（ln）'!AX36-'中国汇率&amp;期货（ln）'!AX55</f>
      </c>
      <c r="AY36" s="12">
        <f>'中国汇率&amp;期货（ln）'!AY36-'中国汇率&amp;期货（ln）'!AY55</f>
      </c>
      <c r="AZ36" s="12">
        <f>'中国汇率&amp;期货（ln）'!AZ36-'中国汇率&amp;期货（ln）'!AZ55</f>
      </c>
      <c r="BA36" s="12">
        <f>'中国汇率&amp;期货（ln）'!BA36-'中国汇率&amp;期货（ln）'!BA55</f>
      </c>
      <c r="BB36" s="12">
        <f>'中国汇率&amp;期货（ln）'!BB36-'中国汇率&amp;期货（ln）'!BB55</f>
      </c>
      <c r="BC36" s="12">
        <f>'中国汇率&amp;期货（ln）'!BC36-'中国汇率&amp;期货（ln）'!BC55</f>
      </c>
      <c r="BD36" s="12">
        <f>'中国汇率&amp;期货（ln）'!BD36-'中国汇率&amp;期货（ln）'!BD55</f>
      </c>
      <c r="BE36" s="12">
        <f>'中国汇率&amp;期货（ln）'!BE36-'中国汇率&amp;期货（ln）'!BE55</f>
      </c>
    </row>
    <row x14ac:dyDescent="0.25" r="37" customHeight="1" ht="18.75">
      <c r="A37" s="1"/>
      <c r="B37" s="12">
        <f>'中国汇率&amp;期货（ln）'!B37-'中国汇率&amp;期货（ln）'!B56</f>
      </c>
      <c r="C37" s="12">
        <f>'中国汇率&amp;期货（ln）'!C37-'中国汇率&amp;期货（ln）'!C56</f>
      </c>
      <c r="D37" s="12">
        <f>'中国汇率&amp;期货（ln）'!D37-'中国汇率&amp;期货（ln）'!D56</f>
      </c>
      <c r="E37" s="12">
        <f>'中国汇率&amp;期货（ln）'!E37-'中国汇率&amp;期货（ln）'!E56</f>
      </c>
      <c r="F37" s="12">
        <f>'中国汇率&amp;期货（ln）'!F37-'中国汇率&amp;期货（ln）'!F56</f>
      </c>
      <c r="G37" s="12">
        <f>'中国汇率&amp;期货（ln）'!G37-'中国汇率&amp;期货（ln）'!G56</f>
      </c>
      <c r="H37" s="12">
        <f>'中国汇率&amp;期货（ln）'!H37-'中国汇率&amp;期货（ln）'!H56</f>
      </c>
      <c r="I37" s="12">
        <f>'中国汇率&amp;期货（ln）'!I37-'中国汇率&amp;期货（ln）'!I56</f>
      </c>
      <c r="J37" s="12">
        <f>'中国汇率&amp;期货（ln）'!J37-'中国汇率&amp;期货（ln）'!J56</f>
      </c>
      <c r="K37" s="12">
        <f>'中国汇率&amp;期货（ln）'!K37-'中国汇率&amp;期货（ln）'!K56</f>
      </c>
      <c r="L37" s="12">
        <f>'中国汇率&amp;期货（ln）'!L37-'中国汇率&amp;期货（ln）'!L56</f>
      </c>
      <c r="M37" s="12">
        <f>'中国汇率&amp;期货（ln）'!M37-'中国汇率&amp;期货（ln）'!M56</f>
      </c>
      <c r="N37" s="12">
        <f>'中国汇率&amp;期货（ln）'!N37-'中国汇率&amp;期货（ln）'!N56</f>
      </c>
      <c r="O37" s="12">
        <f>'中国汇率&amp;期货（ln）'!O37-'中国汇率&amp;期货（ln）'!O56</f>
      </c>
      <c r="P37" s="12">
        <f>'中国汇率&amp;期货（ln）'!P37-'中国汇率&amp;期货（ln）'!P56</f>
      </c>
      <c r="Q37" s="12">
        <f>'中国汇率&amp;期货（ln）'!Q37-'中国汇率&amp;期货（ln）'!Q56</f>
      </c>
      <c r="R37" s="12">
        <f>'中国汇率&amp;期货（ln）'!R37-'中国汇率&amp;期货（ln）'!R56</f>
      </c>
      <c r="S37" s="12">
        <f>'中国汇率&amp;期货（ln）'!S37-'中国汇率&amp;期货（ln）'!S56</f>
      </c>
      <c r="T37" s="12">
        <f>'中国汇率&amp;期货（ln）'!T37-'中国汇率&amp;期货（ln）'!T56</f>
      </c>
      <c r="U37" s="12">
        <f>'中国汇率&amp;期货（ln）'!U37-'中国汇率&amp;期货（ln）'!U56</f>
      </c>
      <c r="V37" s="12">
        <f>'中国汇率&amp;期货（ln）'!V37-'中国汇率&amp;期货（ln）'!V56</f>
      </c>
      <c r="W37" s="12">
        <f>'中国汇率&amp;期货（ln）'!W37-'中国汇率&amp;期货（ln）'!W56</f>
      </c>
      <c r="X37" s="12">
        <f>'中国汇率&amp;期货（ln）'!X37-'中国汇率&amp;期货（ln）'!X56</f>
      </c>
      <c r="Y37" s="12">
        <f>'中国汇率&amp;期货（ln）'!Y37-'中国汇率&amp;期货（ln）'!Y56</f>
      </c>
      <c r="Z37" s="12">
        <f>'中国汇率&amp;期货（ln）'!Z37-'中国汇率&amp;期货（ln）'!Z56</f>
      </c>
      <c r="AA37" s="12">
        <f>'中国汇率&amp;期货（ln）'!AA37-'中国汇率&amp;期货（ln）'!AA56</f>
      </c>
      <c r="AB37" s="12">
        <f>'中国汇率&amp;期货（ln）'!AB37-'中国汇率&amp;期货（ln）'!AB56</f>
      </c>
      <c r="AC37" s="12">
        <f>'中国汇率&amp;期货（ln）'!AC37-'中国汇率&amp;期货（ln）'!AC56</f>
      </c>
      <c r="AD37" s="12">
        <f>'中国汇率&amp;期货（ln）'!AD37-'中国汇率&amp;期货（ln）'!AD56</f>
      </c>
      <c r="AE37" s="12">
        <f>'中国汇率&amp;期货（ln）'!AE37-'中国汇率&amp;期货（ln）'!AE56</f>
      </c>
      <c r="AF37" s="12">
        <f>'中国汇率&amp;期货（ln）'!AF37-'中国汇率&amp;期货（ln）'!AF56</f>
      </c>
      <c r="AG37" s="12">
        <f>'中国汇率&amp;期货（ln）'!AG37-'中国汇率&amp;期货（ln）'!AG56</f>
      </c>
      <c r="AH37" s="12">
        <f>'中国汇率&amp;期货（ln）'!AH37-'中国汇率&amp;期货（ln）'!AH56</f>
      </c>
      <c r="AI37" s="12">
        <f>'中国汇率&amp;期货（ln）'!AI37-'中国汇率&amp;期货（ln）'!AI56</f>
      </c>
      <c r="AJ37" s="12">
        <f>'中国汇率&amp;期货（ln）'!AJ37-'中国汇率&amp;期货（ln）'!AJ56</f>
      </c>
      <c r="AK37" s="12">
        <f>'中国汇率&amp;期货（ln）'!AK37-'中国汇率&amp;期货（ln）'!AK56</f>
      </c>
      <c r="AL37" s="12">
        <f>'中国汇率&amp;期货（ln）'!AL37-'中国汇率&amp;期货（ln）'!AL56</f>
      </c>
      <c r="AM37" s="12">
        <f>'中国汇率&amp;期货（ln）'!AM37-'中国汇率&amp;期货（ln）'!AM56</f>
      </c>
      <c r="AN37" s="12">
        <f>'中国汇率&amp;期货（ln）'!AN37-'中国汇率&amp;期货（ln）'!AN56</f>
      </c>
      <c r="AO37" s="12">
        <f>'中国汇率&amp;期货（ln）'!AO37-'中国汇率&amp;期货（ln）'!AO56</f>
      </c>
      <c r="AP37" s="12">
        <f>'中国汇率&amp;期货（ln）'!AP37-'中国汇率&amp;期货（ln）'!AP56</f>
      </c>
      <c r="AQ37" s="12">
        <f>'中国汇率&amp;期货（ln）'!AQ37-'中国汇率&amp;期货（ln）'!AQ56</f>
      </c>
      <c r="AR37" s="12">
        <f>'中国汇率&amp;期货（ln）'!AR37-'中国汇率&amp;期货（ln）'!AR56</f>
      </c>
      <c r="AS37" s="12">
        <f>'中国汇率&amp;期货（ln）'!AS37-'中国汇率&amp;期货（ln）'!AS56</f>
      </c>
      <c r="AT37" s="12">
        <f>'中国汇率&amp;期货（ln）'!AT37-'中国汇率&amp;期货（ln）'!AT56</f>
      </c>
      <c r="AU37" s="12">
        <f>'中国汇率&amp;期货（ln）'!AU37-'中国汇率&amp;期货（ln）'!AU56</f>
      </c>
      <c r="AV37" s="12">
        <f>'中国汇率&amp;期货（ln）'!AV37-'中国汇率&amp;期货（ln）'!AV56</f>
      </c>
      <c r="AW37" s="12">
        <f>'中国汇率&amp;期货（ln）'!AW37-'中国汇率&amp;期货（ln）'!AW56</f>
      </c>
      <c r="AX37" s="12">
        <f>'中国汇率&amp;期货（ln）'!AX37-'中国汇率&amp;期货（ln）'!AX56</f>
      </c>
      <c r="AY37" s="12">
        <f>'中国汇率&amp;期货（ln）'!AY37-'中国汇率&amp;期货（ln）'!AY56</f>
      </c>
      <c r="AZ37" s="12">
        <f>'中国汇率&amp;期货（ln）'!AZ37-'中国汇率&amp;期货（ln）'!AZ56</f>
      </c>
      <c r="BA37" s="12">
        <f>'中国汇率&amp;期货（ln）'!BA37-'中国汇率&amp;期货（ln）'!BA56</f>
      </c>
      <c r="BB37" s="12">
        <f>'中国汇率&amp;期货（ln）'!BB37-'中国汇率&amp;期货（ln）'!BB56</f>
      </c>
      <c r="BC37" s="12">
        <f>'中国汇率&amp;期货（ln）'!BC37-'中国汇率&amp;期货（ln）'!BC56</f>
      </c>
      <c r="BD37" s="12">
        <f>'中国汇率&amp;期货（ln）'!BD37-'中国汇率&amp;期货（ln）'!BD56</f>
      </c>
      <c r="BE37" s="12">
        <f>'中国汇率&amp;期货（ln）'!BE37-'中国汇率&amp;期货（ln）'!BE56</f>
      </c>
    </row>
    <row x14ac:dyDescent="0.25" r="38" customHeight="1" ht="18.75">
      <c r="A38" s="1"/>
      <c r="B38" s="12">
        <f>'中国汇率&amp;期货（ln）'!B38-'中国汇率&amp;期货（ln）'!B57</f>
      </c>
      <c r="C38" s="12">
        <f>'中国汇率&amp;期货（ln）'!C38-'中国汇率&amp;期货（ln）'!C57</f>
      </c>
      <c r="D38" s="12">
        <f>'中国汇率&amp;期货（ln）'!D38-'中国汇率&amp;期货（ln）'!D57</f>
      </c>
      <c r="E38" s="12">
        <f>'中国汇率&amp;期货（ln）'!E38-'中国汇率&amp;期货（ln）'!E57</f>
      </c>
      <c r="F38" s="12">
        <f>'中国汇率&amp;期货（ln）'!F38-'中国汇率&amp;期货（ln）'!F57</f>
      </c>
      <c r="G38" s="12">
        <f>'中国汇率&amp;期货（ln）'!G38-'中国汇率&amp;期货（ln）'!G57</f>
      </c>
      <c r="H38" s="12">
        <f>'中国汇率&amp;期货（ln）'!H38-'中国汇率&amp;期货（ln）'!H57</f>
      </c>
      <c r="I38" s="12">
        <f>'中国汇率&amp;期货（ln）'!I38-'中国汇率&amp;期货（ln）'!I57</f>
      </c>
      <c r="J38" s="12">
        <f>'中国汇率&amp;期货（ln）'!J38-'中国汇率&amp;期货（ln）'!J57</f>
      </c>
      <c r="K38" s="12">
        <f>'中国汇率&amp;期货（ln）'!K38-'中国汇率&amp;期货（ln）'!K57</f>
      </c>
      <c r="L38" s="12">
        <f>'中国汇率&amp;期货（ln）'!L38-'中国汇率&amp;期货（ln）'!L57</f>
      </c>
      <c r="M38" s="12">
        <f>'中国汇率&amp;期货（ln）'!M38-'中国汇率&amp;期货（ln）'!M57</f>
      </c>
      <c r="N38" s="12">
        <f>'中国汇率&amp;期货（ln）'!N38-'中国汇率&amp;期货（ln）'!N57</f>
      </c>
      <c r="O38" s="12">
        <f>'中国汇率&amp;期货（ln）'!O38-'中国汇率&amp;期货（ln）'!O57</f>
      </c>
      <c r="P38" s="12">
        <f>'中国汇率&amp;期货（ln）'!P38-'中国汇率&amp;期货（ln）'!P57</f>
      </c>
      <c r="Q38" s="12">
        <f>'中国汇率&amp;期货（ln）'!Q38-'中国汇率&amp;期货（ln）'!Q57</f>
      </c>
      <c r="R38" s="12">
        <f>'中国汇率&amp;期货（ln）'!R38-'中国汇率&amp;期货（ln）'!R57</f>
      </c>
      <c r="S38" s="12">
        <f>'中国汇率&amp;期货（ln）'!S38-'中国汇率&amp;期货（ln）'!S57</f>
      </c>
      <c r="T38" s="12">
        <f>'中国汇率&amp;期货（ln）'!T38-'中国汇率&amp;期货（ln）'!T57</f>
      </c>
      <c r="U38" s="12">
        <f>'中国汇率&amp;期货（ln）'!U38-'中国汇率&amp;期货（ln）'!U57</f>
      </c>
      <c r="V38" s="12">
        <f>'中国汇率&amp;期货（ln）'!V38-'中国汇率&amp;期货（ln）'!V57</f>
      </c>
      <c r="W38" s="12">
        <f>'中国汇率&amp;期货（ln）'!W38-'中国汇率&amp;期货（ln）'!W57</f>
      </c>
      <c r="X38" s="12">
        <f>'中国汇率&amp;期货（ln）'!X38-'中国汇率&amp;期货（ln）'!X57</f>
      </c>
      <c r="Y38" s="12">
        <f>'中国汇率&amp;期货（ln）'!Y38-'中国汇率&amp;期货（ln）'!Y57</f>
      </c>
      <c r="Z38" s="12">
        <f>'中国汇率&amp;期货（ln）'!Z38-'中国汇率&amp;期货（ln）'!Z57</f>
      </c>
      <c r="AA38" s="12">
        <f>'中国汇率&amp;期货（ln）'!AA38-'中国汇率&amp;期货（ln）'!AA57</f>
      </c>
      <c r="AB38" s="12">
        <f>'中国汇率&amp;期货（ln）'!AB38-'中国汇率&amp;期货（ln）'!AB57</f>
      </c>
      <c r="AC38" s="12">
        <f>'中国汇率&amp;期货（ln）'!AC38-'中国汇率&amp;期货（ln）'!AC57</f>
      </c>
      <c r="AD38" s="12">
        <f>'中国汇率&amp;期货（ln）'!AD38-'中国汇率&amp;期货（ln）'!AD57</f>
      </c>
      <c r="AE38" s="12">
        <f>'中国汇率&amp;期货（ln）'!AE38-'中国汇率&amp;期货（ln）'!AE57</f>
      </c>
      <c r="AF38" s="12">
        <f>'中国汇率&amp;期货（ln）'!AF38-'中国汇率&amp;期货（ln）'!AF57</f>
      </c>
      <c r="AG38" s="12">
        <f>'中国汇率&amp;期货（ln）'!AG38-'中国汇率&amp;期货（ln）'!AG57</f>
      </c>
      <c r="AH38" s="12">
        <f>'中国汇率&amp;期货（ln）'!AH38-'中国汇率&amp;期货（ln）'!AH57</f>
      </c>
      <c r="AI38" s="12">
        <f>'中国汇率&amp;期货（ln）'!AI38-'中国汇率&amp;期货（ln）'!AI57</f>
      </c>
      <c r="AJ38" s="12">
        <f>'中国汇率&amp;期货（ln）'!AJ38-'中国汇率&amp;期货（ln）'!AJ57</f>
      </c>
      <c r="AK38" s="12">
        <f>'中国汇率&amp;期货（ln）'!AK38-'中国汇率&amp;期货（ln）'!AK57</f>
      </c>
      <c r="AL38" s="12">
        <f>'中国汇率&amp;期货（ln）'!AL38-'中国汇率&amp;期货（ln）'!AL57</f>
      </c>
      <c r="AM38" s="12">
        <f>'中国汇率&amp;期货（ln）'!AM38-'中国汇率&amp;期货（ln）'!AM57</f>
      </c>
      <c r="AN38" s="12">
        <f>'中国汇率&amp;期货（ln）'!AN38-'中国汇率&amp;期货（ln）'!AN57</f>
      </c>
      <c r="AO38" s="12">
        <f>'中国汇率&amp;期货（ln）'!AO38-'中国汇率&amp;期货（ln）'!AO57</f>
      </c>
      <c r="AP38" s="12">
        <f>'中国汇率&amp;期货（ln）'!AP38-'中国汇率&amp;期货（ln）'!AP57</f>
      </c>
      <c r="AQ38" s="12">
        <f>'中国汇率&amp;期货（ln）'!AQ38-'中国汇率&amp;期货（ln）'!AQ57</f>
      </c>
      <c r="AR38" s="12">
        <f>'中国汇率&amp;期货（ln）'!AR38-'中国汇率&amp;期货（ln）'!AR57</f>
      </c>
      <c r="AS38" s="12">
        <f>'中国汇率&amp;期货（ln）'!AS38-'中国汇率&amp;期货（ln）'!AS57</f>
      </c>
      <c r="AT38" s="12">
        <f>'中国汇率&amp;期货（ln）'!AT38-'中国汇率&amp;期货（ln）'!AT57</f>
      </c>
      <c r="AU38" s="12">
        <f>'中国汇率&amp;期货（ln）'!AU38-'中国汇率&amp;期货（ln）'!AU57</f>
      </c>
      <c r="AV38" s="12">
        <f>'中国汇率&amp;期货（ln）'!AV38-'中国汇率&amp;期货（ln）'!AV57</f>
      </c>
      <c r="AW38" s="12">
        <f>'中国汇率&amp;期货（ln）'!AW38-'中国汇率&amp;期货（ln）'!AW57</f>
      </c>
      <c r="AX38" s="12">
        <f>'中国汇率&amp;期货（ln）'!AX38-'中国汇率&amp;期货（ln）'!AX57</f>
      </c>
      <c r="AY38" s="12">
        <f>'中国汇率&amp;期货（ln）'!AY38-'中国汇率&amp;期货（ln）'!AY57</f>
      </c>
      <c r="AZ38" s="12">
        <f>'中国汇率&amp;期货（ln）'!AZ38-'中国汇率&amp;期货（ln）'!AZ57</f>
      </c>
      <c r="BA38" s="12">
        <f>'中国汇率&amp;期货（ln）'!BA38-'中国汇率&amp;期货（ln）'!BA57</f>
      </c>
      <c r="BB38" s="12">
        <f>'中国汇率&amp;期货（ln）'!BB38-'中国汇率&amp;期货（ln）'!BB57</f>
      </c>
      <c r="BC38" s="12">
        <f>'中国汇率&amp;期货（ln）'!BC38-'中国汇率&amp;期货（ln）'!BC57</f>
      </c>
      <c r="BD38" s="12">
        <f>'中国汇率&amp;期货（ln）'!BD38-'中国汇率&amp;期货（ln）'!BD57</f>
      </c>
      <c r="BE38" s="12">
        <f>'中国汇率&amp;期货（ln）'!BE38-'中国汇率&amp;期货（ln）'!BE57</f>
      </c>
    </row>
    <row x14ac:dyDescent="0.25" r="39" customHeight="1" ht="18.75">
      <c r="A39" s="1"/>
      <c r="B39" s="12">
        <f>'中国汇率&amp;期货（ln）'!B39-'中国汇率&amp;期货（ln）'!B58</f>
      </c>
      <c r="C39" s="12">
        <f>'中国汇率&amp;期货（ln）'!C39-'中国汇率&amp;期货（ln）'!C58</f>
      </c>
      <c r="D39" s="12">
        <f>'中国汇率&amp;期货（ln）'!D39-'中国汇率&amp;期货（ln）'!D58</f>
      </c>
      <c r="E39" s="12">
        <f>'中国汇率&amp;期货（ln）'!E39-'中国汇率&amp;期货（ln）'!E58</f>
      </c>
      <c r="F39" s="12">
        <f>'中国汇率&amp;期货（ln）'!F39-'中国汇率&amp;期货（ln）'!F58</f>
      </c>
      <c r="G39" s="12">
        <f>'中国汇率&amp;期货（ln）'!G39-'中国汇率&amp;期货（ln）'!G58</f>
      </c>
      <c r="H39" s="12">
        <f>'中国汇率&amp;期货（ln）'!H39-'中国汇率&amp;期货（ln）'!H58</f>
      </c>
      <c r="I39" s="12">
        <f>'中国汇率&amp;期货（ln）'!I39-'中国汇率&amp;期货（ln）'!I58</f>
      </c>
      <c r="J39" s="12">
        <f>'中国汇率&amp;期货（ln）'!J39-'中国汇率&amp;期货（ln）'!J58</f>
      </c>
      <c r="K39" s="12">
        <f>'中国汇率&amp;期货（ln）'!K39-'中国汇率&amp;期货（ln）'!K58</f>
      </c>
      <c r="L39" s="12">
        <f>'中国汇率&amp;期货（ln）'!L39-'中国汇率&amp;期货（ln）'!L58</f>
      </c>
      <c r="M39" s="12">
        <f>'中国汇率&amp;期货（ln）'!M39-'中国汇率&amp;期货（ln）'!M58</f>
      </c>
      <c r="N39" s="12">
        <f>'中国汇率&amp;期货（ln）'!N39-'中国汇率&amp;期货（ln）'!N58</f>
      </c>
      <c r="O39" s="12">
        <f>'中国汇率&amp;期货（ln）'!O39-'中国汇率&amp;期货（ln）'!O58</f>
      </c>
      <c r="P39" s="12">
        <f>'中国汇率&amp;期货（ln）'!P39-'中国汇率&amp;期货（ln）'!P58</f>
      </c>
      <c r="Q39" s="12">
        <f>'中国汇率&amp;期货（ln）'!Q39-'中国汇率&amp;期货（ln）'!Q58</f>
      </c>
      <c r="R39" s="12">
        <f>'中国汇率&amp;期货（ln）'!R39-'中国汇率&amp;期货（ln）'!R58</f>
      </c>
      <c r="S39" s="12">
        <f>'中国汇率&amp;期货（ln）'!S39-'中国汇率&amp;期货（ln）'!S58</f>
      </c>
      <c r="T39" s="12">
        <f>'中国汇率&amp;期货（ln）'!T39-'中国汇率&amp;期货（ln）'!T58</f>
      </c>
      <c r="U39" s="12">
        <f>'中国汇率&amp;期货（ln）'!U39-'中国汇率&amp;期货（ln）'!U58</f>
      </c>
      <c r="V39" s="12">
        <f>'中国汇率&amp;期货（ln）'!V39-'中国汇率&amp;期货（ln）'!V58</f>
      </c>
      <c r="W39" s="12">
        <f>'中国汇率&amp;期货（ln）'!W39-'中国汇率&amp;期货（ln）'!W58</f>
      </c>
      <c r="X39" s="12">
        <f>'中国汇率&amp;期货（ln）'!X39-'中国汇率&amp;期货（ln）'!X58</f>
      </c>
      <c r="Y39" s="12">
        <f>'中国汇率&amp;期货（ln）'!Y39-'中国汇率&amp;期货（ln）'!Y58</f>
      </c>
      <c r="Z39" s="12">
        <f>'中国汇率&amp;期货（ln）'!Z39-'中国汇率&amp;期货（ln）'!Z58</f>
      </c>
      <c r="AA39" s="12">
        <f>'中国汇率&amp;期货（ln）'!AA39-'中国汇率&amp;期货（ln）'!AA58</f>
      </c>
      <c r="AB39" s="12">
        <f>'中国汇率&amp;期货（ln）'!AB39-'中国汇率&amp;期货（ln）'!AB58</f>
      </c>
      <c r="AC39" s="12">
        <f>'中国汇率&amp;期货（ln）'!AC39-'中国汇率&amp;期货（ln）'!AC58</f>
      </c>
      <c r="AD39" s="12">
        <f>'中国汇率&amp;期货（ln）'!AD39-'中国汇率&amp;期货（ln）'!AD58</f>
      </c>
      <c r="AE39" s="12">
        <f>'中国汇率&amp;期货（ln）'!AE39-'中国汇率&amp;期货（ln）'!AE58</f>
      </c>
      <c r="AF39" s="12">
        <f>'中国汇率&amp;期货（ln）'!AF39-'中国汇率&amp;期货（ln）'!AF58</f>
      </c>
      <c r="AG39" s="12">
        <f>'中国汇率&amp;期货（ln）'!AG39-'中国汇率&amp;期货（ln）'!AG58</f>
      </c>
      <c r="AH39" s="12">
        <f>'中国汇率&amp;期货（ln）'!AH39-'中国汇率&amp;期货（ln）'!AH58</f>
      </c>
      <c r="AI39" s="12">
        <f>'中国汇率&amp;期货（ln）'!AI39-'中国汇率&amp;期货（ln）'!AI58</f>
      </c>
      <c r="AJ39" s="12">
        <f>'中国汇率&amp;期货（ln）'!AJ39-'中国汇率&amp;期货（ln）'!AJ58</f>
      </c>
      <c r="AK39" s="12">
        <f>'中国汇率&amp;期货（ln）'!AK39-'中国汇率&amp;期货（ln）'!AK58</f>
      </c>
      <c r="AL39" s="12">
        <f>'中国汇率&amp;期货（ln）'!AL39-'中国汇率&amp;期货（ln）'!AL58</f>
      </c>
      <c r="AM39" s="12">
        <f>'中国汇率&amp;期货（ln）'!AM39-'中国汇率&amp;期货（ln）'!AM58</f>
      </c>
      <c r="AN39" s="12">
        <f>'中国汇率&amp;期货（ln）'!AN39-'中国汇率&amp;期货（ln）'!AN58</f>
      </c>
      <c r="AO39" s="12">
        <f>'中国汇率&amp;期货（ln）'!AO39-'中国汇率&amp;期货（ln）'!AO58</f>
      </c>
      <c r="AP39" s="12">
        <f>'中国汇率&amp;期货（ln）'!AP39-'中国汇率&amp;期货（ln）'!AP58</f>
      </c>
      <c r="AQ39" s="12">
        <f>'中国汇率&amp;期货（ln）'!AQ39-'中国汇率&amp;期货（ln）'!AQ58</f>
      </c>
      <c r="AR39" s="12">
        <f>'中国汇率&amp;期货（ln）'!AR39-'中国汇率&amp;期货（ln）'!AR58</f>
      </c>
      <c r="AS39" s="12">
        <f>'中国汇率&amp;期货（ln）'!AS39-'中国汇率&amp;期货（ln）'!AS58</f>
      </c>
      <c r="AT39" s="12">
        <f>'中国汇率&amp;期货（ln）'!AT39-'中国汇率&amp;期货（ln）'!AT58</f>
      </c>
      <c r="AU39" s="12">
        <f>'中国汇率&amp;期货（ln）'!AU39-'中国汇率&amp;期货（ln）'!AU58</f>
      </c>
      <c r="AV39" s="12">
        <f>'中国汇率&amp;期货（ln）'!AV39-'中国汇率&amp;期货（ln）'!AV58</f>
      </c>
      <c r="AW39" s="12">
        <f>'中国汇率&amp;期货（ln）'!AW39-'中国汇率&amp;期货（ln）'!AW58</f>
      </c>
      <c r="AX39" s="12">
        <f>'中国汇率&amp;期货（ln）'!AX39-'中国汇率&amp;期货（ln）'!AX58</f>
      </c>
      <c r="AY39" s="12">
        <f>'中国汇率&amp;期货（ln）'!AY39-'中国汇率&amp;期货（ln）'!AY58</f>
      </c>
      <c r="AZ39" s="12">
        <f>'中国汇率&amp;期货（ln）'!AZ39-'中国汇率&amp;期货（ln）'!AZ58</f>
      </c>
      <c r="BA39" s="12">
        <f>'中国汇率&amp;期货（ln）'!BA39-'中国汇率&amp;期货（ln）'!BA58</f>
      </c>
      <c r="BB39" s="12">
        <f>'中国汇率&amp;期货（ln）'!BB39-'中国汇率&amp;期货（ln）'!BB58</f>
      </c>
      <c r="BC39" s="12">
        <f>'中国汇率&amp;期货（ln）'!BC39-'中国汇率&amp;期货（ln）'!BC58</f>
      </c>
      <c r="BD39" s="12">
        <f>'中国汇率&amp;期货（ln）'!BD39-'中国汇率&amp;期货（ln）'!BD58</f>
      </c>
      <c r="BE39" s="12">
        <f>'中国汇率&amp;期货（ln）'!BE39-'中国汇率&amp;期货（ln）'!BE58</f>
      </c>
    </row>
    <row x14ac:dyDescent="0.25" r="40" customHeight="1" ht="18.75">
      <c r="A40" s="1"/>
      <c r="B40" s="12">
        <f>'中国汇率&amp;期货（ln）'!B40-'中国汇率&amp;期货（ln）'!B59</f>
      </c>
      <c r="C40" s="12">
        <f>'中国汇率&amp;期货（ln）'!C40-'中国汇率&amp;期货（ln）'!C59</f>
      </c>
      <c r="D40" s="12">
        <f>'中国汇率&amp;期货（ln）'!D40-'中国汇率&amp;期货（ln）'!D59</f>
      </c>
      <c r="E40" s="12">
        <f>'中国汇率&amp;期货（ln）'!E40-'中国汇率&amp;期货（ln）'!E59</f>
      </c>
      <c r="F40" s="12">
        <f>'中国汇率&amp;期货（ln）'!F40-'中国汇率&amp;期货（ln）'!F59</f>
      </c>
      <c r="G40" s="12">
        <f>'中国汇率&amp;期货（ln）'!G40-'中国汇率&amp;期货（ln）'!G59</f>
      </c>
      <c r="H40" s="12">
        <f>'中国汇率&amp;期货（ln）'!H40-'中国汇率&amp;期货（ln）'!H59</f>
      </c>
      <c r="I40" s="12">
        <f>'中国汇率&amp;期货（ln）'!I40-'中国汇率&amp;期货（ln）'!I59</f>
      </c>
      <c r="J40" s="12">
        <f>'中国汇率&amp;期货（ln）'!J40-'中国汇率&amp;期货（ln）'!J59</f>
      </c>
      <c r="K40" s="12">
        <f>'中国汇率&amp;期货（ln）'!K40-'中国汇率&amp;期货（ln）'!K59</f>
      </c>
      <c r="L40" s="12">
        <f>'中国汇率&amp;期货（ln）'!L40-'中国汇率&amp;期货（ln）'!L59</f>
      </c>
      <c r="M40" s="12">
        <f>'中国汇率&amp;期货（ln）'!M40-'中国汇率&amp;期货（ln）'!M59</f>
      </c>
      <c r="N40" s="12">
        <f>'中国汇率&amp;期货（ln）'!N40-'中国汇率&amp;期货（ln）'!N59</f>
      </c>
      <c r="O40" s="12">
        <f>'中国汇率&amp;期货（ln）'!O40-'中国汇率&amp;期货（ln）'!O59</f>
      </c>
      <c r="P40" s="12">
        <f>'中国汇率&amp;期货（ln）'!P40-'中国汇率&amp;期货（ln）'!P59</f>
      </c>
      <c r="Q40" s="12">
        <f>'中国汇率&amp;期货（ln）'!Q40-'中国汇率&amp;期货（ln）'!Q59</f>
      </c>
      <c r="R40" s="12">
        <f>'中国汇率&amp;期货（ln）'!R40-'中国汇率&amp;期货（ln）'!R59</f>
      </c>
      <c r="S40" s="12">
        <f>'中国汇率&amp;期货（ln）'!S40-'中国汇率&amp;期货（ln）'!S59</f>
      </c>
      <c r="T40" s="12">
        <f>'中国汇率&amp;期货（ln）'!T40-'中国汇率&amp;期货（ln）'!T59</f>
      </c>
      <c r="U40" s="12">
        <f>'中国汇率&amp;期货（ln）'!U40-'中国汇率&amp;期货（ln）'!U59</f>
      </c>
      <c r="V40" s="12">
        <f>'中国汇率&amp;期货（ln）'!V40-'中国汇率&amp;期货（ln）'!V59</f>
      </c>
      <c r="W40" s="12">
        <f>'中国汇率&amp;期货（ln）'!W40-'中国汇率&amp;期货（ln）'!W59</f>
      </c>
      <c r="X40" s="12">
        <f>'中国汇率&amp;期货（ln）'!X40-'中国汇率&amp;期货（ln）'!X59</f>
      </c>
      <c r="Y40" s="12">
        <f>'中国汇率&amp;期货（ln）'!Y40-'中国汇率&amp;期货（ln）'!Y59</f>
      </c>
      <c r="Z40" s="12">
        <f>'中国汇率&amp;期货（ln）'!Z40-'中国汇率&amp;期货（ln）'!Z59</f>
      </c>
      <c r="AA40" s="12">
        <f>'中国汇率&amp;期货（ln）'!AA40-'中国汇率&amp;期货（ln）'!AA59</f>
      </c>
      <c r="AB40" s="12">
        <f>'中国汇率&amp;期货（ln）'!AB40-'中国汇率&amp;期货（ln）'!AB59</f>
      </c>
      <c r="AC40" s="12">
        <f>'中国汇率&amp;期货（ln）'!AC40-'中国汇率&amp;期货（ln）'!AC59</f>
      </c>
      <c r="AD40" s="12">
        <f>'中国汇率&amp;期货（ln）'!AD40-'中国汇率&amp;期货（ln）'!AD59</f>
      </c>
      <c r="AE40" s="12">
        <f>'中国汇率&amp;期货（ln）'!AE40-'中国汇率&amp;期货（ln）'!AE59</f>
      </c>
      <c r="AF40" s="12">
        <f>'中国汇率&amp;期货（ln）'!AF40-'中国汇率&amp;期货（ln）'!AF59</f>
      </c>
      <c r="AG40" s="12">
        <f>'中国汇率&amp;期货（ln）'!AG40-'中国汇率&amp;期货（ln）'!AG59</f>
      </c>
      <c r="AH40" s="12">
        <f>'中国汇率&amp;期货（ln）'!AH40-'中国汇率&amp;期货（ln）'!AH59</f>
      </c>
      <c r="AI40" s="12">
        <f>'中国汇率&amp;期货（ln）'!AI40-'中国汇率&amp;期货（ln）'!AI59</f>
      </c>
      <c r="AJ40" s="12">
        <f>'中国汇率&amp;期货（ln）'!AJ40-'中国汇率&amp;期货（ln）'!AJ59</f>
      </c>
      <c r="AK40" s="12">
        <f>'中国汇率&amp;期货（ln）'!AK40-'中国汇率&amp;期货（ln）'!AK59</f>
      </c>
      <c r="AL40" s="12">
        <f>'中国汇率&amp;期货（ln）'!AL40-'中国汇率&amp;期货（ln）'!AL59</f>
      </c>
      <c r="AM40" s="12">
        <f>'中国汇率&amp;期货（ln）'!AM40-'中国汇率&amp;期货（ln）'!AM59</f>
      </c>
      <c r="AN40" s="12">
        <f>'中国汇率&amp;期货（ln）'!AN40-'中国汇率&amp;期货（ln）'!AN59</f>
      </c>
      <c r="AO40" s="12">
        <f>'中国汇率&amp;期货（ln）'!AO40-'中国汇率&amp;期货（ln）'!AO59</f>
      </c>
      <c r="AP40" s="12">
        <f>'中国汇率&amp;期货（ln）'!AP40-'中国汇率&amp;期货（ln）'!AP59</f>
      </c>
      <c r="AQ40" s="12">
        <f>'中国汇率&amp;期货（ln）'!AQ40-'中国汇率&amp;期货（ln）'!AQ59</f>
      </c>
      <c r="AR40" s="12">
        <f>'中国汇率&amp;期货（ln）'!AR40-'中国汇率&amp;期货（ln）'!AR59</f>
      </c>
      <c r="AS40" s="12">
        <f>'中国汇率&amp;期货（ln）'!AS40-'中国汇率&amp;期货（ln）'!AS59</f>
      </c>
      <c r="AT40" s="12">
        <f>'中国汇率&amp;期货（ln）'!AT40-'中国汇率&amp;期货（ln）'!AT59</f>
      </c>
      <c r="AU40" s="12">
        <f>'中国汇率&amp;期货（ln）'!AU40-'中国汇率&amp;期货（ln）'!AU59</f>
      </c>
      <c r="AV40" s="12">
        <f>'中国汇率&amp;期货（ln）'!AV40-'中国汇率&amp;期货（ln）'!AV59</f>
      </c>
      <c r="AW40" s="12">
        <f>'中国汇率&amp;期货（ln）'!AW40-'中国汇率&amp;期货（ln）'!AW59</f>
      </c>
      <c r="AX40" s="12">
        <f>'中国汇率&amp;期货（ln）'!AX40-'中国汇率&amp;期货（ln）'!AX59</f>
      </c>
      <c r="AY40" s="12">
        <f>'中国汇率&amp;期货（ln）'!AY40-'中国汇率&amp;期货（ln）'!AY59</f>
      </c>
      <c r="AZ40" s="12">
        <f>'中国汇率&amp;期货（ln）'!AZ40-'中国汇率&amp;期货（ln）'!AZ59</f>
      </c>
      <c r="BA40" s="12">
        <f>'中国汇率&amp;期货（ln）'!BA40-'中国汇率&amp;期货（ln）'!BA59</f>
      </c>
      <c r="BB40" s="12">
        <f>'中国汇率&amp;期货（ln）'!BB40-'中国汇率&amp;期货（ln）'!BB59</f>
      </c>
      <c r="BC40" s="12">
        <f>'中国汇率&amp;期货（ln）'!BC40-'中国汇率&amp;期货（ln）'!BC59</f>
      </c>
      <c r="BD40" s="12">
        <f>'中国汇率&amp;期货（ln）'!BD40-'中国汇率&amp;期货（ln）'!BD59</f>
      </c>
      <c r="BE40" s="12">
        <f>'中国汇率&amp;期货（ln）'!BE40-'中国汇率&amp;期货（ln）'!BE59</f>
      </c>
    </row>
    <row x14ac:dyDescent="0.25" r="41" customHeight="1" ht="18.75">
      <c r="A41" s="1"/>
      <c r="B41" s="12">
        <f>'中国汇率&amp;期货（ln）'!B41-'中国汇率&amp;期货（ln）'!B60</f>
      </c>
      <c r="C41" s="12">
        <f>'中国汇率&amp;期货（ln）'!C41-'中国汇率&amp;期货（ln）'!C60</f>
      </c>
      <c r="D41" s="12">
        <f>'中国汇率&amp;期货（ln）'!D41-'中国汇率&amp;期货（ln）'!D60</f>
      </c>
      <c r="E41" s="12">
        <f>'中国汇率&amp;期货（ln）'!E41-'中国汇率&amp;期货（ln）'!E60</f>
      </c>
      <c r="F41" s="12">
        <f>'中国汇率&amp;期货（ln）'!F41-'中国汇率&amp;期货（ln）'!F60</f>
      </c>
      <c r="G41" s="12">
        <f>'中国汇率&amp;期货（ln）'!G41-'中国汇率&amp;期货（ln）'!G60</f>
      </c>
      <c r="H41" s="12">
        <f>'中国汇率&amp;期货（ln）'!H41-'中国汇率&amp;期货（ln）'!H60</f>
      </c>
      <c r="I41" s="12">
        <f>'中国汇率&amp;期货（ln）'!I41-'中国汇率&amp;期货（ln）'!I60</f>
      </c>
      <c r="J41" s="12">
        <f>'中国汇率&amp;期货（ln）'!J41-'中国汇率&amp;期货（ln）'!J60</f>
      </c>
      <c r="K41" s="12">
        <f>'中国汇率&amp;期货（ln）'!K41-'中国汇率&amp;期货（ln）'!K60</f>
      </c>
      <c r="L41" s="12">
        <f>'中国汇率&amp;期货（ln）'!L41-'中国汇率&amp;期货（ln）'!L60</f>
      </c>
      <c r="M41" s="12">
        <f>'中国汇率&amp;期货（ln）'!M41-'中国汇率&amp;期货（ln）'!M60</f>
      </c>
      <c r="N41" s="12">
        <f>'中国汇率&amp;期货（ln）'!N41-'中国汇率&amp;期货（ln）'!N60</f>
      </c>
      <c r="O41" s="12">
        <f>'中国汇率&amp;期货（ln）'!O41-'中国汇率&amp;期货（ln）'!O60</f>
      </c>
      <c r="P41" s="12">
        <f>'中国汇率&amp;期货（ln）'!P41-'中国汇率&amp;期货（ln）'!P60</f>
      </c>
      <c r="Q41" s="12">
        <f>'中国汇率&amp;期货（ln）'!Q41-'中国汇率&amp;期货（ln）'!Q60</f>
      </c>
      <c r="R41" s="12">
        <f>'中国汇率&amp;期货（ln）'!R41-'中国汇率&amp;期货（ln）'!R60</f>
      </c>
      <c r="S41" s="12">
        <f>'中国汇率&amp;期货（ln）'!S41-'中国汇率&amp;期货（ln）'!S60</f>
      </c>
      <c r="T41" s="12">
        <f>'中国汇率&amp;期货（ln）'!T41-'中国汇率&amp;期货（ln）'!T60</f>
      </c>
      <c r="U41" s="12">
        <f>'中国汇率&amp;期货（ln）'!U41-'中国汇率&amp;期货（ln）'!U60</f>
      </c>
      <c r="V41" s="12">
        <f>'中国汇率&amp;期货（ln）'!V41-'中国汇率&amp;期货（ln）'!V60</f>
      </c>
      <c r="W41" s="12">
        <f>'中国汇率&amp;期货（ln）'!W41-'中国汇率&amp;期货（ln）'!W60</f>
      </c>
      <c r="X41" s="12">
        <f>'中国汇率&amp;期货（ln）'!X41-'中国汇率&amp;期货（ln）'!X60</f>
      </c>
      <c r="Y41" s="12">
        <f>'中国汇率&amp;期货（ln）'!Y41-'中国汇率&amp;期货（ln）'!Y60</f>
      </c>
      <c r="Z41" s="12">
        <f>'中国汇率&amp;期货（ln）'!Z41-'中国汇率&amp;期货（ln）'!Z60</f>
      </c>
      <c r="AA41" s="12">
        <f>'中国汇率&amp;期货（ln）'!AA41-'中国汇率&amp;期货（ln）'!AA60</f>
      </c>
      <c r="AB41" s="12">
        <f>'中国汇率&amp;期货（ln）'!AB41-'中国汇率&amp;期货（ln）'!AB60</f>
      </c>
      <c r="AC41" s="12">
        <f>'中国汇率&amp;期货（ln）'!AC41-'中国汇率&amp;期货（ln）'!AC60</f>
      </c>
      <c r="AD41" s="12">
        <f>'中国汇率&amp;期货（ln）'!AD41-'中国汇率&amp;期货（ln）'!AD60</f>
      </c>
      <c r="AE41" s="12">
        <f>'中国汇率&amp;期货（ln）'!AE41-'中国汇率&amp;期货（ln）'!AE60</f>
      </c>
      <c r="AF41" s="12">
        <f>'中国汇率&amp;期货（ln）'!AF41-'中国汇率&amp;期货（ln）'!AF60</f>
      </c>
      <c r="AG41" s="12">
        <f>'中国汇率&amp;期货（ln）'!AG41-'中国汇率&amp;期货（ln）'!AG60</f>
      </c>
      <c r="AH41" s="12">
        <f>'中国汇率&amp;期货（ln）'!AH41-'中国汇率&amp;期货（ln）'!AH60</f>
      </c>
      <c r="AI41" s="12">
        <f>'中国汇率&amp;期货（ln）'!AI41-'中国汇率&amp;期货（ln）'!AI60</f>
      </c>
      <c r="AJ41" s="12">
        <f>'中国汇率&amp;期货（ln）'!AJ41-'中国汇率&amp;期货（ln）'!AJ60</f>
      </c>
      <c r="AK41" s="12">
        <f>'中国汇率&amp;期货（ln）'!AK41-'中国汇率&amp;期货（ln）'!AK60</f>
      </c>
      <c r="AL41" s="12">
        <f>'中国汇率&amp;期货（ln）'!AL41-'中国汇率&amp;期货（ln）'!AL60</f>
      </c>
      <c r="AM41" s="12">
        <f>'中国汇率&amp;期货（ln）'!AM41-'中国汇率&amp;期货（ln）'!AM60</f>
      </c>
      <c r="AN41" s="12">
        <f>'中国汇率&amp;期货（ln）'!AN41-'中国汇率&amp;期货（ln）'!AN60</f>
      </c>
      <c r="AO41" s="12">
        <f>'中国汇率&amp;期货（ln）'!AO41-'中国汇率&amp;期货（ln）'!AO60</f>
      </c>
      <c r="AP41" s="12">
        <f>'中国汇率&amp;期货（ln）'!AP41-'中国汇率&amp;期货（ln）'!AP60</f>
      </c>
      <c r="AQ41" s="12">
        <f>'中国汇率&amp;期货（ln）'!AQ41-'中国汇率&amp;期货（ln）'!AQ60</f>
      </c>
      <c r="AR41" s="12">
        <f>'中国汇率&amp;期货（ln）'!AR41-'中国汇率&amp;期货（ln）'!AR60</f>
      </c>
      <c r="AS41" s="12">
        <f>'中国汇率&amp;期货（ln）'!AS41-'中国汇率&amp;期货（ln）'!AS60</f>
      </c>
      <c r="AT41" s="12">
        <f>'中国汇率&amp;期货（ln）'!AT41-'中国汇率&amp;期货（ln）'!AT60</f>
      </c>
      <c r="AU41" s="12">
        <f>'中国汇率&amp;期货（ln）'!AU41-'中国汇率&amp;期货（ln）'!AU60</f>
      </c>
      <c r="AV41" s="12">
        <f>'中国汇率&amp;期货（ln）'!AV41-'中国汇率&amp;期货（ln）'!AV60</f>
      </c>
      <c r="AW41" s="12">
        <f>'中国汇率&amp;期货（ln）'!AW41-'中国汇率&amp;期货（ln）'!AW60</f>
      </c>
      <c r="AX41" s="12">
        <f>'中国汇率&amp;期货（ln）'!AX41-'中国汇率&amp;期货（ln）'!AX60</f>
      </c>
      <c r="AY41" s="12">
        <f>'中国汇率&amp;期货（ln）'!AY41-'中国汇率&amp;期货（ln）'!AY60</f>
      </c>
      <c r="AZ41" s="12">
        <f>'中国汇率&amp;期货（ln）'!AZ41-'中国汇率&amp;期货（ln）'!AZ60</f>
      </c>
      <c r="BA41" s="12">
        <f>'中国汇率&amp;期货（ln）'!BA41-'中国汇率&amp;期货（ln）'!BA60</f>
      </c>
      <c r="BB41" s="12">
        <f>'中国汇率&amp;期货（ln）'!BB41-'中国汇率&amp;期货（ln）'!BB60</f>
      </c>
      <c r="BC41" s="12">
        <f>'中国汇率&amp;期货（ln）'!BC41-'中国汇率&amp;期货（ln）'!BC60</f>
      </c>
      <c r="BD41" s="12">
        <f>'中国汇率&amp;期货（ln）'!BD41-'中国汇率&amp;期货（ln）'!BD60</f>
      </c>
      <c r="BE41" s="12">
        <f>'中国汇率&amp;期货（ln）'!BE41-'中国汇率&amp;期货（ln）'!BE60</f>
      </c>
    </row>
    <row x14ac:dyDescent="0.25" r="42" customHeight="1" ht="18.75">
      <c r="A42" s="1"/>
      <c r="B42" s="12">
        <f>'中国汇率&amp;期货（ln）'!B42-'中国汇率&amp;期货（ln）'!B61</f>
      </c>
      <c r="C42" s="12">
        <f>'中国汇率&amp;期货（ln）'!C42-'中国汇率&amp;期货（ln）'!C61</f>
      </c>
      <c r="D42" s="12">
        <f>'中国汇率&amp;期货（ln）'!D42-'中国汇率&amp;期货（ln）'!D61</f>
      </c>
      <c r="E42" s="12">
        <f>'中国汇率&amp;期货（ln）'!E42-'中国汇率&amp;期货（ln）'!E61</f>
      </c>
      <c r="F42" s="12">
        <f>'中国汇率&amp;期货（ln）'!F42-'中国汇率&amp;期货（ln）'!F61</f>
      </c>
      <c r="G42" s="12">
        <f>'中国汇率&amp;期货（ln）'!G42-'中国汇率&amp;期货（ln）'!G61</f>
      </c>
      <c r="H42" s="12">
        <f>'中国汇率&amp;期货（ln）'!H42-'中国汇率&amp;期货（ln）'!H61</f>
      </c>
      <c r="I42" s="12">
        <f>'中国汇率&amp;期货（ln）'!I42-'中国汇率&amp;期货（ln）'!I61</f>
      </c>
      <c r="J42" s="12">
        <f>'中国汇率&amp;期货（ln）'!J42-'中国汇率&amp;期货（ln）'!J61</f>
      </c>
      <c r="K42" s="12">
        <f>'中国汇率&amp;期货（ln）'!K42-'中国汇率&amp;期货（ln）'!K61</f>
      </c>
      <c r="L42" s="12">
        <f>'中国汇率&amp;期货（ln）'!L42-'中国汇率&amp;期货（ln）'!L61</f>
      </c>
      <c r="M42" s="12">
        <f>'中国汇率&amp;期货（ln）'!M42-'中国汇率&amp;期货（ln）'!M61</f>
      </c>
      <c r="N42" s="12">
        <f>'中国汇率&amp;期货（ln）'!N42-'中国汇率&amp;期货（ln）'!N61</f>
      </c>
      <c r="O42" s="12">
        <f>'中国汇率&amp;期货（ln）'!O42-'中国汇率&amp;期货（ln）'!O61</f>
      </c>
      <c r="P42" s="12">
        <f>'中国汇率&amp;期货（ln）'!P42-'中国汇率&amp;期货（ln）'!P61</f>
      </c>
      <c r="Q42" s="12">
        <f>'中国汇率&amp;期货（ln）'!Q42-'中国汇率&amp;期货（ln）'!Q61</f>
      </c>
      <c r="R42" s="12">
        <f>'中国汇率&amp;期货（ln）'!R42-'中国汇率&amp;期货（ln）'!R61</f>
      </c>
      <c r="S42" s="12">
        <f>'中国汇率&amp;期货（ln）'!S42-'中国汇率&amp;期货（ln）'!S61</f>
      </c>
      <c r="T42" s="12">
        <f>'中国汇率&amp;期货（ln）'!T42-'中国汇率&amp;期货（ln）'!T61</f>
      </c>
      <c r="U42" s="12">
        <f>'中国汇率&amp;期货（ln）'!U42-'中国汇率&amp;期货（ln）'!U61</f>
      </c>
      <c r="V42" s="12">
        <f>'中国汇率&amp;期货（ln）'!V42-'中国汇率&amp;期货（ln）'!V61</f>
      </c>
      <c r="W42" s="12">
        <f>'中国汇率&amp;期货（ln）'!W42-'中国汇率&amp;期货（ln）'!W61</f>
      </c>
      <c r="X42" s="12">
        <f>'中国汇率&amp;期货（ln）'!X42-'中国汇率&amp;期货（ln）'!X61</f>
      </c>
      <c r="Y42" s="12">
        <f>'中国汇率&amp;期货（ln）'!Y42-'中国汇率&amp;期货（ln）'!Y61</f>
      </c>
      <c r="Z42" s="12">
        <f>'中国汇率&amp;期货（ln）'!Z42-'中国汇率&amp;期货（ln）'!Z61</f>
      </c>
      <c r="AA42" s="12">
        <f>'中国汇率&amp;期货（ln）'!AA42-'中国汇率&amp;期货（ln）'!AA61</f>
      </c>
      <c r="AB42" s="12">
        <f>'中国汇率&amp;期货（ln）'!AB42-'中国汇率&amp;期货（ln）'!AB61</f>
      </c>
      <c r="AC42" s="12">
        <f>'中国汇率&amp;期货（ln）'!AC42-'中国汇率&amp;期货（ln）'!AC61</f>
      </c>
      <c r="AD42" s="12">
        <f>'中国汇率&amp;期货（ln）'!AD42-'中国汇率&amp;期货（ln）'!AD61</f>
      </c>
      <c r="AE42" s="12">
        <f>'中国汇率&amp;期货（ln）'!AE42-'中国汇率&amp;期货（ln）'!AE61</f>
      </c>
      <c r="AF42" s="12">
        <f>'中国汇率&amp;期货（ln）'!AF42-'中国汇率&amp;期货（ln）'!AF61</f>
      </c>
      <c r="AG42" s="12">
        <f>'中国汇率&amp;期货（ln）'!AG42-'中国汇率&amp;期货（ln）'!AG61</f>
      </c>
      <c r="AH42" s="12">
        <f>'中国汇率&amp;期货（ln）'!AH42-'中国汇率&amp;期货（ln）'!AH61</f>
      </c>
      <c r="AI42" s="12">
        <f>'中国汇率&amp;期货（ln）'!AI42-'中国汇率&amp;期货（ln）'!AI61</f>
      </c>
      <c r="AJ42" s="12">
        <f>'中国汇率&amp;期货（ln）'!AJ42-'中国汇率&amp;期货（ln）'!AJ61</f>
      </c>
      <c r="AK42" s="12">
        <f>'中国汇率&amp;期货（ln）'!AK42-'中国汇率&amp;期货（ln）'!AK61</f>
      </c>
      <c r="AL42" s="12">
        <f>'中国汇率&amp;期货（ln）'!AL42-'中国汇率&amp;期货（ln）'!AL61</f>
      </c>
      <c r="AM42" s="12">
        <f>'中国汇率&amp;期货（ln）'!AM42-'中国汇率&amp;期货（ln）'!AM61</f>
      </c>
      <c r="AN42" s="12">
        <f>'中国汇率&amp;期货（ln）'!AN42-'中国汇率&amp;期货（ln）'!AN61</f>
      </c>
      <c r="AO42" s="12">
        <f>'中国汇率&amp;期货（ln）'!AO42-'中国汇率&amp;期货（ln）'!AO61</f>
      </c>
      <c r="AP42" s="12">
        <f>'中国汇率&amp;期货（ln）'!AP42-'中国汇率&amp;期货（ln）'!AP61</f>
      </c>
      <c r="AQ42" s="12">
        <f>'中国汇率&amp;期货（ln）'!AQ42-'中国汇率&amp;期货（ln）'!AQ61</f>
      </c>
      <c r="AR42" s="12">
        <f>'中国汇率&amp;期货（ln）'!AR42-'中国汇率&amp;期货（ln）'!AR61</f>
      </c>
      <c r="AS42" s="12">
        <f>'中国汇率&amp;期货（ln）'!AS42-'中国汇率&amp;期货（ln）'!AS61</f>
      </c>
      <c r="AT42" s="12">
        <f>'中国汇率&amp;期货（ln）'!AT42-'中国汇率&amp;期货（ln）'!AT61</f>
      </c>
      <c r="AU42" s="12">
        <f>'中国汇率&amp;期货（ln）'!AU42-'中国汇率&amp;期货（ln）'!AU61</f>
      </c>
      <c r="AV42" s="12">
        <f>'中国汇率&amp;期货（ln）'!AV42-'中国汇率&amp;期货（ln）'!AV61</f>
      </c>
      <c r="AW42" s="12">
        <f>'中国汇率&amp;期货（ln）'!AW42-'中国汇率&amp;期货（ln）'!AW61</f>
      </c>
      <c r="AX42" s="12">
        <f>'中国汇率&amp;期货（ln）'!AX42-'中国汇率&amp;期货（ln）'!AX61</f>
      </c>
      <c r="AY42" s="12">
        <f>'中国汇率&amp;期货（ln）'!AY42-'中国汇率&amp;期货（ln）'!AY61</f>
      </c>
      <c r="AZ42" s="12">
        <f>'中国汇率&amp;期货（ln）'!AZ42-'中国汇率&amp;期货（ln）'!AZ61</f>
      </c>
      <c r="BA42" s="12">
        <f>'中国汇率&amp;期货（ln）'!BA42-'中国汇率&amp;期货（ln）'!BA61</f>
      </c>
      <c r="BB42" s="12">
        <f>'中国汇率&amp;期货（ln）'!BB42-'中国汇率&amp;期货（ln）'!BB61</f>
      </c>
      <c r="BC42" s="12">
        <f>'中国汇率&amp;期货（ln）'!BC42-'中国汇率&amp;期货（ln）'!BC61</f>
      </c>
      <c r="BD42" s="12">
        <f>'中国汇率&amp;期货（ln）'!BD42-'中国汇率&amp;期货（ln）'!BD61</f>
      </c>
      <c r="BE42" s="12">
        <f>'中国汇率&amp;期货（ln）'!BE42-'中国汇率&amp;期货（ln）'!BE61</f>
      </c>
    </row>
    <row x14ac:dyDescent="0.25" r="43" customHeight="1" ht="18.75">
      <c r="A43" s="1"/>
      <c r="B43" s="12">
        <f>'中国汇率&amp;期货（ln）'!B43-'中国汇率&amp;期货（ln）'!B62</f>
      </c>
      <c r="C43" s="12">
        <f>'中国汇率&amp;期货（ln）'!C43-'中国汇率&amp;期货（ln）'!C62</f>
      </c>
      <c r="D43" s="12">
        <f>'中国汇率&amp;期货（ln）'!D43-'中国汇率&amp;期货（ln）'!D62</f>
      </c>
      <c r="E43" s="12">
        <f>'中国汇率&amp;期货（ln）'!E43-'中国汇率&amp;期货（ln）'!E62</f>
      </c>
      <c r="F43" s="12">
        <f>'中国汇率&amp;期货（ln）'!F43-'中国汇率&amp;期货（ln）'!F62</f>
      </c>
      <c r="G43" s="12">
        <f>'中国汇率&amp;期货（ln）'!G43-'中国汇率&amp;期货（ln）'!G62</f>
      </c>
      <c r="H43" s="12">
        <f>'中国汇率&amp;期货（ln）'!H43-'中国汇率&amp;期货（ln）'!H62</f>
      </c>
      <c r="I43" s="12">
        <f>'中国汇率&amp;期货（ln）'!I43-'中国汇率&amp;期货（ln）'!I62</f>
      </c>
      <c r="J43" s="12">
        <f>'中国汇率&amp;期货（ln）'!J43-'中国汇率&amp;期货（ln）'!J62</f>
      </c>
      <c r="K43" s="12">
        <f>'中国汇率&amp;期货（ln）'!K43-'中国汇率&amp;期货（ln）'!K62</f>
      </c>
      <c r="L43" s="12">
        <f>'中国汇率&amp;期货（ln）'!L43-'中国汇率&amp;期货（ln）'!L62</f>
      </c>
      <c r="M43" s="12">
        <f>'中国汇率&amp;期货（ln）'!M43-'中国汇率&amp;期货（ln）'!M62</f>
      </c>
      <c r="N43" s="12">
        <f>'中国汇率&amp;期货（ln）'!N43-'中国汇率&amp;期货（ln）'!N62</f>
      </c>
      <c r="O43" s="12">
        <f>'中国汇率&amp;期货（ln）'!O43-'中国汇率&amp;期货（ln）'!O62</f>
      </c>
      <c r="P43" s="12">
        <f>'中国汇率&amp;期货（ln）'!P43-'中国汇率&amp;期货（ln）'!P62</f>
      </c>
      <c r="Q43" s="12">
        <f>'中国汇率&amp;期货（ln）'!Q43-'中国汇率&amp;期货（ln）'!Q62</f>
      </c>
      <c r="R43" s="12">
        <f>'中国汇率&amp;期货（ln）'!R43-'中国汇率&amp;期货（ln）'!R62</f>
      </c>
      <c r="S43" s="12">
        <f>'中国汇率&amp;期货（ln）'!S43-'中国汇率&amp;期货（ln）'!S62</f>
      </c>
      <c r="T43" s="12">
        <f>'中国汇率&amp;期货（ln）'!T43-'中国汇率&amp;期货（ln）'!T62</f>
      </c>
      <c r="U43" s="12">
        <f>'中国汇率&amp;期货（ln）'!U43-'中国汇率&amp;期货（ln）'!U62</f>
      </c>
      <c r="V43" s="12">
        <f>'中国汇率&amp;期货（ln）'!V43-'中国汇率&amp;期货（ln）'!V62</f>
      </c>
      <c r="W43" s="12">
        <f>'中国汇率&amp;期货（ln）'!W43-'中国汇率&amp;期货（ln）'!W62</f>
      </c>
      <c r="X43" s="12">
        <f>'中国汇率&amp;期货（ln）'!X43-'中国汇率&amp;期货（ln）'!X62</f>
      </c>
      <c r="Y43" s="12">
        <f>'中国汇率&amp;期货（ln）'!Y43-'中国汇率&amp;期货（ln）'!Y62</f>
      </c>
      <c r="Z43" s="12">
        <f>'中国汇率&amp;期货（ln）'!Z43-'中国汇率&amp;期货（ln）'!Z62</f>
      </c>
      <c r="AA43" s="12">
        <f>'中国汇率&amp;期货（ln）'!AA43-'中国汇率&amp;期货（ln）'!AA62</f>
      </c>
      <c r="AB43" s="12">
        <f>'中国汇率&amp;期货（ln）'!AB43-'中国汇率&amp;期货（ln）'!AB62</f>
      </c>
      <c r="AC43" s="12">
        <f>'中国汇率&amp;期货（ln）'!AC43-'中国汇率&amp;期货（ln）'!AC62</f>
      </c>
      <c r="AD43" s="12">
        <f>'中国汇率&amp;期货（ln）'!AD43-'中国汇率&amp;期货（ln）'!AD62</f>
      </c>
      <c r="AE43" s="12">
        <f>'中国汇率&amp;期货（ln）'!AE43-'中国汇率&amp;期货（ln）'!AE62</f>
      </c>
      <c r="AF43" s="12">
        <f>'中国汇率&amp;期货（ln）'!AF43-'中国汇率&amp;期货（ln）'!AF62</f>
      </c>
      <c r="AG43" s="12">
        <f>'中国汇率&amp;期货（ln）'!AG43-'中国汇率&amp;期货（ln）'!AG62</f>
      </c>
      <c r="AH43" s="12">
        <f>'中国汇率&amp;期货（ln）'!AH43-'中国汇率&amp;期货（ln）'!AH62</f>
      </c>
      <c r="AI43" s="12">
        <f>'中国汇率&amp;期货（ln）'!AI43-'中国汇率&amp;期货（ln）'!AI62</f>
      </c>
      <c r="AJ43" s="12">
        <f>'中国汇率&amp;期货（ln）'!AJ43-'中国汇率&amp;期货（ln）'!AJ62</f>
      </c>
      <c r="AK43" s="12">
        <f>'中国汇率&amp;期货（ln）'!AK43-'中国汇率&amp;期货（ln）'!AK62</f>
      </c>
      <c r="AL43" s="12">
        <f>'中国汇率&amp;期货（ln）'!AL43-'中国汇率&amp;期货（ln）'!AL62</f>
      </c>
      <c r="AM43" s="12">
        <f>'中国汇率&amp;期货（ln）'!AM43-'中国汇率&amp;期货（ln）'!AM62</f>
      </c>
      <c r="AN43" s="12">
        <f>'中国汇率&amp;期货（ln）'!AN43-'中国汇率&amp;期货（ln）'!AN62</f>
      </c>
      <c r="AO43" s="12">
        <f>'中国汇率&amp;期货（ln）'!AO43-'中国汇率&amp;期货（ln）'!AO62</f>
      </c>
      <c r="AP43" s="12">
        <f>'中国汇率&amp;期货（ln）'!AP43-'中国汇率&amp;期货（ln）'!AP62</f>
      </c>
      <c r="AQ43" s="12">
        <f>'中国汇率&amp;期货（ln）'!AQ43-'中国汇率&amp;期货（ln）'!AQ62</f>
      </c>
      <c r="AR43" s="12">
        <f>'中国汇率&amp;期货（ln）'!AR43-'中国汇率&amp;期货（ln）'!AR62</f>
      </c>
      <c r="AS43" s="12">
        <f>'中国汇率&amp;期货（ln）'!AS43-'中国汇率&amp;期货（ln）'!AS62</f>
      </c>
      <c r="AT43" s="12">
        <f>'中国汇率&amp;期货（ln）'!AT43-'中国汇率&amp;期货（ln）'!AT62</f>
      </c>
      <c r="AU43" s="12">
        <f>'中国汇率&amp;期货（ln）'!AU43-'中国汇率&amp;期货（ln）'!AU62</f>
      </c>
      <c r="AV43" s="12">
        <f>'中国汇率&amp;期货（ln）'!AV43-'中国汇率&amp;期货（ln）'!AV62</f>
      </c>
      <c r="AW43" s="12">
        <f>'中国汇率&amp;期货（ln）'!AW43-'中国汇率&amp;期货（ln）'!AW62</f>
      </c>
      <c r="AX43" s="12">
        <f>'中国汇率&amp;期货（ln）'!AX43-'中国汇率&amp;期货（ln）'!AX62</f>
      </c>
      <c r="AY43" s="12">
        <f>'中国汇率&amp;期货（ln）'!AY43-'中国汇率&amp;期货（ln）'!AY62</f>
      </c>
      <c r="AZ43" s="12">
        <f>'中国汇率&amp;期货（ln）'!AZ43-'中国汇率&amp;期货（ln）'!AZ62</f>
      </c>
      <c r="BA43" s="12">
        <f>'中国汇率&amp;期货（ln）'!BA43-'中国汇率&amp;期货（ln）'!BA62</f>
      </c>
      <c r="BB43" s="12">
        <f>'中国汇率&amp;期货（ln）'!BB43-'中国汇率&amp;期货（ln）'!BB62</f>
      </c>
      <c r="BC43" s="12">
        <f>'中国汇率&amp;期货（ln）'!BC43-'中国汇率&amp;期货（ln）'!BC62</f>
      </c>
      <c r="BD43" s="12">
        <f>'中国汇率&amp;期货（ln）'!BD43-'中国汇率&amp;期货（ln）'!BD62</f>
      </c>
      <c r="BE43" s="12">
        <f>'中国汇率&amp;期货（ln）'!BE43-'中国汇率&amp;期货（ln）'!BE62</f>
      </c>
    </row>
    <row x14ac:dyDescent="0.25" r="44" customHeight="1" ht="18.75">
      <c r="A44" s="1"/>
      <c r="B44" s="12">
        <f>'中国汇率&amp;期货（ln）'!B44-'中国汇率&amp;期货（ln）'!B63</f>
      </c>
      <c r="C44" s="12">
        <f>'中国汇率&amp;期货（ln）'!C44-'中国汇率&amp;期货（ln）'!C63</f>
      </c>
      <c r="D44" s="12">
        <f>'中国汇率&amp;期货（ln）'!D44-'中国汇率&amp;期货（ln）'!D63</f>
      </c>
      <c r="E44" s="12">
        <f>'中国汇率&amp;期货（ln）'!E44-'中国汇率&amp;期货（ln）'!E63</f>
      </c>
      <c r="F44" s="12">
        <f>'中国汇率&amp;期货（ln）'!F44-'中国汇率&amp;期货（ln）'!F63</f>
      </c>
      <c r="G44" s="12">
        <f>'中国汇率&amp;期货（ln）'!G44-'中国汇率&amp;期货（ln）'!G63</f>
      </c>
      <c r="H44" s="12">
        <f>'中国汇率&amp;期货（ln）'!H44-'中国汇率&amp;期货（ln）'!H63</f>
      </c>
      <c r="I44" s="12">
        <f>'中国汇率&amp;期货（ln）'!I44-'中国汇率&amp;期货（ln）'!I63</f>
      </c>
      <c r="J44" s="12">
        <f>'中国汇率&amp;期货（ln）'!J44-'中国汇率&amp;期货（ln）'!J63</f>
      </c>
      <c r="K44" s="12">
        <f>'中国汇率&amp;期货（ln）'!K44-'中国汇率&amp;期货（ln）'!K63</f>
      </c>
      <c r="L44" s="12">
        <f>'中国汇率&amp;期货（ln）'!L44-'中国汇率&amp;期货（ln）'!L63</f>
      </c>
      <c r="M44" s="12">
        <f>'中国汇率&amp;期货（ln）'!M44-'中国汇率&amp;期货（ln）'!M63</f>
      </c>
      <c r="N44" s="12">
        <f>'中国汇率&amp;期货（ln）'!N44-'中国汇率&amp;期货（ln）'!N63</f>
      </c>
      <c r="O44" s="12">
        <f>'中国汇率&amp;期货（ln）'!O44-'中国汇率&amp;期货（ln）'!O63</f>
      </c>
      <c r="P44" s="12">
        <f>'中国汇率&amp;期货（ln）'!P44-'中国汇率&amp;期货（ln）'!P63</f>
      </c>
      <c r="Q44" s="12">
        <f>'中国汇率&amp;期货（ln）'!Q44-'中国汇率&amp;期货（ln）'!Q63</f>
      </c>
      <c r="R44" s="12">
        <f>'中国汇率&amp;期货（ln）'!R44-'中国汇率&amp;期货（ln）'!R63</f>
      </c>
      <c r="S44" s="12">
        <f>'中国汇率&amp;期货（ln）'!S44-'中国汇率&amp;期货（ln）'!S63</f>
      </c>
      <c r="T44" s="12">
        <f>'中国汇率&amp;期货（ln）'!T44-'中国汇率&amp;期货（ln）'!T63</f>
      </c>
      <c r="U44" s="12">
        <f>'中国汇率&amp;期货（ln）'!U44-'中国汇率&amp;期货（ln）'!U63</f>
      </c>
      <c r="V44" s="12">
        <f>'中国汇率&amp;期货（ln）'!V44-'中国汇率&amp;期货（ln）'!V63</f>
      </c>
      <c r="W44" s="12">
        <f>'中国汇率&amp;期货（ln）'!W44-'中国汇率&amp;期货（ln）'!W63</f>
      </c>
      <c r="X44" s="12">
        <f>'中国汇率&amp;期货（ln）'!X44-'中国汇率&amp;期货（ln）'!X63</f>
      </c>
      <c r="Y44" s="12">
        <f>'中国汇率&amp;期货（ln）'!Y44-'中国汇率&amp;期货（ln）'!Y63</f>
      </c>
      <c r="Z44" s="12">
        <f>'中国汇率&amp;期货（ln）'!Z44-'中国汇率&amp;期货（ln）'!Z63</f>
      </c>
      <c r="AA44" s="12">
        <f>'中国汇率&amp;期货（ln）'!AA44-'中国汇率&amp;期货（ln）'!AA63</f>
      </c>
      <c r="AB44" s="12">
        <f>'中国汇率&amp;期货（ln）'!AB44-'中国汇率&amp;期货（ln）'!AB63</f>
      </c>
      <c r="AC44" s="12">
        <f>'中国汇率&amp;期货（ln）'!AC44-'中国汇率&amp;期货（ln）'!AC63</f>
      </c>
      <c r="AD44" s="12">
        <f>'中国汇率&amp;期货（ln）'!AD44-'中国汇率&amp;期货（ln）'!AD63</f>
      </c>
      <c r="AE44" s="12">
        <f>'中国汇率&amp;期货（ln）'!AE44-'中国汇率&amp;期货（ln）'!AE63</f>
      </c>
      <c r="AF44" s="12">
        <f>'中国汇率&amp;期货（ln）'!AF44-'中国汇率&amp;期货（ln）'!AF63</f>
      </c>
      <c r="AG44" s="12">
        <f>'中国汇率&amp;期货（ln）'!AG44-'中国汇率&amp;期货（ln）'!AG63</f>
      </c>
      <c r="AH44" s="12">
        <f>'中国汇率&amp;期货（ln）'!AH44-'中国汇率&amp;期货（ln）'!AH63</f>
      </c>
      <c r="AI44" s="12">
        <f>'中国汇率&amp;期货（ln）'!AI44-'中国汇率&amp;期货（ln）'!AI63</f>
      </c>
      <c r="AJ44" s="12">
        <f>'中国汇率&amp;期货（ln）'!AJ44-'中国汇率&amp;期货（ln）'!AJ63</f>
      </c>
      <c r="AK44" s="12">
        <f>'中国汇率&amp;期货（ln）'!AK44-'中国汇率&amp;期货（ln）'!AK63</f>
      </c>
      <c r="AL44" s="12">
        <f>'中国汇率&amp;期货（ln）'!AL44-'中国汇率&amp;期货（ln）'!AL63</f>
      </c>
      <c r="AM44" s="12">
        <f>'中国汇率&amp;期货（ln）'!AM44-'中国汇率&amp;期货（ln）'!AM63</f>
      </c>
      <c r="AN44" s="12">
        <f>'中国汇率&amp;期货（ln）'!AN44-'中国汇率&amp;期货（ln）'!AN63</f>
      </c>
      <c r="AO44" s="12">
        <f>'中国汇率&amp;期货（ln）'!AO44-'中国汇率&amp;期货（ln）'!AO63</f>
      </c>
      <c r="AP44" s="12">
        <f>'中国汇率&amp;期货（ln）'!AP44-'中国汇率&amp;期货（ln）'!AP63</f>
      </c>
      <c r="AQ44" s="12">
        <f>'中国汇率&amp;期货（ln）'!AQ44-'中国汇率&amp;期货（ln）'!AQ63</f>
      </c>
      <c r="AR44" s="12">
        <f>'中国汇率&amp;期货（ln）'!AR44-'中国汇率&amp;期货（ln）'!AR63</f>
      </c>
      <c r="AS44" s="12">
        <f>'中国汇率&amp;期货（ln）'!AS44-'中国汇率&amp;期货（ln）'!AS63</f>
      </c>
      <c r="AT44" s="12">
        <f>'中国汇率&amp;期货（ln）'!AT44-'中国汇率&amp;期货（ln）'!AT63</f>
      </c>
      <c r="AU44" s="12">
        <f>'中国汇率&amp;期货（ln）'!AU44-'中国汇率&amp;期货（ln）'!AU63</f>
      </c>
      <c r="AV44" s="12">
        <f>'中国汇率&amp;期货（ln）'!AV44-'中国汇率&amp;期货（ln）'!AV63</f>
      </c>
      <c r="AW44" s="12">
        <f>'中国汇率&amp;期货（ln）'!AW44-'中国汇率&amp;期货（ln）'!AW63</f>
      </c>
      <c r="AX44" s="12">
        <f>'中国汇率&amp;期货（ln）'!AX44-'中国汇率&amp;期货（ln）'!AX63</f>
      </c>
      <c r="AY44" s="12">
        <f>'中国汇率&amp;期货（ln）'!AY44-'中国汇率&amp;期货（ln）'!AY63</f>
      </c>
      <c r="AZ44" s="12">
        <f>'中国汇率&amp;期货（ln）'!AZ44-'中国汇率&amp;期货（ln）'!AZ63</f>
      </c>
      <c r="BA44" s="12">
        <f>'中国汇率&amp;期货（ln）'!BA44-'中国汇率&amp;期货（ln）'!BA63</f>
      </c>
      <c r="BB44" s="12">
        <f>'中国汇率&amp;期货（ln）'!BB44-'中国汇率&amp;期货（ln）'!BB63</f>
      </c>
      <c r="BC44" s="12">
        <f>'中国汇率&amp;期货（ln）'!BC44-'中国汇率&amp;期货（ln）'!BC63</f>
      </c>
      <c r="BD44" s="12">
        <f>'中国汇率&amp;期货（ln）'!BD44-'中国汇率&amp;期货（ln）'!BD63</f>
      </c>
      <c r="BE44" s="12">
        <f>'中国汇率&amp;期货（ln）'!BE44-'中国汇率&amp;期货（ln）'!BE63</f>
      </c>
    </row>
    <row x14ac:dyDescent="0.25" r="45" customHeight="1" ht="18.75">
      <c r="A45" s="1"/>
      <c r="B45" s="12">
        <f>'中国汇率&amp;期货（ln）'!B45-'中国汇率&amp;期货（ln）'!B64</f>
      </c>
      <c r="C45" s="12">
        <f>'中国汇率&amp;期货（ln）'!C45-'中国汇率&amp;期货（ln）'!C64</f>
      </c>
      <c r="D45" s="12">
        <f>'中国汇率&amp;期货（ln）'!D45-'中国汇率&amp;期货（ln）'!D64</f>
      </c>
      <c r="E45" s="12">
        <f>'中国汇率&amp;期货（ln）'!E45-'中国汇率&amp;期货（ln）'!E64</f>
      </c>
      <c r="F45" s="12">
        <f>'中国汇率&amp;期货（ln）'!F45-'中国汇率&amp;期货（ln）'!F64</f>
      </c>
      <c r="G45" s="12">
        <f>'中国汇率&amp;期货（ln）'!G45-'中国汇率&amp;期货（ln）'!G64</f>
      </c>
      <c r="H45" s="12">
        <f>'中国汇率&amp;期货（ln）'!H45-'中国汇率&amp;期货（ln）'!H64</f>
      </c>
      <c r="I45" s="12">
        <f>'中国汇率&amp;期货（ln）'!I45-'中国汇率&amp;期货（ln）'!I64</f>
      </c>
      <c r="J45" s="12">
        <f>'中国汇率&amp;期货（ln）'!J45-'中国汇率&amp;期货（ln）'!J64</f>
      </c>
      <c r="K45" s="12">
        <f>'中国汇率&amp;期货（ln）'!K45-'中国汇率&amp;期货（ln）'!K64</f>
      </c>
      <c r="L45" s="12">
        <f>'中国汇率&amp;期货（ln）'!L45-'中国汇率&amp;期货（ln）'!L64</f>
      </c>
      <c r="M45" s="12">
        <f>'中国汇率&amp;期货（ln）'!M45-'中国汇率&amp;期货（ln）'!M64</f>
      </c>
      <c r="N45" s="12">
        <f>'中国汇率&amp;期货（ln）'!N45-'中国汇率&amp;期货（ln）'!N64</f>
      </c>
      <c r="O45" s="12">
        <f>'中国汇率&amp;期货（ln）'!O45-'中国汇率&amp;期货（ln）'!O64</f>
      </c>
      <c r="P45" s="12">
        <f>'中国汇率&amp;期货（ln）'!P45-'中国汇率&amp;期货（ln）'!P64</f>
      </c>
      <c r="Q45" s="12">
        <f>'中国汇率&amp;期货（ln）'!Q45-'中国汇率&amp;期货（ln）'!Q64</f>
      </c>
      <c r="R45" s="12">
        <f>'中国汇率&amp;期货（ln）'!R45-'中国汇率&amp;期货（ln）'!R64</f>
      </c>
      <c r="S45" s="12">
        <f>'中国汇率&amp;期货（ln）'!S45-'中国汇率&amp;期货（ln）'!S64</f>
      </c>
      <c r="T45" s="12">
        <f>'中国汇率&amp;期货（ln）'!T45-'中国汇率&amp;期货（ln）'!T64</f>
      </c>
      <c r="U45" s="12">
        <f>'中国汇率&amp;期货（ln）'!U45-'中国汇率&amp;期货（ln）'!U64</f>
      </c>
      <c r="V45" s="12">
        <f>'中国汇率&amp;期货（ln）'!V45-'中国汇率&amp;期货（ln）'!V64</f>
      </c>
      <c r="W45" s="12">
        <f>'中国汇率&amp;期货（ln）'!W45-'中国汇率&amp;期货（ln）'!W64</f>
      </c>
      <c r="X45" s="12">
        <f>'中国汇率&amp;期货（ln）'!X45-'中国汇率&amp;期货（ln）'!X64</f>
      </c>
      <c r="Y45" s="12">
        <f>'中国汇率&amp;期货（ln）'!Y45-'中国汇率&amp;期货（ln）'!Y64</f>
      </c>
      <c r="Z45" s="12">
        <f>'中国汇率&amp;期货（ln）'!Z45-'中国汇率&amp;期货（ln）'!Z64</f>
      </c>
      <c r="AA45" s="12">
        <f>'中国汇率&amp;期货（ln）'!AA45-'中国汇率&amp;期货（ln）'!AA64</f>
      </c>
      <c r="AB45" s="12">
        <f>'中国汇率&amp;期货（ln）'!AB45-'中国汇率&amp;期货（ln）'!AB64</f>
      </c>
      <c r="AC45" s="12">
        <f>'中国汇率&amp;期货（ln）'!AC45-'中国汇率&amp;期货（ln）'!AC64</f>
      </c>
      <c r="AD45" s="12">
        <f>'中国汇率&amp;期货（ln）'!AD45-'中国汇率&amp;期货（ln）'!AD64</f>
      </c>
      <c r="AE45" s="12">
        <f>'中国汇率&amp;期货（ln）'!AE45-'中国汇率&amp;期货（ln）'!AE64</f>
      </c>
      <c r="AF45" s="12">
        <f>'中国汇率&amp;期货（ln）'!AF45-'中国汇率&amp;期货（ln）'!AF64</f>
      </c>
      <c r="AG45" s="12">
        <f>'中国汇率&amp;期货（ln）'!AG45-'中国汇率&amp;期货（ln）'!AG64</f>
      </c>
      <c r="AH45" s="12">
        <f>'中国汇率&amp;期货（ln）'!AH45-'中国汇率&amp;期货（ln）'!AH64</f>
      </c>
      <c r="AI45" s="12">
        <f>'中国汇率&amp;期货（ln）'!AI45-'中国汇率&amp;期货（ln）'!AI64</f>
      </c>
      <c r="AJ45" s="12">
        <f>'中国汇率&amp;期货（ln）'!AJ45-'中国汇率&amp;期货（ln）'!AJ64</f>
      </c>
      <c r="AK45" s="12">
        <f>'中国汇率&amp;期货（ln）'!AK45-'中国汇率&amp;期货（ln）'!AK64</f>
      </c>
      <c r="AL45" s="12">
        <f>'中国汇率&amp;期货（ln）'!AL45-'中国汇率&amp;期货（ln）'!AL64</f>
      </c>
      <c r="AM45" s="12">
        <f>'中国汇率&amp;期货（ln）'!AM45-'中国汇率&amp;期货（ln）'!AM64</f>
      </c>
      <c r="AN45" s="12">
        <f>'中国汇率&amp;期货（ln）'!AN45-'中国汇率&amp;期货（ln）'!AN64</f>
      </c>
      <c r="AO45" s="12">
        <f>'中国汇率&amp;期货（ln）'!AO45-'中国汇率&amp;期货（ln）'!AO64</f>
      </c>
      <c r="AP45" s="12">
        <f>'中国汇率&amp;期货（ln）'!AP45-'中国汇率&amp;期货（ln）'!AP64</f>
      </c>
      <c r="AQ45" s="12">
        <f>'中国汇率&amp;期货（ln）'!AQ45-'中国汇率&amp;期货（ln）'!AQ64</f>
      </c>
      <c r="AR45" s="12">
        <f>'中国汇率&amp;期货（ln）'!AR45-'中国汇率&amp;期货（ln）'!AR64</f>
      </c>
      <c r="AS45" s="12">
        <f>'中国汇率&amp;期货（ln）'!AS45-'中国汇率&amp;期货（ln）'!AS64</f>
      </c>
      <c r="AT45" s="12">
        <f>'中国汇率&amp;期货（ln）'!AT45-'中国汇率&amp;期货（ln）'!AT64</f>
      </c>
      <c r="AU45" s="12">
        <f>'中国汇率&amp;期货（ln）'!AU45-'中国汇率&amp;期货（ln）'!AU64</f>
      </c>
      <c r="AV45" s="12">
        <f>'中国汇率&amp;期货（ln）'!AV45-'中国汇率&amp;期货（ln）'!AV64</f>
      </c>
      <c r="AW45" s="12">
        <f>'中国汇率&amp;期货（ln）'!AW45-'中国汇率&amp;期货（ln）'!AW64</f>
      </c>
      <c r="AX45" s="12">
        <f>'中国汇率&amp;期货（ln）'!AX45-'中国汇率&amp;期货（ln）'!AX64</f>
      </c>
      <c r="AY45" s="12">
        <f>'中国汇率&amp;期货（ln）'!AY45-'中国汇率&amp;期货（ln）'!AY64</f>
      </c>
      <c r="AZ45" s="12">
        <f>'中国汇率&amp;期货（ln）'!AZ45-'中国汇率&amp;期货（ln）'!AZ64</f>
      </c>
      <c r="BA45" s="12">
        <f>'中国汇率&amp;期货（ln）'!BA45-'中国汇率&amp;期货（ln）'!BA64</f>
      </c>
      <c r="BB45" s="12">
        <f>'中国汇率&amp;期货（ln）'!BB45-'中国汇率&amp;期货（ln）'!BB64</f>
      </c>
      <c r="BC45" s="12">
        <f>'中国汇率&amp;期货（ln）'!BC45-'中国汇率&amp;期货（ln）'!BC64</f>
      </c>
      <c r="BD45" s="12">
        <f>'中国汇率&amp;期货（ln）'!BD45-'中国汇率&amp;期货（ln）'!BD64</f>
      </c>
      <c r="BE45" s="12">
        <f>'中国汇率&amp;期货（ln）'!BE45-'中国汇率&amp;期货（ln）'!BE64</f>
      </c>
    </row>
    <row x14ac:dyDescent="0.25" r="46" customHeight="1" ht="18.75">
      <c r="A46" s="1"/>
      <c r="B46" s="12">
        <f>'中国汇率&amp;期货（ln）'!B46-'中国汇率&amp;期货（ln）'!B65</f>
      </c>
      <c r="C46" s="12">
        <f>'中国汇率&amp;期货（ln）'!C46-'中国汇率&amp;期货（ln）'!C65</f>
      </c>
      <c r="D46" s="12">
        <f>'中国汇率&amp;期货（ln）'!D46-'中国汇率&amp;期货（ln）'!D65</f>
      </c>
      <c r="E46" s="12">
        <f>'中国汇率&amp;期货（ln）'!E46-'中国汇率&amp;期货（ln）'!E65</f>
      </c>
      <c r="F46" s="12">
        <f>'中国汇率&amp;期货（ln）'!F46-'中国汇率&amp;期货（ln）'!F65</f>
      </c>
      <c r="G46" s="12">
        <f>'中国汇率&amp;期货（ln）'!G46-'中国汇率&amp;期货（ln）'!G65</f>
      </c>
      <c r="H46" s="12">
        <f>'中国汇率&amp;期货（ln）'!H46-'中国汇率&amp;期货（ln）'!H65</f>
      </c>
      <c r="I46" s="12">
        <f>'中国汇率&amp;期货（ln）'!I46-'中国汇率&amp;期货（ln）'!I65</f>
      </c>
      <c r="J46" s="12">
        <f>'中国汇率&amp;期货（ln）'!J46-'中国汇率&amp;期货（ln）'!J65</f>
      </c>
      <c r="K46" s="12">
        <f>'中国汇率&amp;期货（ln）'!K46-'中国汇率&amp;期货（ln）'!K65</f>
      </c>
      <c r="L46" s="12">
        <f>'中国汇率&amp;期货（ln）'!L46-'中国汇率&amp;期货（ln）'!L65</f>
      </c>
      <c r="M46" s="12">
        <f>'中国汇率&amp;期货（ln）'!M46-'中国汇率&amp;期货（ln）'!M65</f>
      </c>
      <c r="N46" s="12">
        <f>'中国汇率&amp;期货（ln）'!N46-'中国汇率&amp;期货（ln）'!N65</f>
      </c>
      <c r="O46" s="12">
        <f>'中国汇率&amp;期货（ln）'!O46-'中国汇率&amp;期货（ln）'!O65</f>
      </c>
      <c r="P46" s="12">
        <f>'中国汇率&amp;期货（ln）'!P46-'中国汇率&amp;期货（ln）'!P65</f>
      </c>
      <c r="Q46" s="12">
        <f>'中国汇率&amp;期货（ln）'!Q46-'中国汇率&amp;期货（ln）'!Q65</f>
      </c>
      <c r="R46" s="12">
        <f>'中国汇率&amp;期货（ln）'!R46-'中国汇率&amp;期货（ln）'!R65</f>
      </c>
      <c r="S46" s="12">
        <f>'中国汇率&amp;期货（ln）'!S46-'中国汇率&amp;期货（ln）'!S65</f>
      </c>
      <c r="T46" s="12">
        <f>'中国汇率&amp;期货（ln）'!T46-'中国汇率&amp;期货（ln）'!T65</f>
      </c>
      <c r="U46" s="12">
        <f>'中国汇率&amp;期货（ln）'!U46-'中国汇率&amp;期货（ln）'!U65</f>
      </c>
      <c r="V46" s="12">
        <f>'中国汇率&amp;期货（ln）'!V46-'中国汇率&amp;期货（ln）'!V65</f>
      </c>
      <c r="W46" s="12">
        <f>'中国汇率&amp;期货（ln）'!W46-'中国汇率&amp;期货（ln）'!W65</f>
      </c>
      <c r="X46" s="12">
        <f>'中国汇率&amp;期货（ln）'!X46-'中国汇率&amp;期货（ln）'!X65</f>
      </c>
      <c r="Y46" s="12">
        <f>'中国汇率&amp;期货（ln）'!Y46-'中国汇率&amp;期货（ln）'!Y65</f>
      </c>
      <c r="Z46" s="12">
        <f>'中国汇率&amp;期货（ln）'!Z46-'中国汇率&amp;期货（ln）'!Z65</f>
      </c>
      <c r="AA46" s="12">
        <f>'中国汇率&amp;期货（ln）'!AA46-'中国汇率&amp;期货（ln）'!AA65</f>
      </c>
      <c r="AB46" s="12">
        <f>'中国汇率&amp;期货（ln）'!AB46-'中国汇率&amp;期货（ln）'!AB65</f>
      </c>
      <c r="AC46" s="12">
        <f>'中国汇率&amp;期货（ln）'!AC46-'中国汇率&amp;期货（ln）'!AC65</f>
      </c>
      <c r="AD46" s="12">
        <f>'中国汇率&amp;期货（ln）'!AD46-'中国汇率&amp;期货（ln）'!AD65</f>
      </c>
      <c r="AE46" s="12">
        <f>'中国汇率&amp;期货（ln）'!AE46-'中国汇率&amp;期货（ln）'!AE65</f>
      </c>
      <c r="AF46" s="12">
        <f>'中国汇率&amp;期货（ln）'!AF46-'中国汇率&amp;期货（ln）'!AF65</f>
      </c>
      <c r="AG46" s="12">
        <f>'中国汇率&amp;期货（ln）'!AG46-'中国汇率&amp;期货（ln）'!AG65</f>
      </c>
      <c r="AH46" s="12">
        <f>'中国汇率&amp;期货（ln）'!AH46-'中国汇率&amp;期货（ln）'!AH65</f>
      </c>
      <c r="AI46" s="12">
        <f>'中国汇率&amp;期货（ln）'!AI46-'中国汇率&amp;期货（ln）'!AI65</f>
      </c>
      <c r="AJ46" s="12">
        <f>'中国汇率&amp;期货（ln）'!AJ46-'中国汇率&amp;期货（ln）'!AJ65</f>
      </c>
      <c r="AK46" s="12">
        <f>'中国汇率&amp;期货（ln）'!AK46-'中国汇率&amp;期货（ln）'!AK65</f>
      </c>
      <c r="AL46" s="12">
        <f>'中国汇率&amp;期货（ln）'!AL46-'中国汇率&amp;期货（ln）'!AL65</f>
      </c>
      <c r="AM46" s="12">
        <f>'中国汇率&amp;期货（ln）'!AM46-'中国汇率&amp;期货（ln）'!AM65</f>
      </c>
      <c r="AN46" s="12">
        <f>'中国汇率&amp;期货（ln）'!AN46-'中国汇率&amp;期货（ln）'!AN65</f>
      </c>
      <c r="AO46" s="12">
        <f>'中国汇率&amp;期货（ln）'!AO46-'中国汇率&amp;期货（ln）'!AO65</f>
      </c>
      <c r="AP46" s="12">
        <f>'中国汇率&amp;期货（ln）'!AP46-'中国汇率&amp;期货（ln）'!AP65</f>
      </c>
      <c r="AQ46" s="12">
        <f>'中国汇率&amp;期货（ln）'!AQ46-'中国汇率&amp;期货（ln）'!AQ65</f>
      </c>
      <c r="AR46" s="12">
        <f>'中国汇率&amp;期货（ln）'!AR46-'中国汇率&amp;期货（ln）'!AR65</f>
      </c>
      <c r="AS46" s="12">
        <f>'中国汇率&amp;期货（ln）'!AS46-'中国汇率&amp;期货（ln）'!AS65</f>
      </c>
      <c r="AT46" s="12">
        <f>'中国汇率&amp;期货（ln）'!AT46-'中国汇率&amp;期货（ln）'!AT65</f>
      </c>
      <c r="AU46" s="12">
        <f>'中国汇率&amp;期货（ln）'!AU46-'中国汇率&amp;期货（ln）'!AU65</f>
      </c>
      <c r="AV46" s="12">
        <f>'中国汇率&amp;期货（ln）'!AV46-'中国汇率&amp;期货（ln）'!AV65</f>
      </c>
      <c r="AW46" s="12">
        <f>'中国汇率&amp;期货（ln）'!AW46-'中国汇率&amp;期货（ln）'!AW65</f>
      </c>
      <c r="AX46" s="12">
        <f>'中国汇率&amp;期货（ln）'!AX46-'中国汇率&amp;期货（ln）'!AX65</f>
      </c>
      <c r="AY46" s="12">
        <f>'中国汇率&amp;期货（ln）'!AY46-'中国汇率&amp;期货（ln）'!AY65</f>
      </c>
      <c r="AZ46" s="12">
        <f>'中国汇率&amp;期货（ln）'!AZ46-'中国汇率&amp;期货（ln）'!AZ65</f>
      </c>
      <c r="BA46" s="12">
        <f>'中国汇率&amp;期货（ln）'!BA46-'中国汇率&amp;期货（ln）'!BA65</f>
      </c>
      <c r="BB46" s="12">
        <f>'中国汇率&amp;期货（ln）'!BB46-'中国汇率&amp;期货（ln）'!BB65</f>
      </c>
      <c r="BC46" s="12">
        <f>'中国汇率&amp;期货（ln）'!BC46-'中国汇率&amp;期货（ln）'!BC65</f>
      </c>
      <c r="BD46" s="12">
        <f>'中国汇率&amp;期货（ln）'!BD46-'中国汇率&amp;期货（ln）'!BD65</f>
      </c>
      <c r="BE46" s="12">
        <f>'中国汇率&amp;期货（ln）'!BE46-'中国汇率&amp;期货（ln）'!BE65</f>
      </c>
    </row>
    <row x14ac:dyDescent="0.25" r="47" customHeight="1" ht="18.75">
      <c r="A47" s="1"/>
      <c r="B47" s="12">
        <f>'中国汇率&amp;期货（ln）'!B47-'中国汇率&amp;期货（ln）'!B66</f>
      </c>
      <c r="C47" s="12">
        <f>'中国汇率&amp;期货（ln）'!C47-'中国汇率&amp;期货（ln）'!C66</f>
      </c>
      <c r="D47" s="12">
        <f>'中国汇率&amp;期货（ln）'!D47-'中国汇率&amp;期货（ln）'!D66</f>
      </c>
      <c r="E47" s="12">
        <f>'中国汇率&amp;期货（ln）'!E47-'中国汇率&amp;期货（ln）'!E66</f>
      </c>
      <c r="F47" s="12">
        <f>'中国汇率&amp;期货（ln）'!F47-'中国汇率&amp;期货（ln）'!F66</f>
      </c>
      <c r="G47" s="12">
        <f>'中国汇率&amp;期货（ln）'!G47-'中国汇率&amp;期货（ln）'!G66</f>
      </c>
      <c r="H47" s="12">
        <f>'中国汇率&amp;期货（ln）'!H47-'中国汇率&amp;期货（ln）'!H66</f>
      </c>
      <c r="I47" s="12">
        <f>'中国汇率&amp;期货（ln）'!I47-'中国汇率&amp;期货（ln）'!I66</f>
      </c>
      <c r="J47" s="12">
        <f>'中国汇率&amp;期货（ln）'!J47-'中国汇率&amp;期货（ln）'!J66</f>
      </c>
      <c r="K47" s="12">
        <f>'中国汇率&amp;期货（ln）'!K47-'中国汇率&amp;期货（ln）'!K66</f>
      </c>
      <c r="L47" s="12">
        <f>'中国汇率&amp;期货（ln）'!L47-'中国汇率&amp;期货（ln）'!L66</f>
      </c>
      <c r="M47" s="12">
        <f>'中国汇率&amp;期货（ln）'!M47-'中国汇率&amp;期货（ln）'!M66</f>
      </c>
      <c r="N47" s="12">
        <f>'中国汇率&amp;期货（ln）'!N47-'中国汇率&amp;期货（ln）'!N66</f>
      </c>
      <c r="O47" s="12">
        <f>'中国汇率&amp;期货（ln）'!O47-'中国汇率&amp;期货（ln）'!O66</f>
      </c>
      <c r="P47" s="12">
        <f>'中国汇率&amp;期货（ln）'!P47-'中国汇率&amp;期货（ln）'!P66</f>
      </c>
      <c r="Q47" s="12">
        <f>'中国汇率&amp;期货（ln）'!Q47-'中国汇率&amp;期货（ln）'!Q66</f>
      </c>
      <c r="R47" s="12">
        <f>'中国汇率&amp;期货（ln）'!R47-'中国汇率&amp;期货（ln）'!R66</f>
      </c>
      <c r="S47" s="12">
        <f>'中国汇率&amp;期货（ln）'!S47-'中国汇率&amp;期货（ln）'!S66</f>
      </c>
      <c r="T47" s="12">
        <f>'中国汇率&amp;期货（ln）'!T47-'中国汇率&amp;期货（ln）'!T66</f>
      </c>
      <c r="U47" s="12">
        <f>'中国汇率&amp;期货（ln）'!U47-'中国汇率&amp;期货（ln）'!U66</f>
      </c>
      <c r="V47" s="12">
        <f>'中国汇率&amp;期货（ln）'!V47-'中国汇率&amp;期货（ln）'!V66</f>
      </c>
      <c r="W47" s="12">
        <f>'中国汇率&amp;期货（ln）'!W47-'中国汇率&amp;期货（ln）'!W66</f>
      </c>
      <c r="X47" s="12">
        <f>'中国汇率&amp;期货（ln）'!X47-'中国汇率&amp;期货（ln）'!X66</f>
      </c>
      <c r="Y47" s="12">
        <f>'中国汇率&amp;期货（ln）'!Y47-'中国汇率&amp;期货（ln）'!Y66</f>
      </c>
      <c r="Z47" s="12">
        <f>'中国汇率&amp;期货（ln）'!Z47-'中国汇率&amp;期货（ln）'!Z66</f>
      </c>
      <c r="AA47" s="12">
        <f>'中国汇率&amp;期货（ln）'!AA47-'中国汇率&amp;期货（ln）'!AA66</f>
      </c>
      <c r="AB47" s="12">
        <f>'中国汇率&amp;期货（ln）'!AB47-'中国汇率&amp;期货（ln）'!AB66</f>
      </c>
      <c r="AC47" s="12">
        <f>'中国汇率&amp;期货（ln）'!AC47-'中国汇率&amp;期货（ln）'!AC66</f>
      </c>
      <c r="AD47" s="12">
        <f>'中国汇率&amp;期货（ln）'!AD47-'中国汇率&amp;期货（ln）'!AD66</f>
      </c>
      <c r="AE47" s="12">
        <f>'中国汇率&amp;期货（ln）'!AE47-'中国汇率&amp;期货（ln）'!AE66</f>
      </c>
      <c r="AF47" s="12">
        <f>'中国汇率&amp;期货（ln）'!AF47-'中国汇率&amp;期货（ln）'!AF66</f>
      </c>
      <c r="AG47" s="12">
        <f>'中国汇率&amp;期货（ln）'!AG47-'中国汇率&amp;期货（ln）'!AG66</f>
      </c>
      <c r="AH47" s="12">
        <f>'中国汇率&amp;期货（ln）'!AH47-'中国汇率&amp;期货（ln）'!AH66</f>
      </c>
      <c r="AI47" s="12">
        <f>'中国汇率&amp;期货（ln）'!AI47-'中国汇率&amp;期货（ln）'!AI66</f>
      </c>
      <c r="AJ47" s="12">
        <f>'中国汇率&amp;期货（ln）'!AJ47-'中国汇率&amp;期货（ln）'!AJ66</f>
      </c>
      <c r="AK47" s="12">
        <f>'中国汇率&amp;期货（ln）'!AK47-'中国汇率&amp;期货（ln）'!AK66</f>
      </c>
      <c r="AL47" s="12">
        <f>'中国汇率&amp;期货（ln）'!AL47-'中国汇率&amp;期货（ln）'!AL66</f>
      </c>
      <c r="AM47" s="12">
        <f>'中国汇率&amp;期货（ln）'!AM47-'中国汇率&amp;期货（ln）'!AM66</f>
      </c>
      <c r="AN47" s="12">
        <f>'中国汇率&amp;期货（ln）'!AN47-'中国汇率&amp;期货（ln）'!AN66</f>
      </c>
      <c r="AO47" s="12">
        <f>'中国汇率&amp;期货（ln）'!AO47-'中国汇率&amp;期货（ln）'!AO66</f>
      </c>
      <c r="AP47" s="12">
        <f>'中国汇率&amp;期货（ln）'!AP47-'中国汇率&amp;期货（ln）'!AP66</f>
      </c>
      <c r="AQ47" s="12">
        <f>'中国汇率&amp;期货（ln）'!AQ47-'中国汇率&amp;期货（ln）'!AQ66</f>
      </c>
      <c r="AR47" s="12">
        <f>'中国汇率&amp;期货（ln）'!AR47-'中国汇率&amp;期货（ln）'!AR66</f>
      </c>
      <c r="AS47" s="12">
        <f>'中国汇率&amp;期货（ln）'!AS47-'中国汇率&amp;期货（ln）'!AS66</f>
      </c>
      <c r="AT47" s="12">
        <f>'中国汇率&amp;期货（ln）'!AT47-'中国汇率&amp;期货（ln）'!AT66</f>
      </c>
      <c r="AU47" s="12">
        <f>'中国汇率&amp;期货（ln）'!AU47-'中国汇率&amp;期货（ln）'!AU66</f>
      </c>
      <c r="AV47" s="12">
        <f>'中国汇率&amp;期货（ln）'!AV47-'中国汇率&amp;期货（ln）'!AV66</f>
      </c>
      <c r="AW47" s="12">
        <f>'中国汇率&amp;期货（ln）'!AW47-'中国汇率&amp;期货（ln）'!AW66</f>
      </c>
      <c r="AX47" s="12">
        <f>'中国汇率&amp;期货（ln）'!AX47-'中国汇率&amp;期货（ln）'!AX66</f>
      </c>
      <c r="AY47" s="12">
        <f>'中国汇率&amp;期货（ln）'!AY47-'中国汇率&amp;期货（ln）'!AY66</f>
      </c>
      <c r="AZ47" s="12">
        <f>'中国汇率&amp;期货（ln）'!AZ47-'中国汇率&amp;期货（ln）'!AZ66</f>
      </c>
      <c r="BA47" s="12">
        <f>'中国汇率&amp;期货（ln）'!BA47-'中国汇率&amp;期货（ln）'!BA66</f>
      </c>
      <c r="BB47" s="12">
        <f>'中国汇率&amp;期货（ln）'!BB47-'中国汇率&amp;期货（ln）'!BB66</f>
      </c>
      <c r="BC47" s="12">
        <f>'中国汇率&amp;期货（ln）'!BC47-'中国汇率&amp;期货（ln）'!BC66</f>
      </c>
      <c r="BD47" s="12">
        <f>'中国汇率&amp;期货（ln）'!BD47-'中国汇率&amp;期货（ln）'!BD66</f>
      </c>
      <c r="BE47" s="12">
        <f>'中国汇率&amp;期货（ln）'!BE47-'中国汇率&amp;期货（ln）'!BE66</f>
      </c>
    </row>
    <row x14ac:dyDescent="0.25" r="48" customHeight="1" ht="18.75">
      <c r="A48" s="1"/>
      <c r="B48" s="12">
        <f>'中国汇率&amp;期货（ln）'!B48-'中国汇率&amp;期货（ln）'!B67</f>
      </c>
      <c r="C48" s="12">
        <f>'中国汇率&amp;期货（ln）'!C48-'中国汇率&amp;期货（ln）'!C67</f>
      </c>
      <c r="D48" s="12">
        <f>'中国汇率&amp;期货（ln）'!D48-'中国汇率&amp;期货（ln）'!D67</f>
      </c>
      <c r="E48" s="12">
        <f>'中国汇率&amp;期货（ln）'!E48-'中国汇率&amp;期货（ln）'!E67</f>
      </c>
      <c r="F48" s="12">
        <f>'中国汇率&amp;期货（ln）'!F48-'中国汇率&amp;期货（ln）'!F67</f>
      </c>
      <c r="G48" s="12">
        <f>'中国汇率&amp;期货（ln）'!G48-'中国汇率&amp;期货（ln）'!G67</f>
      </c>
      <c r="H48" s="12">
        <f>'中国汇率&amp;期货（ln）'!H48-'中国汇率&amp;期货（ln）'!H67</f>
      </c>
      <c r="I48" s="12">
        <f>'中国汇率&amp;期货（ln）'!I48-'中国汇率&amp;期货（ln）'!I67</f>
      </c>
      <c r="J48" s="12">
        <f>'中国汇率&amp;期货（ln）'!J48-'中国汇率&amp;期货（ln）'!J67</f>
      </c>
      <c r="K48" s="12">
        <f>'中国汇率&amp;期货（ln）'!K48-'中国汇率&amp;期货（ln）'!K67</f>
      </c>
      <c r="L48" s="12">
        <f>'中国汇率&amp;期货（ln）'!L48-'中国汇率&amp;期货（ln）'!L67</f>
      </c>
      <c r="M48" s="12">
        <f>'中国汇率&amp;期货（ln）'!M48-'中国汇率&amp;期货（ln）'!M67</f>
      </c>
      <c r="N48" s="12">
        <f>'中国汇率&amp;期货（ln）'!N48-'中国汇率&amp;期货（ln）'!N67</f>
      </c>
      <c r="O48" s="12">
        <f>'中国汇率&amp;期货（ln）'!O48-'中国汇率&amp;期货（ln）'!O67</f>
      </c>
      <c r="P48" s="12">
        <f>'中国汇率&amp;期货（ln）'!P48-'中国汇率&amp;期货（ln）'!P67</f>
      </c>
      <c r="Q48" s="12">
        <f>'中国汇率&amp;期货（ln）'!Q48-'中国汇率&amp;期货（ln）'!Q67</f>
      </c>
      <c r="R48" s="12">
        <f>'中国汇率&amp;期货（ln）'!R48-'中国汇率&amp;期货（ln）'!R67</f>
      </c>
      <c r="S48" s="12">
        <f>'中国汇率&amp;期货（ln）'!S48-'中国汇率&amp;期货（ln）'!S67</f>
      </c>
      <c r="T48" s="12">
        <f>'中国汇率&amp;期货（ln）'!T48-'中国汇率&amp;期货（ln）'!T67</f>
      </c>
      <c r="U48" s="12">
        <f>'中国汇率&amp;期货（ln）'!U48-'中国汇率&amp;期货（ln）'!U67</f>
      </c>
      <c r="V48" s="12">
        <f>'中国汇率&amp;期货（ln）'!V48-'中国汇率&amp;期货（ln）'!V67</f>
      </c>
      <c r="W48" s="12">
        <f>'中国汇率&amp;期货（ln）'!W48-'中国汇率&amp;期货（ln）'!W67</f>
      </c>
      <c r="X48" s="12">
        <f>'中国汇率&amp;期货（ln）'!X48-'中国汇率&amp;期货（ln）'!X67</f>
      </c>
      <c r="Y48" s="12">
        <f>'中国汇率&amp;期货（ln）'!Y48-'中国汇率&amp;期货（ln）'!Y67</f>
      </c>
      <c r="Z48" s="12">
        <f>'中国汇率&amp;期货（ln）'!Z48-'中国汇率&amp;期货（ln）'!Z67</f>
      </c>
      <c r="AA48" s="12">
        <f>'中国汇率&amp;期货（ln）'!AA48-'中国汇率&amp;期货（ln）'!AA67</f>
      </c>
      <c r="AB48" s="12">
        <f>'中国汇率&amp;期货（ln）'!AB48-'中国汇率&amp;期货（ln）'!AB67</f>
      </c>
      <c r="AC48" s="12">
        <f>'中国汇率&amp;期货（ln）'!AC48-'中国汇率&amp;期货（ln）'!AC67</f>
      </c>
      <c r="AD48" s="12">
        <f>'中国汇率&amp;期货（ln）'!AD48-'中国汇率&amp;期货（ln）'!AD67</f>
      </c>
      <c r="AE48" s="12">
        <f>'中国汇率&amp;期货（ln）'!AE48-'中国汇率&amp;期货（ln）'!AE67</f>
      </c>
      <c r="AF48" s="12">
        <f>'中国汇率&amp;期货（ln）'!AF48-'中国汇率&amp;期货（ln）'!AF67</f>
      </c>
      <c r="AG48" s="12">
        <f>'中国汇率&amp;期货（ln）'!AG48-'中国汇率&amp;期货（ln）'!AG67</f>
      </c>
      <c r="AH48" s="12">
        <f>'中国汇率&amp;期货（ln）'!AH48-'中国汇率&amp;期货（ln）'!AH67</f>
      </c>
      <c r="AI48" s="12">
        <f>'中国汇率&amp;期货（ln）'!AI48-'中国汇率&amp;期货（ln）'!AI67</f>
      </c>
      <c r="AJ48" s="12">
        <f>'中国汇率&amp;期货（ln）'!AJ48-'中国汇率&amp;期货（ln）'!AJ67</f>
      </c>
      <c r="AK48" s="12">
        <f>'中国汇率&amp;期货（ln）'!AK48-'中国汇率&amp;期货（ln）'!AK67</f>
      </c>
      <c r="AL48" s="12">
        <f>'中国汇率&amp;期货（ln）'!AL48-'中国汇率&amp;期货（ln）'!AL67</f>
      </c>
      <c r="AM48" s="12">
        <f>'中国汇率&amp;期货（ln）'!AM48-'中国汇率&amp;期货（ln）'!AM67</f>
      </c>
      <c r="AN48" s="12">
        <f>'中国汇率&amp;期货（ln）'!AN48-'中国汇率&amp;期货（ln）'!AN67</f>
      </c>
      <c r="AO48" s="12">
        <f>'中国汇率&amp;期货（ln）'!AO48-'中国汇率&amp;期货（ln）'!AO67</f>
      </c>
      <c r="AP48" s="12">
        <f>'中国汇率&amp;期货（ln）'!AP48-'中国汇率&amp;期货（ln）'!AP67</f>
      </c>
      <c r="AQ48" s="12">
        <f>'中国汇率&amp;期货（ln）'!AQ48-'中国汇率&amp;期货（ln）'!AQ67</f>
      </c>
      <c r="AR48" s="12">
        <f>'中国汇率&amp;期货（ln）'!AR48-'中国汇率&amp;期货（ln）'!AR67</f>
      </c>
      <c r="AS48" s="12">
        <f>'中国汇率&amp;期货（ln）'!AS48-'中国汇率&amp;期货（ln）'!AS67</f>
      </c>
      <c r="AT48" s="12">
        <f>'中国汇率&amp;期货（ln）'!AT48-'中国汇率&amp;期货（ln）'!AT67</f>
      </c>
      <c r="AU48" s="12">
        <f>'中国汇率&amp;期货（ln）'!AU48-'中国汇率&amp;期货（ln）'!AU67</f>
      </c>
      <c r="AV48" s="12">
        <f>'中国汇率&amp;期货（ln）'!AV48-'中国汇率&amp;期货（ln）'!AV67</f>
      </c>
      <c r="AW48" s="12">
        <f>'中国汇率&amp;期货（ln）'!AW48-'中国汇率&amp;期货（ln）'!AW67</f>
      </c>
      <c r="AX48" s="12">
        <f>'中国汇率&amp;期货（ln）'!AX48-'中国汇率&amp;期货（ln）'!AX67</f>
      </c>
      <c r="AY48" s="12">
        <f>'中国汇率&amp;期货（ln）'!AY48-'中国汇率&amp;期货（ln）'!AY67</f>
      </c>
      <c r="AZ48" s="12">
        <f>'中国汇率&amp;期货（ln）'!AZ48-'中国汇率&amp;期货（ln）'!AZ67</f>
      </c>
      <c r="BA48" s="12">
        <f>'中国汇率&amp;期货（ln）'!BA48-'中国汇率&amp;期货（ln）'!BA67</f>
      </c>
      <c r="BB48" s="12">
        <f>'中国汇率&amp;期货（ln）'!BB48-'中国汇率&amp;期货（ln）'!BB67</f>
      </c>
      <c r="BC48" s="12">
        <f>'中国汇率&amp;期货（ln）'!BC48-'中国汇率&amp;期货（ln）'!BC67</f>
      </c>
      <c r="BD48" s="12">
        <f>'中国汇率&amp;期货（ln）'!BD48-'中国汇率&amp;期货（ln）'!BD67</f>
      </c>
      <c r="BE48" s="12">
        <f>'中国汇率&amp;期货（ln）'!BE48-'中国汇率&amp;期货（ln）'!BE67</f>
      </c>
    </row>
    <row x14ac:dyDescent="0.25" r="49" customHeight="1" ht="18.75">
      <c r="A49" s="1"/>
      <c r="B49" s="12">
        <f>'中国汇率&amp;期货（ln）'!B49-'中国汇率&amp;期货（ln）'!B68</f>
      </c>
      <c r="C49" s="12">
        <f>'中国汇率&amp;期货（ln）'!C49-'中国汇率&amp;期货（ln）'!C68</f>
      </c>
      <c r="D49" s="12">
        <f>'中国汇率&amp;期货（ln）'!D49-'中国汇率&amp;期货（ln）'!D68</f>
      </c>
      <c r="E49" s="12">
        <f>'中国汇率&amp;期货（ln）'!E49-'中国汇率&amp;期货（ln）'!E68</f>
      </c>
      <c r="F49" s="12">
        <f>'中国汇率&amp;期货（ln）'!F49-'中国汇率&amp;期货（ln）'!F68</f>
      </c>
      <c r="G49" s="12">
        <f>'中国汇率&amp;期货（ln）'!G49-'中国汇率&amp;期货（ln）'!G68</f>
      </c>
      <c r="H49" s="12">
        <f>'中国汇率&amp;期货（ln）'!H49-'中国汇率&amp;期货（ln）'!H68</f>
      </c>
      <c r="I49" s="12">
        <f>'中国汇率&amp;期货（ln）'!I49-'中国汇率&amp;期货（ln）'!I68</f>
      </c>
      <c r="J49" s="12">
        <f>'中国汇率&amp;期货（ln）'!J49-'中国汇率&amp;期货（ln）'!J68</f>
      </c>
      <c r="K49" s="12">
        <f>'中国汇率&amp;期货（ln）'!K49-'中国汇率&amp;期货（ln）'!K68</f>
      </c>
      <c r="L49" s="12">
        <f>'中国汇率&amp;期货（ln）'!L49-'中国汇率&amp;期货（ln）'!L68</f>
      </c>
      <c r="M49" s="12">
        <f>'中国汇率&amp;期货（ln）'!M49-'中国汇率&amp;期货（ln）'!M68</f>
      </c>
      <c r="N49" s="12">
        <f>'中国汇率&amp;期货（ln）'!N49-'中国汇率&amp;期货（ln）'!N68</f>
      </c>
      <c r="O49" s="12">
        <f>'中国汇率&amp;期货（ln）'!O49-'中国汇率&amp;期货（ln）'!O68</f>
      </c>
      <c r="P49" s="12">
        <f>'中国汇率&amp;期货（ln）'!P49-'中国汇率&amp;期货（ln）'!P68</f>
      </c>
      <c r="Q49" s="12">
        <f>'中国汇率&amp;期货（ln）'!Q49-'中国汇率&amp;期货（ln）'!Q68</f>
      </c>
      <c r="R49" s="12">
        <f>'中国汇率&amp;期货（ln）'!R49-'中国汇率&amp;期货（ln）'!R68</f>
      </c>
      <c r="S49" s="12">
        <f>'中国汇率&amp;期货（ln）'!S49-'中国汇率&amp;期货（ln）'!S68</f>
      </c>
      <c r="T49" s="12">
        <f>'中国汇率&amp;期货（ln）'!T49-'中国汇率&amp;期货（ln）'!T68</f>
      </c>
      <c r="U49" s="12">
        <f>'中国汇率&amp;期货（ln）'!U49-'中国汇率&amp;期货（ln）'!U68</f>
      </c>
      <c r="V49" s="12">
        <f>'中国汇率&amp;期货（ln）'!V49-'中国汇率&amp;期货（ln）'!V68</f>
      </c>
      <c r="W49" s="12">
        <f>'中国汇率&amp;期货（ln）'!W49-'中国汇率&amp;期货（ln）'!W68</f>
      </c>
      <c r="X49" s="12">
        <f>'中国汇率&amp;期货（ln）'!X49-'中国汇率&amp;期货（ln）'!X68</f>
      </c>
      <c r="Y49" s="12">
        <f>'中国汇率&amp;期货（ln）'!Y49-'中国汇率&amp;期货（ln）'!Y68</f>
      </c>
      <c r="Z49" s="12">
        <f>'中国汇率&amp;期货（ln）'!Z49-'中国汇率&amp;期货（ln）'!Z68</f>
      </c>
      <c r="AA49" s="12">
        <f>'中国汇率&amp;期货（ln）'!AA49-'中国汇率&amp;期货（ln）'!AA68</f>
      </c>
      <c r="AB49" s="12">
        <f>'中国汇率&amp;期货（ln）'!AB49-'中国汇率&amp;期货（ln）'!AB68</f>
      </c>
      <c r="AC49" s="12">
        <f>'中国汇率&amp;期货（ln）'!AC49-'中国汇率&amp;期货（ln）'!AC68</f>
      </c>
      <c r="AD49" s="12">
        <f>'中国汇率&amp;期货（ln）'!AD49-'中国汇率&amp;期货（ln）'!AD68</f>
      </c>
      <c r="AE49" s="12">
        <f>'中国汇率&amp;期货（ln）'!AE49-'中国汇率&amp;期货（ln）'!AE68</f>
      </c>
      <c r="AF49" s="12">
        <f>'中国汇率&amp;期货（ln）'!AF49-'中国汇率&amp;期货（ln）'!AF68</f>
      </c>
      <c r="AG49" s="12">
        <f>'中国汇率&amp;期货（ln）'!AG49-'中国汇率&amp;期货（ln）'!AG68</f>
      </c>
      <c r="AH49" s="12">
        <f>'中国汇率&amp;期货（ln）'!AH49-'中国汇率&amp;期货（ln）'!AH68</f>
      </c>
      <c r="AI49" s="12">
        <f>'中国汇率&amp;期货（ln）'!AI49-'中国汇率&amp;期货（ln）'!AI68</f>
      </c>
      <c r="AJ49" s="12">
        <f>'中国汇率&amp;期货（ln）'!AJ49-'中国汇率&amp;期货（ln）'!AJ68</f>
      </c>
      <c r="AK49" s="12">
        <f>'中国汇率&amp;期货（ln）'!AK49-'中国汇率&amp;期货（ln）'!AK68</f>
      </c>
      <c r="AL49" s="12">
        <f>'中国汇率&amp;期货（ln）'!AL49-'中国汇率&amp;期货（ln）'!AL68</f>
      </c>
      <c r="AM49" s="12">
        <f>'中国汇率&amp;期货（ln）'!AM49-'中国汇率&amp;期货（ln）'!AM68</f>
      </c>
      <c r="AN49" s="12">
        <f>'中国汇率&amp;期货（ln）'!AN49-'中国汇率&amp;期货（ln）'!AN68</f>
      </c>
      <c r="AO49" s="12">
        <f>'中国汇率&amp;期货（ln）'!AO49-'中国汇率&amp;期货（ln）'!AO68</f>
      </c>
      <c r="AP49" s="12">
        <f>'中国汇率&amp;期货（ln）'!AP49-'中国汇率&amp;期货（ln）'!AP68</f>
      </c>
      <c r="AQ49" s="12">
        <f>'中国汇率&amp;期货（ln）'!AQ49-'中国汇率&amp;期货（ln）'!AQ68</f>
      </c>
      <c r="AR49" s="12">
        <f>'中国汇率&amp;期货（ln）'!AR49-'中国汇率&amp;期货（ln）'!AR68</f>
      </c>
      <c r="AS49" s="12">
        <f>'中国汇率&amp;期货（ln）'!AS49-'中国汇率&amp;期货（ln）'!AS68</f>
      </c>
      <c r="AT49" s="12">
        <f>'中国汇率&amp;期货（ln）'!AT49-'中国汇率&amp;期货（ln）'!AT68</f>
      </c>
      <c r="AU49" s="12">
        <f>'中国汇率&amp;期货（ln）'!AU49-'中国汇率&amp;期货（ln）'!AU68</f>
      </c>
      <c r="AV49" s="12">
        <f>'中国汇率&amp;期货（ln）'!AV49-'中国汇率&amp;期货（ln）'!AV68</f>
      </c>
      <c r="AW49" s="12">
        <f>'中国汇率&amp;期货（ln）'!AW49-'中国汇率&amp;期货（ln）'!AW68</f>
      </c>
      <c r="AX49" s="12">
        <f>'中国汇率&amp;期货（ln）'!AX49-'中国汇率&amp;期货（ln）'!AX68</f>
      </c>
      <c r="AY49" s="12">
        <f>'中国汇率&amp;期货（ln）'!AY49-'中国汇率&amp;期货（ln）'!AY68</f>
      </c>
      <c r="AZ49" s="12">
        <f>'中国汇率&amp;期货（ln）'!AZ49-'中国汇率&amp;期货（ln）'!AZ68</f>
      </c>
      <c r="BA49" s="12">
        <f>'中国汇率&amp;期货（ln）'!BA49-'中国汇率&amp;期货（ln）'!BA68</f>
      </c>
      <c r="BB49" s="12">
        <f>'中国汇率&amp;期货（ln）'!BB49-'中国汇率&amp;期货（ln）'!BB68</f>
      </c>
      <c r="BC49" s="12">
        <f>'中国汇率&amp;期货（ln）'!BC49-'中国汇率&amp;期货（ln）'!BC68</f>
      </c>
      <c r="BD49" s="12">
        <f>'中国汇率&amp;期货（ln）'!BD49-'中国汇率&amp;期货（ln）'!BD68</f>
      </c>
      <c r="BE49" s="12">
        <f>'中国汇率&amp;期货（ln）'!BE49-'中国汇率&amp;期货（ln）'!BE68</f>
      </c>
    </row>
    <row x14ac:dyDescent="0.25" r="50" customHeight="1" ht="18.75">
      <c r="A50" s="1"/>
      <c r="B50" s="12">
        <f>'中国汇率&amp;期货（ln）'!B50-'中国汇率&amp;期货（ln）'!B69</f>
      </c>
      <c r="C50" s="12">
        <f>'中国汇率&amp;期货（ln）'!C50-'中国汇率&amp;期货（ln）'!C69</f>
      </c>
      <c r="D50" s="12">
        <f>'中国汇率&amp;期货（ln）'!D50-'中国汇率&amp;期货（ln）'!D69</f>
      </c>
      <c r="E50" s="12">
        <f>'中国汇率&amp;期货（ln）'!E50-'中国汇率&amp;期货（ln）'!E69</f>
      </c>
      <c r="F50" s="12">
        <f>'中国汇率&amp;期货（ln）'!F50-'中国汇率&amp;期货（ln）'!F69</f>
      </c>
      <c r="G50" s="12">
        <f>'中国汇率&amp;期货（ln）'!G50-'中国汇率&amp;期货（ln）'!G69</f>
      </c>
      <c r="H50" s="12">
        <f>'中国汇率&amp;期货（ln）'!H50-'中国汇率&amp;期货（ln）'!H69</f>
      </c>
      <c r="I50" s="12">
        <f>'中国汇率&amp;期货（ln）'!I50-'中国汇率&amp;期货（ln）'!I69</f>
      </c>
      <c r="J50" s="12">
        <f>'中国汇率&amp;期货（ln）'!J50-'中国汇率&amp;期货（ln）'!J69</f>
      </c>
      <c r="K50" s="12">
        <f>'中国汇率&amp;期货（ln）'!K50-'中国汇率&amp;期货（ln）'!K69</f>
      </c>
      <c r="L50" s="12">
        <f>'中国汇率&amp;期货（ln）'!L50-'中国汇率&amp;期货（ln）'!L69</f>
      </c>
      <c r="M50" s="12">
        <f>'中国汇率&amp;期货（ln）'!M50-'中国汇率&amp;期货（ln）'!M69</f>
      </c>
      <c r="N50" s="12">
        <f>'中国汇率&amp;期货（ln）'!N50-'中国汇率&amp;期货（ln）'!N69</f>
      </c>
      <c r="O50" s="12">
        <f>'中国汇率&amp;期货（ln）'!O50-'中国汇率&amp;期货（ln）'!O69</f>
      </c>
      <c r="P50" s="12">
        <f>'中国汇率&amp;期货（ln）'!P50-'中国汇率&amp;期货（ln）'!P69</f>
      </c>
      <c r="Q50" s="12">
        <f>'中国汇率&amp;期货（ln）'!Q50-'中国汇率&amp;期货（ln）'!Q69</f>
      </c>
      <c r="R50" s="12">
        <f>'中国汇率&amp;期货（ln）'!R50-'中国汇率&amp;期货（ln）'!R69</f>
      </c>
      <c r="S50" s="12">
        <f>'中国汇率&amp;期货（ln）'!S50-'中国汇率&amp;期货（ln）'!S69</f>
      </c>
      <c r="T50" s="12">
        <f>'中国汇率&amp;期货（ln）'!T50-'中国汇率&amp;期货（ln）'!T69</f>
      </c>
      <c r="U50" s="12">
        <f>'中国汇率&amp;期货（ln）'!U50-'中国汇率&amp;期货（ln）'!U69</f>
      </c>
      <c r="V50" s="12">
        <f>'中国汇率&amp;期货（ln）'!V50-'中国汇率&amp;期货（ln）'!V69</f>
      </c>
      <c r="W50" s="12">
        <f>'中国汇率&amp;期货（ln）'!W50-'中国汇率&amp;期货（ln）'!W69</f>
      </c>
      <c r="X50" s="12">
        <f>'中国汇率&amp;期货（ln）'!X50-'中国汇率&amp;期货（ln）'!X69</f>
      </c>
      <c r="Y50" s="12">
        <f>'中国汇率&amp;期货（ln）'!Y50-'中国汇率&amp;期货（ln）'!Y69</f>
      </c>
      <c r="Z50" s="12">
        <f>'中国汇率&amp;期货（ln）'!Z50-'中国汇率&amp;期货（ln）'!Z69</f>
      </c>
      <c r="AA50" s="12">
        <f>'中国汇率&amp;期货（ln）'!AA50-'中国汇率&amp;期货（ln）'!AA69</f>
      </c>
      <c r="AB50" s="12">
        <f>'中国汇率&amp;期货（ln）'!AB50-'中国汇率&amp;期货（ln）'!AB69</f>
      </c>
      <c r="AC50" s="12">
        <f>'中国汇率&amp;期货（ln）'!AC50-'中国汇率&amp;期货（ln）'!AC69</f>
      </c>
      <c r="AD50" s="12">
        <f>'中国汇率&amp;期货（ln）'!AD50-'中国汇率&amp;期货（ln）'!AD69</f>
      </c>
      <c r="AE50" s="12">
        <f>'中国汇率&amp;期货（ln）'!AE50-'中国汇率&amp;期货（ln）'!AE69</f>
      </c>
      <c r="AF50" s="12">
        <f>'中国汇率&amp;期货（ln）'!AF50-'中国汇率&amp;期货（ln）'!AF69</f>
      </c>
      <c r="AG50" s="12">
        <f>'中国汇率&amp;期货（ln）'!AG50-'中国汇率&amp;期货（ln）'!AG69</f>
      </c>
      <c r="AH50" s="12">
        <f>'中国汇率&amp;期货（ln）'!AH50-'中国汇率&amp;期货（ln）'!AH69</f>
      </c>
      <c r="AI50" s="12">
        <f>'中国汇率&amp;期货（ln）'!AI50-'中国汇率&amp;期货（ln）'!AI69</f>
      </c>
      <c r="AJ50" s="12">
        <f>'中国汇率&amp;期货（ln）'!AJ50-'中国汇率&amp;期货（ln）'!AJ69</f>
      </c>
      <c r="AK50" s="12">
        <f>'中国汇率&amp;期货（ln）'!AK50-'中国汇率&amp;期货（ln）'!AK69</f>
      </c>
      <c r="AL50" s="12">
        <f>'中国汇率&amp;期货（ln）'!AL50-'中国汇率&amp;期货（ln）'!AL69</f>
      </c>
      <c r="AM50" s="12">
        <f>'中国汇率&amp;期货（ln）'!AM50-'中国汇率&amp;期货（ln）'!AM69</f>
      </c>
      <c r="AN50" s="12">
        <f>'中国汇率&amp;期货（ln）'!AN50-'中国汇率&amp;期货（ln）'!AN69</f>
      </c>
      <c r="AO50" s="12">
        <f>'中国汇率&amp;期货（ln）'!AO50-'中国汇率&amp;期货（ln）'!AO69</f>
      </c>
      <c r="AP50" s="12">
        <f>'中国汇率&amp;期货（ln）'!AP50-'中国汇率&amp;期货（ln）'!AP69</f>
      </c>
      <c r="AQ50" s="12">
        <f>'中国汇率&amp;期货（ln）'!AQ50-'中国汇率&amp;期货（ln）'!AQ69</f>
      </c>
      <c r="AR50" s="12">
        <f>'中国汇率&amp;期货（ln）'!AR50-'中国汇率&amp;期货（ln）'!AR69</f>
      </c>
      <c r="AS50" s="12">
        <f>'中国汇率&amp;期货（ln）'!AS50-'中国汇率&amp;期货（ln）'!AS69</f>
      </c>
      <c r="AT50" s="12">
        <f>'中国汇率&amp;期货（ln）'!AT50-'中国汇率&amp;期货（ln）'!AT69</f>
      </c>
      <c r="AU50" s="12">
        <f>'中国汇率&amp;期货（ln）'!AU50-'中国汇率&amp;期货（ln）'!AU69</f>
      </c>
      <c r="AV50" s="12">
        <f>'中国汇率&amp;期货（ln）'!AV50-'中国汇率&amp;期货（ln）'!AV69</f>
      </c>
      <c r="AW50" s="12">
        <f>'中国汇率&amp;期货（ln）'!AW50-'中国汇率&amp;期货（ln）'!AW69</f>
      </c>
      <c r="AX50" s="12">
        <f>'中国汇率&amp;期货（ln）'!AX50-'中国汇率&amp;期货（ln）'!AX69</f>
      </c>
      <c r="AY50" s="12">
        <f>'中国汇率&amp;期货（ln）'!AY50-'中国汇率&amp;期货（ln）'!AY69</f>
      </c>
      <c r="AZ50" s="12">
        <f>'中国汇率&amp;期货（ln）'!AZ50-'中国汇率&amp;期货（ln）'!AZ69</f>
      </c>
      <c r="BA50" s="12">
        <f>'中国汇率&amp;期货（ln）'!BA50-'中国汇率&amp;期货（ln）'!BA69</f>
      </c>
      <c r="BB50" s="12">
        <f>'中国汇率&amp;期货（ln）'!BB50-'中国汇率&amp;期货（ln）'!BB69</f>
      </c>
      <c r="BC50" s="12">
        <f>'中国汇率&amp;期货（ln）'!BC50-'中国汇率&amp;期货（ln）'!BC69</f>
      </c>
      <c r="BD50" s="12">
        <f>'中国汇率&amp;期货（ln）'!BD50-'中国汇率&amp;期货（ln）'!BD69</f>
      </c>
      <c r="BE50" s="12">
        <f>'中国汇率&amp;期货（ln）'!BE50-'中国汇率&amp;期货（ln）'!BE69</f>
      </c>
    </row>
    <row x14ac:dyDescent="0.25" r="51" customHeight="1" ht="18.75">
      <c r="A51" s="1"/>
      <c r="B51" s="12">
        <f>'中国汇率&amp;期货（ln）'!B51-'中国汇率&amp;期货（ln）'!B70</f>
      </c>
      <c r="C51" s="12">
        <f>'中国汇率&amp;期货（ln）'!C51-'中国汇率&amp;期货（ln）'!C70</f>
      </c>
      <c r="D51" s="12">
        <f>'中国汇率&amp;期货（ln）'!D51-'中国汇率&amp;期货（ln）'!D70</f>
      </c>
      <c r="E51" s="12">
        <f>'中国汇率&amp;期货（ln）'!E51-'中国汇率&amp;期货（ln）'!E70</f>
      </c>
      <c r="F51" s="12">
        <f>'中国汇率&amp;期货（ln）'!F51-'中国汇率&amp;期货（ln）'!F70</f>
      </c>
      <c r="G51" s="12">
        <f>'中国汇率&amp;期货（ln）'!G51-'中国汇率&amp;期货（ln）'!G70</f>
      </c>
      <c r="H51" s="12">
        <f>'中国汇率&amp;期货（ln）'!H51-'中国汇率&amp;期货（ln）'!H70</f>
      </c>
      <c r="I51" s="12">
        <f>'中国汇率&amp;期货（ln）'!I51-'中国汇率&amp;期货（ln）'!I70</f>
      </c>
      <c r="J51" s="12">
        <f>'中国汇率&amp;期货（ln）'!J51-'中国汇率&amp;期货（ln）'!J70</f>
      </c>
      <c r="K51" s="12">
        <f>'中国汇率&amp;期货（ln）'!K51-'中国汇率&amp;期货（ln）'!K70</f>
      </c>
      <c r="L51" s="12">
        <f>'中国汇率&amp;期货（ln）'!L51-'中国汇率&amp;期货（ln）'!L70</f>
      </c>
      <c r="M51" s="12">
        <f>'中国汇率&amp;期货（ln）'!M51-'中国汇率&amp;期货（ln）'!M70</f>
      </c>
      <c r="N51" s="12">
        <f>'中国汇率&amp;期货（ln）'!N51-'中国汇率&amp;期货（ln）'!N70</f>
      </c>
      <c r="O51" s="12">
        <f>'中国汇率&amp;期货（ln）'!O51-'中国汇率&amp;期货（ln）'!O70</f>
      </c>
      <c r="P51" s="12">
        <f>'中国汇率&amp;期货（ln）'!P51-'中国汇率&amp;期货（ln）'!P70</f>
      </c>
      <c r="Q51" s="12">
        <f>'中国汇率&amp;期货（ln）'!Q51-'中国汇率&amp;期货（ln）'!Q70</f>
      </c>
      <c r="R51" s="12">
        <f>'中国汇率&amp;期货（ln）'!R51-'中国汇率&amp;期货（ln）'!R70</f>
      </c>
      <c r="S51" s="12">
        <f>'中国汇率&amp;期货（ln）'!S51-'中国汇率&amp;期货（ln）'!S70</f>
      </c>
      <c r="T51" s="12">
        <f>'中国汇率&amp;期货（ln）'!T51-'中国汇率&amp;期货（ln）'!T70</f>
      </c>
      <c r="U51" s="12">
        <f>'中国汇率&amp;期货（ln）'!U51-'中国汇率&amp;期货（ln）'!U70</f>
      </c>
      <c r="V51" s="12">
        <f>'中国汇率&amp;期货（ln）'!V51-'中国汇率&amp;期货（ln）'!V70</f>
      </c>
      <c r="W51" s="12">
        <f>'中国汇率&amp;期货（ln）'!W51-'中国汇率&amp;期货（ln）'!W70</f>
      </c>
      <c r="X51" s="12">
        <f>'中国汇率&amp;期货（ln）'!X51-'中国汇率&amp;期货（ln）'!X70</f>
      </c>
      <c r="Y51" s="12">
        <f>'中国汇率&amp;期货（ln）'!Y51-'中国汇率&amp;期货（ln）'!Y70</f>
      </c>
      <c r="Z51" s="12">
        <f>'中国汇率&amp;期货（ln）'!Z51-'中国汇率&amp;期货（ln）'!Z70</f>
      </c>
      <c r="AA51" s="12">
        <f>'中国汇率&amp;期货（ln）'!AA51-'中国汇率&amp;期货（ln）'!AA70</f>
      </c>
      <c r="AB51" s="12">
        <f>'中国汇率&amp;期货（ln）'!AB51-'中国汇率&amp;期货（ln）'!AB70</f>
      </c>
      <c r="AC51" s="12">
        <f>'中国汇率&amp;期货（ln）'!AC51-'中国汇率&amp;期货（ln）'!AC70</f>
      </c>
      <c r="AD51" s="12">
        <f>'中国汇率&amp;期货（ln）'!AD51-'中国汇率&amp;期货（ln）'!AD70</f>
      </c>
      <c r="AE51" s="12">
        <f>'中国汇率&amp;期货（ln）'!AE51-'中国汇率&amp;期货（ln）'!AE70</f>
      </c>
      <c r="AF51" s="12">
        <f>'中国汇率&amp;期货（ln）'!AF51-'中国汇率&amp;期货（ln）'!AF70</f>
      </c>
      <c r="AG51" s="12">
        <f>'中国汇率&amp;期货（ln）'!AG51-'中国汇率&amp;期货（ln）'!AG70</f>
      </c>
      <c r="AH51" s="12">
        <f>'中国汇率&amp;期货（ln）'!AH51-'中国汇率&amp;期货（ln）'!AH70</f>
      </c>
      <c r="AI51" s="12">
        <f>'中国汇率&amp;期货（ln）'!AI51-'中国汇率&amp;期货（ln）'!AI70</f>
      </c>
      <c r="AJ51" s="12">
        <f>'中国汇率&amp;期货（ln）'!AJ51-'中国汇率&amp;期货（ln）'!AJ70</f>
      </c>
      <c r="AK51" s="12">
        <f>'中国汇率&amp;期货（ln）'!AK51-'中国汇率&amp;期货（ln）'!AK70</f>
      </c>
      <c r="AL51" s="12">
        <f>'中国汇率&amp;期货（ln）'!AL51-'中国汇率&amp;期货（ln）'!AL70</f>
      </c>
      <c r="AM51" s="12">
        <f>'中国汇率&amp;期货（ln）'!AM51-'中国汇率&amp;期货（ln）'!AM70</f>
      </c>
      <c r="AN51" s="12">
        <f>'中国汇率&amp;期货（ln）'!AN51-'中国汇率&amp;期货（ln）'!AN70</f>
      </c>
      <c r="AO51" s="12">
        <f>'中国汇率&amp;期货（ln）'!AO51-'中国汇率&amp;期货（ln）'!AO70</f>
      </c>
      <c r="AP51" s="12">
        <f>'中国汇率&amp;期货（ln）'!AP51-'中国汇率&amp;期货（ln）'!AP70</f>
      </c>
      <c r="AQ51" s="12">
        <f>'中国汇率&amp;期货（ln）'!AQ51-'中国汇率&amp;期货（ln）'!AQ70</f>
      </c>
      <c r="AR51" s="12">
        <f>'中国汇率&amp;期货（ln）'!AR51-'中国汇率&amp;期货（ln）'!AR70</f>
      </c>
      <c r="AS51" s="12">
        <f>'中国汇率&amp;期货（ln）'!AS51-'中国汇率&amp;期货（ln）'!AS70</f>
      </c>
      <c r="AT51" s="12">
        <f>'中国汇率&amp;期货（ln）'!AT51-'中国汇率&amp;期货（ln）'!AT70</f>
      </c>
      <c r="AU51" s="12">
        <f>'中国汇率&amp;期货（ln）'!AU51-'中国汇率&amp;期货（ln）'!AU70</f>
      </c>
      <c r="AV51" s="12">
        <f>'中国汇率&amp;期货（ln）'!AV51-'中国汇率&amp;期货（ln）'!AV70</f>
      </c>
      <c r="AW51" s="12">
        <f>'中国汇率&amp;期货（ln）'!AW51-'中国汇率&amp;期货（ln）'!AW70</f>
      </c>
      <c r="AX51" s="12">
        <f>'中国汇率&amp;期货（ln）'!AX51-'中国汇率&amp;期货（ln）'!AX70</f>
      </c>
      <c r="AY51" s="12">
        <f>'中国汇率&amp;期货（ln）'!AY51-'中国汇率&amp;期货（ln）'!AY70</f>
      </c>
      <c r="AZ51" s="12">
        <f>'中国汇率&amp;期货（ln）'!AZ51-'中国汇率&amp;期货（ln）'!AZ70</f>
      </c>
      <c r="BA51" s="12">
        <f>'中国汇率&amp;期货（ln）'!BA51-'中国汇率&amp;期货（ln）'!BA70</f>
      </c>
      <c r="BB51" s="12">
        <f>'中国汇率&amp;期货（ln）'!BB51-'中国汇率&amp;期货（ln）'!BB70</f>
      </c>
      <c r="BC51" s="12">
        <f>'中国汇率&amp;期货（ln）'!BC51-'中国汇率&amp;期货（ln）'!BC70</f>
      </c>
      <c r="BD51" s="12">
        <f>'中国汇率&amp;期货（ln）'!BD51-'中国汇率&amp;期货（ln）'!BD70</f>
      </c>
      <c r="BE51" s="12">
        <f>'中国汇率&amp;期货（ln）'!BE51-'中国汇率&amp;期货（ln）'!BE70</f>
      </c>
    </row>
    <row x14ac:dyDescent="0.25" r="52" customHeight="1" ht="18.75">
      <c r="A52" s="1"/>
      <c r="B52" s="12">
        <f>'中国汇率&amp;期货（ln）'!B52-'中国汇率&amp;期货（ln）'!B71</f>
      </c>
      <c r="C52" s="12">
        <f>'中国汇率&amp;期货（ln）'!C52-'中国汇率&amp;期货（ln）'!C71</f>
      </c>
      <c r="D52" s="12">
        <f>'中国汇率&amp;期货（ln）'!D52-'中国汇率&amp;期货（ln）'!D71</f>
      </c>
      <c r="E52" s="12">
        <f>'中国汇率&amp;期货（ln）'!E52-'中国汇率&amp;期货（ln）'!E71</f>
      </c>
      <c r="F52" s="12">
        <f>'中国汇率&amp;期货（ln）'!F52-'中国汇率&amp;期货（ln）'!F71</f>
      </c>
      <c r="G52" s="12">
        <f>'中国汇率&amp;期货（ln）'!G52-'中国汇率&amp;期货（ln）'!G71</f>
      </c>
      <c r="H52" s="12">
        <f>'中国汇率&amp;期货（ln）'!H52-'中国汇率&amp;期货（ln）'!H71</f>
      </c>
      <c r="I52" s="12">
        <f>'中国汇率&amp;期货（ln）'!I52-'中国汇率&amp;期货（ln）'!I71</f>
      </c>
      <c r="J52" s="12">
        <f>'中国汇率&amp;期货（ln）'!J52-'中国汇率&amp;期货（ln）'!J71</f>
      </c>
      <c r="K52" s="12">
        <f>'中国汇率&amp;期货（ln）'!K52-'中国汇率&amp;期货（ln）'!K71</f>
      </c>
      <c r="L52" s="12">
        <f>'中国汇率&amp;期货（ln）'!L52-'中国汇率&amp;期货（ln）'!L71</f>
      </c>
      <c r="M52" s="12">
        <f>'中国汇率&amp;期货（ln）'!M52-'中国汇率&amp;期货（ln）'!M71</f>
      </c>
      <c r="N52" s="12">
        <f>'中国汇率&amp;期货（ln）'!N52-'中国汇率&amp;期货（ln）'!N71</f>
      </c>
      <c r="O52" s="12">
        <f>'中国汇率&amp;期货（ln）'!O52-'中国汇率&amp;期货（ln）'!O71</f>
      </c>
      <c r="P52" s="12">
        <f>'中国汇率&amp;期货（ln）'!P52-'中国汇率&amp;期货（ln）'!P71</f>
      </c>
      <c r="Q52" s="12">
        <f>'中国汇率&amp;期货（ln）'!Q52-'中国汇率&amp;期货（ln）'!Q71</f>
      </c>
      <c r="R52" s="12">
        <f>'中国汇率&amp;期货（ln）'!R52-'中国汇率&amp;期货（ln）'!R71</f>
      </c>
      <c r="S52" s="12">
        <f>'中国汇率&amp;期货（ln）'!S52-'中国汇率&amp;期货（ln）'!S71</f>
      </c>
      <c r="T52" s="12">
        <f>'中国汇率&amp;期货（ln）'!T52-'中国汇率&amp;期货（ln）'!T71</f>
      </c>
      <c r="U52" s="12">
        <f>'中国汇率&amp;期货（ln）'!U52-'中国汇率&amp;期货（ln）'!U71</f>
      </c>
      <c r="V52" s="12">
        <f>'中国汇率&amp;期货（ln）'!V52-'中国汇率&amp;期货（ln）'!V71</f>
      </c>
      <c r="W52" s="12">
        <f>'中国汇率&amp;期货（ln）'!W52-'中国汇率&amp;期货（ln）'!W71</f>
      </c>
      <c r="X52" s="12">
        <f>'中国汇率&amp;期货（ln）'!X52-'中国汇率&amp;期货（ln）'!X71</f>
      </c>
      <c r="Y52" s="12">
        <f>'中国汇率&amp;期货（ln）'!Y52-'中国汇率&amp;期货（ln）'!Y71</f>
      </c>
      <c r="Z52" s="12">
        <f>'中国汇率&amp;期货（ln）'!Z52-'中国汇率&amp;期货（ln）'!Z71</f>
      </c>
      <c r="AA52" s="12">
        <f>'中国汇率&amp;期货（ln）'!AA52-'中国汇率&amp;期货（ln）'!AA71</f>
      </c>
      <c r="AB52" s="12">
        <f>'中国汇率&amp;期货（ln）'!AB52-'中国汇率&amp;期货（ln）'!AB71</f>
      </c>
      <c r="AC52" s="12">
        <f>'中国汇率&amp;期货（ln）'!AC52-'中国汇率&amp;期货（ln）'!AC71</f>
      </c>
      <c r="AD52" s="12">
        <f>'中国汇率&amp;期货（ln）'!AD52-'中国汇率&amp;期货（ln）'!AD71</f>
      </c>
      <c r="AE52" s="12">
        <f>'中国汇率&amp;期货（ln）'!AE52-'中国汇率&amp;期货（ln）'!AE71</f>
      </c>
      <c r="AF52" s="12">
        <f>'中国汇率&amp;期货（ln）'!AF52-'中国汇率&amp;期货（ln）'!AF71</f>
      </c>
      <c r="AG52" s="12">
        <f>'中国汇率&amp;期货（ln）'!AG52-'中国汇率&amp;期货（ln）'!AG71</f>
      </c>
      <c r="AH52" s="12">
        <f>'中国汇率&amp;期货（ln）'!AH52-'中国汇率&amp;期货（ln）'!AH71</f>
      </c>
      <c r="AI52" s="12">
        <f>'中国汇率&amp;期货（ln）'!AI52-'中国汇率&amp;期货（ln）'!AI71</f>
      </c>
      <c r="AJ52" s="12">
        <f>'中国汇率&amp;期货（ln）'!AJ52-'中国汇率&amp;期货（ln）'!AJ71</f>
      </c>
      <c r="AK52" s="12">
        <f>'中国汇率&amp;期货（ln）'!AK52-'中国汇率&amp;期货（ln）'!AK71</f>
      </c>
      <c r="AL52" s="12">
        <f>'中国汇率&amp;期货（ln）'!AL52-'中国汇率&amp;期货（ln）'!AL71</f>
      </c>
      <c r="AM52" s="12">
        <f>'中国汇率&amp;期货（ln）'!AM52-'中国汇率&amp;期货（ln）'!AM71</f>
      </c>
      <c r="AN52" s="12">
        <f>'中国汇率&amp;期货（ln）'!AN52-'中国汇率&amp;期货（ln）'!AN71</f>
      </c>
      <c r="AO52" s="12">
        <f>'中国汇率&amp;期货（ln）'!AO52-'中国汇率&amp;期货（ln）'!AO71</f>
      </c>
      <c r="AP52" s="12">
        <f>'中国汇率&amp;期货（ln）'!AP52-'中国汇率&amp;期货（ln）'!AP71</f>
      </c>
      <c r="AQ52" s="12">
        <f>'中国汇率&amp;期货（ln）'!AQ52-'中国汇率&amp;期货（ln）'!AQ71</f>
      </c>
      <c r="AR52" s="12">
        <f>'中国汇率&amp;期货（ln）'!AR52-'中国汇率&amp;期货（ln）'!AR71</f>
      </c>
      <c r="AS52" s="12">
        <f>'中国汇率&amp;期货（ln）'!AS52-'中国汇率&amp;期货（ln）'!AS71</f>
      </c>
      <c r="AT52" s="12">
        <f>'中国汇率&amp;期货（ln）'!AT52-'中国汇率&amp;期货（ln）'!AT71</f>
      </c>
      <c r="AU52" s="12">
        <f>'中国汇率&amp;期货（ln）'!AU52-'中国汇率&amp;期货（ln）'!AU71</f>
      </c>
      <c r="AV52" s="12">
        <f>'中国汇率&amp;期货（ln）'!AV52-'中国汇率&amp;期货（ln）'!AV71</f>
      </c>
      <c r="AW52" s="12">
        <f>'中国汇率&amp;期货（ln）'!AW52-'中国汇率&amp;期货（ln）'!AW71</f>
      </c>
      <c r="AX52" s="12">
        <f>'中国汇率&amp;期货（ln）'!AX52-'中国汇率&amp;期货（ln）'!AX71</f>
      </c>
      <c r="AY52" s="12">
        <f>'中国汇率&amp;期货（ln）'!AY52-'中国汇率&amp;期货（ln）'!AY71</f>
      </c>
      <c r="AZ52" s="12">
        <f>'中国汇率&amp;期货（ln）'!AZ52-'中国汇率&amp;期货（ln）'!AZ71</f>
      </c>
      <c r="BA52" s="12">
        <f>'中国汇率&amp;期货（ln）'!BA52-'中国汇率&amp;期货（ln）'!BA71</f>
      </c>
      <c r="BB52" s="12">
        <f>'中国汇率&amp;期货（ln）'!BB52-'中国汇率&amp;期货（ln）'!BB71</f>
      </c>
      <c r="BC52" s="12">
        <f>'中国汇率&amp;期货（ln）'!BC52-'中国汇率&amp;期货（ln）'!BC71</f>
      </c>
      <c r="BD52" s="12">
        <f>'中国汇率&amp;期货（ln）'!BD52-'中国汇率&amp;期货（ln）'!BD71</f>
      </c>
      <c r="BE52" s="12">
        <f>'中国汇率&amp;期货（ln）'!BE52-'中国汇率&amp;期货（ln）'!BE71</f>
      </c>
    </row>
    <row x14ac:dyDescent="0.25" r="53" customHeight="1" ht="18.75">
      <c r="A53" s="1"/>
      <c r="B53" s="12">
        <f>'中国汇率&amp;期货（ln）'!B53-'中国汇率&amp;期货（ln）'!B72</f>
      </c>
      <c r="C53" s="12">
        <f>'中国汇率&amp;期货（ln）'!C53-'中国汇率&amp;期货（ln）'!C72</f>
      </c>
      <c r="D53" s="12">
        <f>'中国汇率&amp;期货（ln）'!D53-'中国汇率&amp;期货（ln）'!D72</f>
      </c>
      <c r="E53" s="12">
        <f>'中国汇率&amp;期货（ln）'!E53-'中国汇率&amp;期货（ln）'!E72</f>
      </c>
      <c r="F53" s="12">
        <f>'中国汇率&amp;期货（ln）'!F53-'中国汇率&amp;期货（ln）'!F72</f>
      </c>
      <c r="G53" s="12">
        <f>'中国汇率&amp;期货（ln）'!G53-'中国汇率&amp;期货（ln）'!G72</f>
      </c>
      <c r="H53" s="12">
        <f>'中国汇率&amp;期货（ln）'!H53-'中国汇率&amp;期货（ln）'!H72</f>
      </c>
      <c r="I53" s="12">
        <f>'中国汇率&amp;期货（ln）'!I53-'中国汇率&amp;期货（ln）'!I72</f>
      </c>
      <c r="J53" s="12">
        <f>'中国汇率&amp;期货（ln）'!J53-'中国汇率&amp;期货（ln）'!J72</f>
      </c>
      <c r="K53" s="12">
        <f>'中国汇率&amp;期货（ln）'!K53-'中国汇率&amp;期货（ln）'!K72</f>
      </c>
      <c r="L53" s="12">
        <f>'中国汇率&amp;期货（ln）'!L53-'中国汇率&amp;期货（ln）'!L72</f>
      </c>
      <c r="M53" s="12">
        <f>'中国汇率&amp;期货（ln）'!M53-'中国汇率&amp;期货（ln）'!M72</f>
      </c>
      <c r="N53" s="12">
        <f>'中国汇率&amp;期货（ln）'!N53-'中国汇率&amp;期货（ln）'!N72</f>
      </c>
      <c r="O53" s="12">
        <f>'中国汇率&amp;期货（ln）'!O53-'中国汇率&amp;期货（ln）'!O72</f>
      </c>
      <c r="P53" s="12">
        <f>'中国汇率&amp;期货（ln）'!P53-'中国汇率&amp;期货（ln）'!P72</f>
      </c>
      <c r="Q53" s="12">
        <f>'中国汇率&amp;期货（ln）'!Q53-'中国汇率&amp;期货（ln）'!Q72</f>
      </c>
      <c r="R53" s="12">
        <f>'中国汇率&amp;期货（ln）'!R53-'中国汇率&amp;期货（ln）'!R72</f>
      </c>
      <c r="S53" s="12">
        <f>'中国汇率&amp;期货（ln）'!S53-'中国汇率&amp;期货（ln）'!S72</f>
      </c>
      <c r="T53" s="12">
        <f>'中国汇率&amp;期货（ln）'!T53-'中国汇率&amp;期货（ln）'!T72</f>
      </c>
      <c r="U53" s="12">
        <f>'中国汇率&amp;期货（ln）'!U53-'中国汇率&amp;期货（ln）'!U72</f>
      </c>
      <c r="V53" s="12">
        <f>'中国汇率&amp;期货（ln）'!V53-'中国汇率&amp;期货（ln）'!V72</f>
      </c>
      <c r="W53" s="12">
        <f>'中国汇率&amp;期货（ln）'!W53-'中国汇率&amp;期货（ln）'!W72</f>
      </c>
      <c r="X53" s="12">
        <f>'中国汇率&amp;期货（ln）'!X53-'中国汇率&amp;期货（ln）'!X72</f>
      </c>
      <c r="Y53" s="12">
        <f>'中国汇率&amp;期货（ln）'!Y53-'中国汇率&amp;期货（ln）'!Y72</f>
      </c>
      <c r="Z53" s="12">
        <f>'中国汇率&amp;期货（ln）'!Z53-'中国汇率&amp;期货（ln）'!Z72</f>
      </c>
      <c r="AA53" s="12">
        <f>'中国汇率&amp;期货（ln）'!AA53-'中国汇率&amp;期货（ln）'!AA72</f>
      </c>
      <c r="AB53" s="12">
        <f>'中国汇率&amp;期货（ln）'!AB53-'中国汇率&amp;期货（ln）'!AB72</f>
      </c>
      <c r="AC53" s="12">
        <f>'中国汇率&amp;期货（ln）'!AC53-'中国汇率&amp;期货（ln）'!AC72</f>
      </c>
      <c r="AD53" s="12">
        <f>'中国汇率&amp;期货（ln）'!AD53-'中国汇率&amp;期货（ln）'!AD72</f>
      </c>
      <c r="AE53" s="12">
        <f>'中国汇率&amp;期货（ln）'!AE53-'中国汇率&amp;期货（ln）'!AE72</f>
      </c>
      <c r="AF53" s="12">
        <f>'中国汇率&amp;期货（ln）'!AF53-'中国汇率&amp;期货（ln）'!AF72</f>
      </c>
      <c r="AG53" s="12">
        <f>'中国汇率&amp;期货（ln）'!AG53-'中国汇率&amp;期货（ln）'!AG72</f>
      </c>
      <c r="AH53" s="12">
        <f>'中国汇率&amp;期货（ln）'!AH53-'中国汇率&amp;期货（ln）'!AH72</f>
      </c>
      <c r="AI53" s="12">
        <f>'中国汇率&amp;期货（ln）'!AI53-'中国汇率&amp;期货（ln）'!AI72</f>
      </c>
      <c r="AJ53" s="12">
        <f>'中国汇率&amp;期货（ln）'!AJ53-'中国汇率&amp;期货（ln）'!AJ72</f>
      </c>
      <c r="AK53" s="12">
        <f>'中国汇率&amp;期货（ln）'!AK53-'中国汇率&amp;期货（ln）'!AK72</f>
      </c>
      <c r="AL53" s="12">
        <f>'中国汇率&amp;期货（ln）'!AL53-'中国汇率&amp;期货（ln）'!AL72</f>
      </c>
      <c r="AM53" s="12">
        <f>'中国汇率&amp;期货（ln）'!AM53-'中国汇率&amp;期货（ln）'!AM72</f>
      </c>
      <c r="AN53" s="12">
        <f>'中国汇率&amp;期货（ln）'!AN53-'中国汇率&amp;期货（ln）'!AN72</f>
      </c>
      <c r="AO53" s="12">
        <f>'中国汇率&amp;期货（ln）'!AO53-'中国汇率&amp;期货（ln）'!AO72</f>
      </c>
      <c r="AP53" s="12">
        <f>'中国汇率&amp;期货（ln）'!AP53-'中国汇率&amp;期货（ln）'!AP72</f>
      </c>
      <c r="AQ53" s="12">
        <f>'中国汇率&amp;期货（ln）'!AQ53-'中国汇率&amp;期货（ln）'!AQ72</f>
      </c>
      <c r="AR53" s="12">
        <f>'中国汇率&amp;期货（ln）'!AR53-'中国汇率&amp;期货（ln）'!AR72</f>
      </c>
      <c r="AS53" s="12">
        <f>'中国汇率&amp;期货（ln）'!AS53-'中国汇率&amp;期货（ln）'!AS72</f>
      </c>
      <c r="AT53" s="12">
        <f>'中国汇率&amp;期货（ln）'!AT53-'中国汇率&amp;期货（ln）'!AT72</f>
      </c>
      <c r="AU53" s="12">
        <f>'中国汇率&amp;期货（ln）'!AU53-'中国汇率&amp;期货（ln）'!AU72</f>
      </c>
      <c r="AV53" s="12">
        <f>'中国汇率&amp;期货（ln）'!AV53-'中国汇率&amp;期货（ln）'!AV72</f>
      </c>
      <c r="AW53" s="12">
        <f>'中国汇率&amp;期货（ln）'!AW53-'中国汇率&amp;期货（ln）'!AW72</f>
      </c>
      <c r="AX53" s="12">
        <f>'中国汇率&amp;期货（ln）'!AX53-'中国汇率&amp;期货（ln）'!AX72</f>
      </c>
      <c r="AY53" s="12">
        <f>'中国汇率&amp;期货（ln）'!AY53-'中国汇率&amp;期货（ln）'!AY72</f>
      </c>
      <c r="AZ53" s="12">
        <f>'中国汇率&amp;期货（ln）'!AZ53-'中国汇率&amp;期货（ln）'!AZ72</f>
      </c>
      <c r="BA53" s="12">
        <f>'中国汇率&amp;期货（ln）'!BA53-'中国汇率&amp;期货（ln）'!BA72</f>
      </c>
      <c r="BB53" s="12">
        <f>'中国汇率&amp;期货（ln）'!BB53-'中国汇率&amp;期货（ln）'!BB72</f>
      </c>
      <c r="BC53" s="12">
        <f>'中国汇率&amp;期货（ln）'!BC53-'中国汇率&amp;期货（ln）'!BC72</f>
      </c>
      <c r="BD53" s="12">
        <f>'中国汇率&amp;期货（ln）'!BD53-'中国汇率&amp;期货（ln）'!BD72</f>
      </c>
      <c r="BE53" s="12">
        <f>'中国汇率&amp;期货（ln）'!BE53-'中国汇率&amp;期货（ln）'!BE72</f>
      </c>
    </row>
    <row x14ac:dyDescent="0.25" r="54" customHeight="1" ht="18.75">
      <c r="A54" s="1"/>
      <c r="B54" s="12">
        <f>'中国汇率&amp;期货（ln）'!B54-'中国汇率&amp;期货（ln）'!B73</f>
      </c>
      <c r="C54" s="12">
        <f>'中国汇率&amp;期货（ln）'!C54-'中国汇率&amp;期货（ln）'!C73</f>
      </c>
      <c r="D54" s="12">
        <f>'中国汇率&amp;期货（ln）'!D54-'中国汇率&amp;期货（ln）'!D73</f>
      </c>
      <c r="E54" s="12">
        <f>'中国汇率&amp;期货（ln）'!E54-'中国汇率&amp;期货（ln）'!E73</f>
      </c>
      <c r="F54" s="12">
        <f>'中国汇率&amp;期货（ln）'!F54-'中国汇率&amp;期货（ln）'!F73</f>
      </c>
      <c r="G54" s="12">
        <f>'中国汇率&amp;期货（ln）'!G54-'中国汇率&amp;期货（ln）'!G73</f>
      </c>
      <c r="H54" s="12">
        <f>'中国汇率&amp;期货（ln）'!H54-'中国汇率&amp;期货（ln）'!H73</f>
      </c>
      <c r="I54" s="12">
        <f>'中国汇率&amp;期货（ln）'!I54-'中国汇率&amp;期货（ln）'!I73</f>
      </c>
      <c r="J54" s="12">
        <f>'中国汇率&amp;期货（ln）'!J54-'中国汇率&amp;期货（ln）'!J73</f>
      </c>
      <c r="K54" s="12">
        <f>'中国汇率&amp;期货（ln）'!K54-'中国汇率&amp;期货（ln）'!K73</f>
      </c>
      <c r="L54" s="12">
        <f>'中国汇率&amp;期货（ln）'!L54-'中国汇率&amp;期货（ln）'!L73</f>
      </c>
      <c r="M54" s="12">
        <f>'中国汇率&amp;期货（ln）'!M54-'中国汇率&amp;期货（ln）'!M73</f>
      </c>
      <c r="N54" s="12">
        <f>'中国汇率&amp;期货（ln）'!N54-'中国汇率&amp;期货（ln）'!N73</f>
      </c>
      <c r="O54" s="12">
        <f>'中国汇率&amp;期货（ln）'!O54-'中国汇率&amp;期货（ln）'!O73</f>
      </c>
      <c r="P54" s="12">
        <f>'中国汇率&amp;期货（ln）'!P54-'中国汇率&amp;期货（ln）'!P73</f>
      </c>
      <c r="Q54" s="12">
        <f>'中国汇率&amp;期货（ln）'!Q54-'中国汇率&amp;期货（ln）'!Q73</f>
      </c>
      <c r="R54" s="12">
        <f>'中国汇率&amp;期货（ln）'!R54-'中国汇率&amp;期货（ln）'!R73</f>
      </c>
      <c r="S54" s="12">
        <f>'中国汇率&amp;期货（ln）'!S54-'中国汇率&amp;期货（ln）'!S73</f>
      </c>
      <c r="T54" s="12">
        <f>'中国汇率&amp;期货（ln）'!T54-'中国汇率&amp;期货（ln）'!T73</f>
      </c>
      <c r="U54" s="12">
        <f>'中国汇率&amp;期货（ln）'!U54-'中国汇率&amp;期货（ln）'!U73</f>
      </c>
      <c r="V54" s="12">
        <f>'中国汇率&amp;期货（ln）'!V54-'中国汇率&amp;期货（ln）'!V73</f>
      </c>
      <c r="W54" s="12">
        <f>'中国汇率&amp;期货（ln）'!W54-'中国汇率&amp;期货（ln）'!W73</f>
      </c>
      <c r="X54" s="12">
        <f>'中国汇率&amp;期货（ln）'!X54-'中国汇率&amp;期货（ln）'!X73</f>
      </c>
      <c r="Y54" s="12">
        <f>'中国汇率&amp;期货（ln）'!Y54-'中国汇率&amp;期货（ln）'!Y73</f>
      </c>
      <c r="Z54" s="12">
        <f>'中国汇率&amp;期货（ln）'!Z54-'中国汇率&amp;期货（ln）'!Z73</f>
      </c>
      <c r="AA54" s="12">
        <f>'中国汇率&amp;期货（ln）'!AA54-'中国汇率&amp;期货（ln）'!AA73</f>
      </c>
      <c r="AB54" s="12">
        <f>'中国汇率&amp;期货（ln）'!AB54-'中国汇率&amp;期货（ln）'!AB73</f>
      </c>
      <c r="AC54" s="12">
        <f>'中国汇率&amp;期货（ln）'!AC54-'中国汇率&amp;期货（ln）'!AC73</f>
      </c>
      <c r="AD54" s="12">
        <f>'中国汇率&amp;期货（ln）'!AD54-'中国汇率&amp;期货（ln）'!AD73</f>
      </c>
      <c r="AE54" s="12">
        <f>'中国汇率&amp;期货（ln）'!AE54-'中国汇率&amp;期货（ln）'!AE73</f>
      </c>
      <c r="AF54" s="12">
        <f>'中国汇率&amp;期货（ln）'!AF54-'中国汇率&amp;期货（ln）'!AF73</f>
      </c>
      <c r="AG54" s="12">
        <f>'中国汇率&amp;期货（ln）'!AG54-'中国汇率&amp;期货（ln）'!AG73</f>
      </c>
      <c r="AH54" s="12">
        <f>'中国汇率&amp;期货（ln）'!AH54-'中国汇率&amp;期货（ln）'!AH73</f>
      </c>
      <c r="AI54" s="12">
        <f>'中国汇率&amp;期货（ln）'!AI54-'中国汇率&amp;期货（ln）'!AI73</f>
      </c>
      <c r="AJ54" s="12">
        <f>'中国汇率&amp;期货（ln）'!AJ54-'中国汇率&amp;期货（ln）'!AJ73</f>
      </c>
      <c r="AK54" s="12">
        <f>'中国汇率&amp;期货（ln）'!AK54-'中国汇率&amp;期货（ln）'!AK73</f>
      </c>
      <c r="AL54" s="12">
        <f>'中国汇率&amp;期货（ln）'!AL54-'中国汇率&amp;期货（ln）'!AL73</f>
      </c>
      <c r="AM54" s="12">
        <f>'中国汇率&amp;期货（ln）'!AM54-'中国汇率&amp;期货（ln）'!AM73</f>
      </c>
      <c r="AN54" s="12">
        <f>'中国汇率&amp;期货（ln）'!AN54-'中国汇率&amp;期货（ln）'!AN73</f>
      </c>
      <c r="AO54" s="12">
        <f>'中国汇率&amp;期货（ln）'!AO54-'中国汇率&amp;期货（ln）'!AO73</f>
      </c>
      <c r="AP54" s="12">
        <f>'中国汇率&amp;期货（ln）'!AP54-'中国汇率&amp;期货（ln）'!AP73</f>
      </c>
      <c r="AQ54" s="12">
        <f>'中国汇率&amp;期货（ln）'!AQ54-'中国汇率&amp;期货（ln）'!AQ73</f>
      </c>
      <c r="AR54" s="12">
        <f>'中国汇率&amp;期货（ln）'!AR54-'中国汇率&amp;期货（ln）'!AR73</f>
      </c>
      <c r="AS54" s="12">
        <f>'中国汇率&amp;期货（ln）'!AS54-'中国汇率&amp;期货（ln）'!AS73</f>
      </c>
      <c r="AT54" s="12">
        <f>'中国汇率&amp;期货（ln）'!AT54-'中国汇率&amp;期货（ln）'!AT73</f>
      </c>
      <c r="AU54" s="12">
        <f>'中国汇率&amp;期货（ln）'!AU54-'中国汇率&amp;期货（ln）'!AU73</f>
      </c>
      <c r="AV54" s="12">
        <f>'中国汇率&amp;期货（ln）'!AV54-'中国汇率&amp;期货（ln）'!AV73</f>
      </c>
      <c r="AW54" s="12">
        <f>'中国汇率&amp;期货（ln）'!AW54-'中国汇率&amp;期货（ln）'!AW73</f>
      </c>
      <c r="AX54" s="12">
        <f>'中国汇率&amp;期货（ln）'!AX54-'中国汇率&amp;期货（ln）'!AX73</f>
      </c>
      <c r="AY54" s="12">
        <f>'中国汇率&amp;期货（ln）'!AY54-'中国汇率&amp;期货（ln）'!AY73</f>
      </c>
      <c r="AZ54" s="12">
        <f>'中国汇率&amp;期货（ln）'!AZ54-'中国汇率&amp;期货（ln）'!AZ73</f>
      </c>
      <c r="BA54" s="12">
        <f>'中国汇率&amp;期货（ln）'!BA54-'中国汇率&amp;期货（ln）'!BA73</f>
      </c>
      <c r="BB54" s="12">
        <f>'中国汇率&amp;期货（ln）'!BB54-'中国汇率&amp;期货（ln）'!BB73</f>
      </c>
      <c r="BC54" s="12">
        <f>'中国汇率&amp;期货（ln）'!BC54-'中国汇率&amp;期货（ln）'!BC73</f>
      </c>
      <c r="BD54" s="12">
        <f>'中国汇率&amp;期货（ln）'!BD54-'中国汇率&amp;期货（ln）'!BD73</f>
      </c>
      <c r="BE54" s="12">
        <f>'中国汇率&amp;期货（ln）'!BE54-'中国汇率&amp;期货（ln）'!BE73</f>
      </c>
    </row>
    <row x14ac:dyDescent="0.25" r="55" customHeight="1" ht="18.75">
      <c r="A55" s="1"/>
      <c r="B55" s="12">
        <f>'中国汇率&amp;期货（ln）'!B55-'中国汇率&amp;期货（ln）'!B74</f>
      </c>
      <c r="C55" s="12">
        <f>'中国汇率&amp;期货（ln）'!C55-'中国汇率&amp;期货（ln）'!C74</f>
      </c>
      <c r="D55" s="12">
        <f>'中国汇率&amp;期货（ln）'!D55-'中国汇率&amp;期货（ln）'!D74</f>
      </c>
      <c r="E55" s="12">
        <f>'中国汇率&amp;期货（ln）'!E55-'中国汇率&amp;期货（ln）'!E74</f>
      </c>
      <c r="F55" s="12">
        <f>'中国汇率&amp;期货（ln）'!F55-'中国汇率&amp;期货（ln）'!F74</f>
      </c>
      <c r="G55" s="12">
        <f>'中国汇率&amp;期货（ln）'!G55-'中国汇率&amp;期货（ln）'!G74</f>
      </c>
      <c r="H55" s="12">
        <f>'中国汇率&amp;期货（ln）'!H55-'中国汇率&amp;期货（ln）'!H74</f>
      </c>
      <c r="I55" s="12">
        <f>'中国汇率&amp;期货（ln）'!I55-'中国汇率&amp;期货（ln）'!I74</f>
      </c>
      <c r="J55" s="12">
        <f>'中国汇率&amp;期货（ln）'!J55-'中国汇率&amp;期货（ln）'!J74</f>
      </c>
      <c r="K55" s="12">
        <f>'中国汇率&amp;期货（ln）'!K55-'中国汇率&amp;期货（ln）'!K74</f>
      </c>
      <c r="L55" s="12">
        <f>'中国汇率&amp;期货（ln）'!L55-'中国汇率&amp;期货（ln）'!L74</f>
      </c>
      <c r="M55" s="12">
        <f>'中国汇率&amp;期货（ln）'!M55-'中国汇率&amp;期货（ln）'!M74</f>
      </c>
      <c r="N55" s="12">
        <f>'中国汇率&amp;期货（ln）'!N55-'中国汇率&amp;期货（ln）'!N74</f>
      </c>
      <c r="O55" s="12">
        <f>'中国汇率&amp;期货（ln）'!O55-'中国汇率&amp;期货（ln）'!O74</f>
      </c>
      <c r="P55" s="12">
        <f>'中国汇率&amp;期货（ln）'!P55-'中国汇率&amp;期货（ln）'!P74</f>
      </c>
      <c r="Q55" s="12">
        <f>'中国汇率&amp;期货（ln）'!Q55-'中国汇率&amp;期货（ln）'!Q74</f>
      </c>
      <c r="R55" s="12">
        <f>'中国汇率&amp;期货（ln）'!R55-'中国汇率&amp;期货（ln）'!R74</f>
      </c>
      <c r="S55" s="12">
        <f>'中国汇率&amp;期货（ln）'!S55-'中国汇率&amp;期货（ln）'!S74</f>
      </c>
      <c r="T55" s="12">
        <f>'中国汇率&amp;期货（ln）'!T55-'中国汇率&amp;期货（ln）'!T74</f>
      </c>
      <c r="U55" s="12">
        <f>'中国汇率&amp;期货（ln）'!U55-'中国汇率&amp;期货（ln）'!U74</f>
      </c>
      <c r="V55" s="12">
        <f>'中国汇率&amp;期货（ln）'!V55-'中国汇率&amp;期货（ln）'!V74</f>
      </c>
      <c r="W55" s="12">
        <f>'中国汇率&amp;期货（ln）'!W55-'中国汇率&amp;期货（ln）'!W74</f>
      </c>
      <c r="X55" s="12">
        <f>'中国汇率&amp;期货（ln）'!X55-'中国汇率&amp;期货（ln）'!X74</f>
      </c>
      <c r="Y55" s="12">
        <f>'中国汇率&amp;期货（ln）'!Y55-'中国汇率&amp;期货（ln）'!Y74</f>
      </c>
      <c r="Z55" s="12">
        <f>'中国汇率&amp;期货（ln）'!Z55-'中国汇率&amp;期货（ln）'!Z74</f>
      </c>
      <c r="AA55" s="12">
        <f>'中国汇率&amp;期货（ln）'!AA55-'中国汇率&amp;期货（ln）'!AA74</f>
      </c>
      <c r="AB55" s="12">
        <f>'中国汇率&amp;期货（ln）'!AB55-'中国汇率&amp;期货（ln）'!AB74</f>
      </c>
      <c r="AC55" s="12">
        <f>'中国汇率&amp;期货（ln）'!AC55-'中国汇率&amp;期货（ln）'!AC74</f>
      </c>
      <c r="AD55" s="12">
        <f>'中国汇率&amp;期货（ln）'!AD55-'中国汇率&amp;期货（ln）'!AD74</f>
      </c>
      <c r="AE55" s="12">
        <f>'中国汇率&amp;期货（ln）'!AE55-'中国汇率&amp;期货（ln）'!AE74</f>
      </c>
      <c r="AF55" s="12">
        <f>'中国汇率&amp;期货（ln）'!AF55-'中国汇率&amp;期货（ln）'!AF74</f>
      </c>
      <c r="AG55" s="12">
        <f>'中国汇率&amp;期货（ln）'!AG55-'中国汇率&amp;期货（ln）'!AG74</f>
      </c>
      <c r="AH55" s="12">
        <f>'中国汇率&amp;期货（ln）'!AH55-'中国汇率&amp;期货（ln）'!AH74</f>
      </c>
      <c r="AI55" s="12">
        <f>'中国汇率&amp;期货（ln）'!AI55-'中国汇率&amp;期货（ln）'!AI74</f>
      </c>
      <c r="AJ55" s="12">
        <f>'中国汇率&amp;期货（ln）'!AJ55-'中国汇率&amp;期货（ln）'!AJ74</f>
      </c>
      <c r="AK55" s="12">
        <f>'中国汇率&amp;期货（ln）'!AK55-'中国汇率&amp;期货（ln）'!AK74</f>
      </c>
      <c r="AL55" s="12">
        <f>'中国汇率&amp;期货（ln）'!AL55-'中国汇率&amp;期货（ln）'!AL74</f>
      </c>
      <c r="AM55" s="12">
        <f>'中国汇率&amp;期货（ln）'!AM55-'中国汇率&amp;期货（ln）'!AM74</f>
      </c>
      <c r="AN55" s="12">
        <f>'中国汇率&amp;期货（ln）'!AN55-'中国汇率&amp;期货（ln）'!AN74</f>
      </c>
      <c r="AO55" s="12">
        <f>'中国汇率&amp;期货（ln）'!AO55-'中国汇率&amp;期货（ln）'!AO74</f>
      </c>
      <c r="AP55" s="12">
        <f>'中国汇率&amp;期货（ln）'!AP55-'中国汇率&amp;期货（ln）'!AP74</f>
      </c>
      <c r="AQ55" s="12">
        <f>'中国汇率&amp;期货（ln）'!AQ55-'中国汇率&amp;期货（ln）'!AQ74</f>
      </c>
      <c r="AR55" s="12">
        <f>'中国汇率&amp;期货（ln）'!AR55-'中国汇率&amp;期货（ln）'!AR74</f>
      </c>
      <c r="AS55" s="12">
        <f>'中国汇率&amp;期货（ln）'!AS55-'中国汇率&amp;期货（ln）'!AS74</f>
      </c>
      <c r="AT55" s="12">
        <f>'中国汇率&amp;期货（ln）'!AT55-'中国汇率&amp;期货（ln）'!AT74</f>
      </c>
      <c r="AU55" s="12">
        <f>'中国汇率&amp;期货（ln）'!AU55-'中国汇率&amp;期货（ln）'!AU74</f>
      </c>
      <c r="AV55" s="12">
        <f>'中国汇率&amp;期货（ln）'!AV55-'中国汇率&amp;期货（ln）'!AV74</f>
      </c>
      <c r="AW55" s="12">
        <f>'中国汇率&amp;期货（ln）'!AW55-'中国汇率&amp;期货（ln）'!AW74</f>
      </c>
      <c r="AX55" s="12">
        <f>'中国汇率&amp;期货（ln）'!AX55-'中国汇率&amp;期货（ln）'!AX74</f>
      </c>
      <c r="AY55" s="12">
        <f>'中国汇率&amp;期货（ln）'!AY55-'中国汇率&amp;期货（ln）'!AY74</f>
      </c>
      <c r="AZ55" s="12">
        <f>'中国汇率&amp;期货（ln）'!AZ55-'中国汇率&amp;期货（ln）'!AZ74</f>
      </c>
      <c r="BA55" s="12">
        <f>'中国汇率&amp;期货（ln）'!BA55-'中国汇率&amp;期货（ln）'!BA74</f>
      </c>
      <c r="BB55" s="12">
        <f>'中国汇率&amp;期货（ln）'!BB55-'中国汇率&amp;期货（ln）'!BB74</f>
      </c>
      <c r="BC55" s="12">
        <f>'中国汇率&amp;期货（ln）'!BC55-'中国汇率&amp;期货（ln）'!BC74</f>
      </c>
      <c r="BD55" s="12">
        <f>'中国汇率&amp;期货（ln）'!BD55-'中国汇率&amp;期货（ln）'!BD74</f>
      </c>
      <c r="BE55" s="12">
        <f>'中国汇率&amp;期货（ln）'!BE55-'中国汇率&amp;期货（ln）'!BE74</f>
      </c>
    </row>
    <row x14ac:dyDescent="0.25" r="56" customHeight="1" ht="18.75">
      <c r="A56" s="1"/>
      <c r="B56" s="12">
        <f>'中国汇率&amp;期货（ln）'!B56-'中国汇率&amp;期货（ln）'!B75</f>
      </c>
      <c r="C56" s="12">
        <f>'中国汇率&amp;期货（ln）'!C56-'中国汇率&amp;期货（ln）'!C75</f>
      </c>
      <c r="D56" s="12">
        <f>'中国汇率&amp;期货（ln）'!D56-'中国汇率&amp;期货（ln）'!D75</f>
      </c>
      <c r="E56" s="12">
        <f>'中国汇率&amp;期货（ln）'!E56-'中国汇率&amp;期货（ln）'!E75</f>
      </c>
      <c r="F56" s="12">
        <f>'中国汇率&amp;期货（ln）'!F56-'中国汇率&amp;期货（ln）'!F75</f>
      </c>
      <c r="G56" s="12">
        <f>'中国汇率&amp;期货（ln）'!G56-'中国汇率&amp;期货（ln）'!G75</f>
      </c>
      <c r="H56" s="12">
        <f>'中国汇率&amp;期货（ln）'!H56-'中国汇率&amp;期货（ln）'!H75</f>
      </c>
      <c r="I56" s="12">
        <f>'中国汇率&amp;期货（ln）'!I56-'中国汇率&amp;期货（ln）'!I75</f>
      </c>
      <c r="J56" s="12">
        <f>'中国汇率&amp;期货（ln）'!J56-'中国汇率&amp;期货（ln）'!J75</f>
      </c>
      <c r="K56" s="12">
        <f>'中国汇率&amp;期货（ln）'!K56-'中国汇率&amp;期货（ln）'!K75</f>
      </c>
      <c r="L56" s="12">
        <f>'中国汇率&amp;期货（ln）'!L56-'中国汇率&amp;期货（ln）'!L75</f>
      </c>
      <c r="M56" s="12">
        <f>'中国汇率&amp;期货（ln）'!M56-'中国汇率&amp;期货（ln）'!M75</f>
      </c>
      <c r="N56" s="12">
        <f>'中国汇率&amp;期货（ln）'!N56-'中国汇率&amp;期货（ln）'!N75</f>
      </c>
      <c r="O56" s="12">
        <f>'中国汇率&amp;期货（ln）'!O56-'中国汇率&amp;期货（ln）'!O75</f>
      </c>
      <c r="P56" s="12">
        <f>'中国汇率&amp;期货（ln）'!P56-'中国汇率&amp;期货（ln）'!P75</f>
      </c>
      <c r="Q56" s="12">
        <f>'中国汇率&amp;期货（ln）'!Q56-'中国汇率&amp;期货（ln）'!Q75</f>
      </c>
      <c r="R56" s="12">
        <f>'中国汇率&amp;期货（ln）'!R56-'中国汇率&amp;期货（ln）'!R75</f>
      </c>
      <c r="S56" s="12">
        <f>'中国汇率&amp;期货（ln）'!S56-'中国汇率&amp;期货（ln）'!S75</f>
      </c>
      <c r="T56" s="12">
        <f>'中国汇率&amp;期货（ln）'!T56-'中国汇率&amp;期货（ln）'!T75</f>
      </c>
      <c r="U56" s="12">
        <f>'中国汇率&amp;期货（ln）'!U56-'中国汇率&amp;期货（ln）'!U75</f>
      </c>
      <c r="V56" s="12">
        <f>'中国汇率&amp;期货（ln）'!V56-'中国汇率&amp;期货（ln）'!V75</f>
      </c>
      <c r="W56" s="12">
        <f>'中国汇率&amp;期货（ln）'!W56-'中国汇率&amp;期货（ln）'!W75</f>
      </c>
      <c r="X56" s="12">
        <f>'中国汇率&amp;期货（ln）'!X56-'中国汇率&amp;期货（ln）'!X75</f>
      </c>
      <c r="Y56" s="12">
        <f>'中国汇率&amp;期货（ln）'!Y56-'中国汇率&amp;期货（ln）'!Y75</f>
      </c>
      <c r="Z56" s="12">
        <f>'中国汇率&amp;期货（ln）'!Z56-'中国汇率&amp;期货（ln）'!Z75</f>
      </c>
      <c r="AA56" s="12">
        <f>'中国汇率&amp;期货（ln）'!AA56-'中国汇率&amp;期货（ln）'!AA75</f>
      </c>
      <c r="AB56" s="12">
        <f>'中国汇率&amp;期货（ln）'!AB56-'中国汇率&amp;期货（ln）'!AB75</f>
      </c>
      <c r="AC56" s="12">
        <f>'中国汇率&amp;期货（ln）'!AC56-'中国汇率&amp;期货（ln）'!AC75</f>
      </c>
      <c r="AD56" s="12">
        <f>'中国汇率&amp;期货（ln）'!AD56-'中国汇率&amp;期货（ln）'!AD75</f>
      </c>
      <c r="AE56" s="12">
        <f>'中国汇率&amp;期货（ln）'!AE56-'中国汇率&amp;期货（ln）'!AE75</f>
      </c>
      <c r="AF56" s="12">
        <f>'中国汇率&amp;期货（ln）'!AF56-'中国汇率&amp;期货（ln）'!AF75</f>
      </c>
      <c r="AG56" s="12">
        <f>'中国汇率&amp;期货（ln）'!AG56-'中国汇率&amp;期货（ln）'!AG75</f>
      </c>
      <c r="AH56" s="12">
        <f>'中国汇率&amp;期货（ln）'!AH56-'中国汇率&amp;期货（ln）'!AH75</f>
      </c>
      <c r="AI56" s="12">
        <f>'中国汇率&amp;期货（ln）'!AI56-'中国汇率&amp;期货（ln）'!AI75</f>
      </c>
      <c r="AJ56" s="12">
        <f>'中国汇率&amp;期货（ln）'!AJ56-'中国汇率&amp;期货（ln）'!AJ75</f>
      </c>
      <c r="AK56" s="12">
        <f>'中国汇率&amp;期货（ln）'!AK56-'中国汇率&amp;期货（ln）'!AK75</f>
      </c>
      <c r="AL56" s="12">
        <f>'中国汇率&amp;期货（ln）'!AL56-'中国汇率&amp;期货（ln）'!AL75</f>
      </c>
      <c r="AM56" s="12">
        <f>'中国汇率&amp;期货（ln）'!AM56-'中国汇率&amp;期货（ln）'!AM75</f>
      </c>
      <c r="AN56" s="12">
        <f>'中国汇率&amp;期货（ln）'!AN56-'中国汇率&amp;期货（ln）'!AN75</f>
      </c>
      <c r="AO56" s="12">
        <f>'中国汇率&amp;期货（ln）'!AO56-'中国汇率&amp;期货（ln）'!AO75</f>
      </c>
      <c r="AP56" s="12">
        <f>'中国汇率&amp;期货（ln）'!AP56-'中国汇率&amp;期货（ln）'!AP75</f>
      </c>
      <c r="AQ56" s="12">
        <f>'中国汇率&amp;期货（ln）'!AQ56-'中国汇率&amp;期货（ln）'!AQ75</f>
      </c>
      <c r="AR56" s="12">
        <f>'中国汇率&amp;期货（ln）'!AR56-'中国汇率&amp;期货（ln）'!AR75</f>
      </c>
      <c r="AS56" s="12">
        <f>'中国汇率&amp;期货（ln）'!AS56-'中国汇率&amp;期货（ln）'!AS75</f>
      </c>
      <c r="AT56" s="12">
        <f>'中国汇率&amp;期货（ln）'!AT56-'中国汇率&amp;期货（ln）'!AT75</f>
      </c>
      <c r="AU56" s="12">
        <f>'中国汇率&amp;期货（ln）'!AU56-'中国汇率&amp;期货（ln）'!AU75</f>
      </c>
      <c r="AV56" s="12">
        <f>'中国汇率&amp;期货（ln）'!AV56-'中国汇率&amp;期货（ln）'!AV75</f>
      </c>
      <c r="AW56" s="12">
        <f>'中国汇率&amp;期货（ln）'!AW56-'中国汇率&amp;期货（ln）'!AW75</f>
      </c>
      <c r="AX56" s="12">
        <f>'中国汇率&amp;期货（ln）'!AX56-'中国汇率&amp;期货（ln）'!AX75</f>
      </c>
      <c r="AY56" s="12">
        <f>'中国汇率&amp;期货（ln）'!AY56-'中国汇率&amp;期货（ln）'!AY75</f>
      </c>
      <c r="AZ56" s="12">
        <f>'中国汇率&amp;期货（ln）'!AZ56-'中国汇率&amp;期货（ln）'!AZ75</f>
      </c>
      <c r="BA56" s="12">
        <f>'中国汇率&amp;期货（ln）'!BA56-'中国汇率&amp;期货（ln）'!BA75</f>
      </c>
      <c r="BB56" s="12">
        <f>'中国汇率&amp;期货（ln）'!BB56-'中国汇率&amp;期货（ln）'!BB75</f>
      </c>
      <c r="BC56" s="12">
        <f>'中国汇率&amp;期货（ln）'!BC56-'中国汇率&amp;期货（ln）'!BC75</f>
      </c>
      <c r="BD56" s="12">
        <f>'中国汇率&amp;期货（ln）'!BD56-'中国汇率&amp;期货（ln）'!BD75</f>
      </c>
      <c r="BE56" s="12">
        <f>'中国汇率&amp;期货（ln）'!BE56-'中国汇率&amp;期货（ln）'!BE75</f>
      </c>
    </row>
    <row x14ac:dyDescent="0.25" r="57" customHeight="1" ht="18.75">
      <c r="A57" s="1"/>
      <c r="B57" s="12">
        <f>'中国汇率&amp;期货（ln）'!B57-'中国汇率&amp;期货（ln）'!B76</f>
      </c>
      <c r="C57" s="12">
        <f>'中国汇率&amp;期货（ln）'!C57-'中国汇率&amp;期货（ln）'!C76</f>
      </c>
      <c r="D57" s="12">
        <f>'中国汇率&amp;期货（ln）'!D57-'中国汇率&amp;期货（ln）'!D76</f>
      </c>
      <c r="E57" s="12">
        <f>'中国汇率&amp;期货（ln）'!E57-'中国汇率&amp;期货（ln）'!E76</f>
      </c>
      <c r="F57" s="12">
        <f>'中国汇率&amp;期货（ln）'!F57-'中国汇率&amp;期货（ln）'!F76</f>
      </c>
      <c r="G57" s="12">
        <f>'中国汇率&amp;期货（ln）'!G57-'中国汇率&amp;期货（ln）'!G76</f>
      </c>
      <c r="H57" s="12">
        <f>'中国汇率&amp;期货（ln）'!H57-'中国汇率&amp;期货（ln）'!H76</f>
      </c>
      <c r="I57" s="12">
        <f>'中国汇率&amp;期货（ln）'!I57-'中国汇率&amp;期货（ln）'!I76</f>
      </c>
      <c r="J57" s="12">
        <f>'中国汇率&amp;期货（ln）'!J57-'中国汇率&amp;期货（ln）'!J76</f>
      </c>
      <c r="K57" s="12">
        <f>'中国汇率&amp;期货（ln）'!K57-'中国汇率&amp;期货（ln）'!K76</f>
      </c>
      <c r="L57" s="12">
        <f>'中国汇率&amp;期货（ln）'!L57-'中国汇率&amp;期货（ln）'!L76</f>
      </c>
      <c r="M57" s="12">
        <f>'中国汇率&amp;期货（ln）'!M57-'中国汇率&amp;期货（ln）'!M76</f>
      </c>
      <c r="N57" s="12">
        <f>'中国汇率&amp;期货（ln）'!N57-'中国汇率&amp;期货（ln）'!N76</f>
      </c>
      <c r="O57" s="12">
        <f>'中国汇率&amp;期货（ln）'!O57-'中国汇率&amp;期货（ln）'!O76</f>
      </c>
      <c r="P57" s="12">
        <f>'中国汇率&amp;期货（ln）'!P57-'中国汇率&amp;期货（ln）'!P76</f>
      </c>
      <c r="Q57" s="12">
        <f>'中国汇率&amp;期货（ln）'!Q57-'中国汇率&amp;期货（ln）'!Q76</f>
      </c>
      <c r="R57" s="12">
        <f>'中国汇率&amp;期货（ln）'!R57-'中国汇率&amp;期货（ln）'!R76</f>
      </c>
      <c r="S57" s="12">
        <f>'中国汇率&amp;期货（ln）'!S57-'中国汇率&amp;期货（ln）'!S76</f>
      </c>
      <c r="T57" s="12">
        <f>'中国汇率&amp;期货（ln）'!T57-'中国汇率&amp;期货（ln）'!T76</f>
      </c>
      <c r="U57" s="12">
        <f>'中国汇率&amp;期货（ln）'!U57-'中国汇率&amp;期货（ln）'!U76</f>
      </c>
      <c r="V57" s="12">
        <f>'中国汇率&amp;期货（ln）'!V57-'中国汇率&amp;期货（ln）'!V76</f>
      </c>
      <c r="W57" s="12">
        <f>'中国汇率&amp;期货（ln）'!W57-'中国汇率&amp;期货（ln）'!W76</f>
      </c>
      <c r="X57" s="12">
        <f>'中国汇率&amp;期货（ln）'!X57-'中国汇率&amp;期货（ln）'!X76</f>
      </c>
      <c r="Y57" s="12">
        <f>'中国汇率&amp;期货（ln）'!Y57-'中国汇率&amp;期货（ln）'!Y76</f>
      </c>
      <c r="Z57" s="12">
        <f>'中国汇率&amp;期货（ln）'!Z57-'中国汇率&amp;期货（ln）'!Z76</f>
      </c>
      <c r="AA57" s="12">
        <f>'中国汇率&amp;期货（ln）'!AA57-'中国汇率&amp;期货（ln）'!AA76</f>
      </c>
      <c r="AB57" s="12">
        <f>'中国汇率&amp;期货（ln）'!AB57-'中国汇率&amp;期货（ln）'!AB76</f>
      </c>
      <c r="AC57" s="12">
        <f>'中国汇率&amp;期货（ln）'!AC57-'中国汇率&amp;期货（ln）'!AC76</f>
      </c>
      <c r="AD57" s="12">
        <f>'中国汇率&amp;期货（ln）'!AD57-'中国汇率&amp;期货（ln）'!AD76</f>
      </c>
      <c r="AE57" s="12">
        <f>'中国汇率&amp;期货（ln）'!AE57-'中国汇率&amp;期货（ln）'!AE76</f>
      </c>
      <c r="AF57" s="12">
        <f>'中国汇率&amp;期货（ln）'!AF57-'中国汇率&amp;期货（ln）'!AF76</f>
      </c>
      <c r="AG57" s="12">
        <f>'中国汇率&amp;期货（ln）'!AG57-'中国汇率&amp;期货（ln）'!AG76</f>
      </c>
      <c r="AH57" s="12">
        <f>'中国汇率&amp;期货（ln）'!AH57-'中国汇率&amp;期货（ln）'!AH76</f>
      </c>
      <c r="AI57" s="12">
        <f>'中国汇率&amp;期货（ln）'!AI57-'中国汇率&amp;期货（ln）'!AI76</f>
      </c>
      <c r="AJ57" s="12">
        <f>'中国汇率&amp;期货（ln）'!AJ57-'中国汇率&amp;期货（ln）'!AJ76</f>
      </c>
      <c r="AK57" s="12">
        <f>'中国汇率&amp;期货（ln）'!AK57-'中国汇率&amp;期货（ln）'!AK76</f>
      </c>
      <c r="AL57" s="12">
        <f>'中国汇率&amp;期货（ln）'!AL57-'中国汇率&amp;期货（ln）'!AL76</f>
      </c>
      <c r="AM57" s="12">
        <f>'中国汇率&amp;期货（ln）'!AM57-'中国汇率&amp;期货（ln）'!AM76</f>
      </c>
      <c r="AN57" s="12">
        <f>'中国汇率&amp;期货（ln）'!AN57-'中国汇率&amp;期货（ln）'!AN76</f>
      </c>
      <c r="AO57" s="12">
        <f>'中国汇率&amp;期货（ln）'!AO57-'中国汇率&amp;期货（ln）'!AO76</f>
      </c>
      <c r="AP57" s="12">
        <f>'中国汇率&amp;期货（ln）'!AP57-'中国汇率&amp;期货（ln）'!AP76</f>
      </c>
      <c r="AQ57" s="12">
        <f>'中国汇率&amp;期货（ln）'!AQ57-'中国汇率&amp;期货（ln）'!AQ76</f>
      </c>
      <c r="AR57" s="12">
        <f>'中国汇率&amp;期货（ln）'!AR57-'中国汇率&amp;期货（ln）'!AR76</f>
      </c>
      <c r="AS57" s="12">
        <f>'中国汇率&amp;期货（ln）'!AS57-'中国汇率&amp;期货（ln）'!AS76</f>
      </c>
      <c r="AT57" s="12">
        <f>'中国汇率&amp;期货（ln）'!AT57-'中国汇率&amp;期货（ln）'!AT76</f>
      </c>
      <c r="AU57" s="12">
        <f>'中国汇率&amp;期货（ln）'!AU57-'中国汇率&amp;期货（ln）'!AU76</f>
      </c>
      <c r="AV57" s="12">
        <f>'中国汇率&amp;期货（ln）'!AV57-'中国汇率&amp;期货（ln）'!AV76</f>
      </c>
      <c r="AW57" s="12">
        <f>'中国汇率&amp;期货（ln）'!AW57-'中国汇率&amp;期货（ln）'!AW76</f>
      </c>
      <c r="AX57" s="12">
        <f>'中国汇率&amp;期货（ln）'!AX57-'中国汇率&amp;期货（ln）'!AX76</f>
      </c>
      <c r="AY57" s="12">
        <f>'中国汇率&amp;期货（ln）'!AY57-'中国汇率&amp;期货（ln）'!AY76</f>
      </c>
      <c r="AZ57" s="12">
        <f>'中国汇率&amp;期货（ln）'!AZ57-'中国汇率&amp;期货（ln）'!AZ76</f>
      </c>
      <c r="BA57" s="12">
        <f>'中国汇率&amp;期货（ln）'!BA57-'中国汇率&amp;期货（ln）'!BA76</f>
      </c>
      <c r="BB57" s="12">
        <f>'中国汇率&amp;期货（ln）'!BB57-'中国汇率&amp;期货（ln）'!BB76</f>
      </c>
      <c r="BC57" s="12">
        <f>'中国汇率&amp;期货（ln）'!BC57-'中国汇率&amp;期货（ln）'!BC76</f>
      </c>
      <c r="BD57" s="12">
        <f>'中国汇率&amp;期货（ln）'!BD57-'中国汇率&amp;期货（ln）'!BD76</f>
      </c>
      <c r="BE57" s="12">
        <f>'中国汇率&amp;期货（ln）'!BE57-'中国汇率&amp;期货（ln）'!BE76</f>
      </c>
    </row>
    <row x14ac:dyDescent="0.25" r="58" customHeight="1" ht="18.75">
      <c r="A58" s="1"/>
      <c r="B58" s="12">
        <f>'中国汇率&amp;期货（ln）'!B58-'中国汇率&amp;期货（ln）'!B77</f>
      </c>
      <c r="C58" s="12">
        <f>'中国汇率&amp;期货（ln）'!C58-'中国汇率&amp;期货（ln）'!C77</f>
      </c>
      <c r="D58" s="12">
        <f>'中国汇率&amp;期货（ln）'!D58-'中国汇率&amp;期货（ln）'!D77</f>
      </c>
      <c r="E58" s="12">
        <f>'中国汇率&amp;期货（ln）'!E58-'中国汇率&amp;期货（ln）'!E77</f>
      </c>
      <c r="F58" s="12">
        <f>'中国汇率&amp;期货（ln）'!F58-'中国汇率&amp;期货（ln）'!F77</f>
      </c>
      <c r="G58" s="12">
        <f>'中国汇率&amp;期货（ln）'!G58-'中国汇率&amp;期货（ln）'!G77</f>
      </c>
      <c r="H58" s="12">
        <f>'中国汇率&amp;期货（ln）'!H58-'中国汇率&amp;期货（ln）'!H77</f>
      </c>
      <c r="I58" s="12">
        <f>'中国汇率&amp;期货（ln）'!I58-'中国汇率&amp;期货（ln）'!I77</f>
      </c>
      <c r="J58" s="12">
        <f>'中国汇率&amp;期货（ln）'!J58-'中国汇率&amp;期货（ln）'!J77</f>
      </c>
      <c r="K58" s="12">
        <f>'中国汇率&amp;期货（ln）'!K58-'中国汇率&amp;期货（ln）'!K77</f>
      </c>
      <c r="L58" s="12">
        <f>'中国汇率&amp;期货（ln）'!L58-'中国汇率&amp;期货（ln）'!L77</f>
      </c>
      <c r="M58" s="12">
        <f>'中国汇率&amp;期货（ln）'!M58-'中国汇率&amp;期货（ln）'!M77</f>
      </c>
      <c r="N58" s="12">
        <f>'中国汇率&amp;期货（ln）'!N58-'中国汇率&amp;期货（ln）'!N77</f>
      </c>
      <c r="O58" s="12">
        <f>'中国汇率&amp;期货（ln）'!O58-'中国汇率&amp;期货（ln）'!O77</f>
      </c>
      <c r="P58" s="12">
        <f>'中国汇率&amp;期货（ln）'!P58-'中国汇率&amp;期货（ln）'!P77</f>
      </c>
      <c r="Q58" s="12">
        <f>'中国汇率&amp;期货（ln）'!Q58-'中国汇率&amp;期货（ln）'!Q77</f>
      </c>
      <c r="R58" s="12">
        <f>'中国汇率&amp;期货（ln）'!R58-'中国汇率&amp;期货（ln）'!R77</f>
      </c>
      <c r="S58" s="12">
        <f>'中国汇率&amp;期货（ln）'!S58-'中国汇率&amp;期货（ln）'!S77</f>
      </c>
      <c r="T58" s="12">
        <f>'中国汇率&amp;期货（ln）'!T58-'中国汇率&amp;期货（ln）'!T77</f>
      </c>
      <c r="U58" s="12">
        <f>'中国汇率&amp;期货（ln）'!U58-'中国汇率&amp;期货（ln）'!U77</f>
      </c>
      <c r="V58" s="12">
        <f>'中国汇率&amp;期货（ln）'!V58-'中国汇率&amp;期货（ln）'!V77</f>
      </c>
      <c r="W58" s="12">
        <f>'中国汇率&amp;期货（ln）'!W58-'中国汇率&amp;期货（ln）'!W77</f>
      </c>
      <c r="X58" s="12">
        <f>'中国汇率&amp;期货（ln）'!X58-'中国汇率&amp;期货（ln）'!X77</f>
      </c>
      <c r="Y58" s="12">
        <f>'中国汇率&amp;期货（ln）'!Y58-'中国汇率&amp;期货（ln）'!Y77</f>
      </c>
      <c r="Z58" s="12">
        <f>'中国汇率&amp;期货（ln）'!Z58-'中国汇率&amp;期货（ln）'!Z77</f>
      </c>
      <c r="AA58" s="12">
        <f>'中国汇率&amp;期货（ln）'!AA58-'中国汇率&amp;期货（ln）'!AA77</f>
      </c>
      <c r="AB58" s="12">
        <f>'中国汇率&amp;期货（ln）'!AB58-'中国汇率&amp;期货（ln）'!AB77</f>
      </c>
      <c r="AC58" s="12">
        <f>'中国汇率&amp;期货（ln）'!AC58-'中国汇率&amp;期货（ln）'!AC77</f>
      </c>
      <c r="AD58" s="12">
        <f>'中国汇率&amp;期货（ln）'!AD58-'中国汇率&amp;期货（ln）'!AD77</f>
      </c>
      <c r="AE58" s="12">
        <f>'中国汇率&amp;期货（ln）'!AE58-'中国汇率&amp;期货（ln）'!AE77</f>
      </c>
      <c r="AF58" s="12">
        <f>'中国汇率&amp;期货（ln）'!AF58-'中国汇率&amp;期货（ln）'!AF77</f>
      </c>
      <c r="AG58" s="12">
        <f>'中国汇率&amp;期货（ln）'!AG58-'中国汇率&amp;期货（ln）'!AG77</f>
      </c>
      <c r="AH58" s="12">
        <f>'中国汇率&amp;期货（ln）'!AH58-'中国汇率&amp;期货（ln）'!AH77</f>
      </c>
      <c r="AI58" s="12">
        <f>'中国汇率&amp;期货（ln）'!AI58-'中国汇率&amp;期货（ln）'!AI77</f>
      </c>
      <c r="AJ58" s="12">
        <f>'中国汇率&amp;期货（ln）'!AJ58-'中国汇率&amp;期货（ln）'!AJ77</f>
      </c>
      <c r="AK58" s="12">
        <f>'中国汇率&amp;期货（ln）'!AK58-'中国汇率&amp;期货（ln）'!AK77</f>
      </c>
      <c r="AL58" s="12">
        <f>'中国汇率&amp;期货（ln）'!AL58-'中国汇率&amp;期货（ln）'!AL77</f>
      </c>
      <c r="AM58" s="12">
        <f>'中国汇率&amp;期货（ln）'!AM58-'中国汇率&amp;期货（ln）'!AM77</f>
      </c>
      <c r="AN58" s="12">
        <f>'中国汇率&amp;期货（ln）'!AN58-'中国汇率&amp;期货（ln）'!AN77</f>
      </c>
      <c r="AO58" s="12">
        <f>'中国汇率&amp;期货（ln）'!AO58-'中国汇率&amp;期货（ln）'!AO77</f>
      </c>
      <c r="AP58" s="12">
        <f>'中国汇率&amp;期货（ln）'!AP58-'中国汇率&amp;期货（ln）'!AP77</f>
      </c>
      <c r="AQ58" s="12">
        <f>'中国汇率&amp;期货（ln）'!AQ58-'中国汇率&amp;期货（ln）'!AQ77</f>
      </c>
      <c r="AR58" s="12">
        <f>'中国汇率&amp;期货（ln）'!AR58-'中国汇率&amp;期货（ln）'!AR77</f>
      </c>
      <c r="AS58" s="12">
        <f>'中国汇率&amp;期货（ln）'!AS58-'中国汇率&amp;期货（ln）'!AS77</f>
      </c>
      <c r="AT58" s="12">
        <f>'中国汇率&amp;期货（ln）'!AT58-'中国汇率&amp;期货（ln）'!AT77</f>
      </c>
      <c r="AU58" s="12">
        <f>'中国汇率&amp;期货（ln）'!AU58-'中国汇率&amp;期货（ln）'!AU77</f>
      </c>
      <c r="AV58" s="12">
        <f>'中国汇率&amp;期货（ln）'!AV58-'中国汇率&amp;期货（ln）'!AV77</f>
      </c>
      <c r="AW58" s="12">
        <f>'中国汇率&amp;期货（ln）'!AW58-'中国汇率&amp;期货（ln）'!AW77</f>
      </c>
      <c r="AX58" s="12">
        <f>'中国汇率&amp;期货（ln）'!AX58-'中国汇率&amp;期货（ln）'!AX77</f>
      </c>
      <c r="AY58" s="12">
        <f>'中国汇率&amp;期货（ln）'!AY58-'中国汇率&amp;期货（ln）'!AY77</f>
      </c>
      <c r="AZ58" s="12">
        <f>'中国汇率&amp;期货（ln）'!AZ58-'中国汇率&amp;期货（ln）'!AZ77</f>
      </c>
      <c r="BA58" s="12">
        <f>'中国汇率&amp;期货（ln）'!BA58-'中国汇率&amp;期货（ln）'!BA77</f>
      </c>
      <c r="BB58" s="12">
        <f>'中国汇率&amp;期货（ln）'!BB58-'中国汇率&amp;期货（ln）'!BB77</f>
      </c>
      <c r="BC58" s="12">
        <f>'中国汇率&amp;期货（ln）'!BC58-'中国汇率&amp;期货（ln）'!BC77</f>
      </c>
      <c r="BD58" s="12">
        <f>'中国汇率&amp;期货（ln）'!BD58-'中国汇率&amp;期货（ln）'!BD77</f>
      </c>
      <c r="BE58" s="12">
        <f>'中国汇率&amp;期货（ln）'!BE58-'中国汇率&amp;期货（ln）'!BE77</f>
      </c>
    </row>
    <row x14ac:dyDescent="0.25" r="59" customHeight="1" ht="18.75">
      <c r="A59" s="1"/>
      <c r="B59" s="12">
        <f>'中国汇率&amp;期货（ln）'!B59-'中国汇率&amp;期货（ln）'!B78</f>
      </c>
      <c r="C59" s="12">
        <f>'中国汇率&amp;期货（ln）'!C59-'中国汇率&amp;期货（ln）'!C78</f>
      </c>
      <c r="D59" s="12">
        <f>'中国汇率&amp;期货（ln）'!D59-'中国汇率&amp;期货（ln）'!D78</f>
      </c>
      <c r="E59" s="12">
        <f>'中国汇率&amp;期货（ln）'!E59-'中国汇率&amp;期货（ln）'!E78</f>
      </c>
      <c r="F59" s="12">
        <f>'中国汇率&amp;期货（ln）'!F59-'中国汇率&amp;期货（ln）'!F78</f>
      </c>
      <c r="G59" s="12">
        <f>'中国汇率&amp;期货（ln）'!G59-'中国汇率&amp;期货（ln）'!G78</f>
      </c>
      <c r="H59" s="12">
        <f>'中国汇率&amp;期货（ln）'!H59-'中国汇率&amp;期货（ln）'!H78</f>
      </c>
      <c r="I59" s="12">
        <f>'中国汇率&amp;期货（ln）'!I59-'中国汇率&amp;期货（ln）'!I78</f>
      </c>
      <c r="J59" s="12">
        <f>'中国汇率&amp;期货（ln）'!J59-'中国汇率&amp;期货（ln）'!J78</f>
      </c>
      <c r="K59" s="12">
        <f>'中国汇率&amp;期货（ln）'!K59-'中国汇率&amp;期货（ln）'!K78</f>
      </c>
      <c r="L59" s="12">
        <f>'中国汇率&amp;期货（ln）'!L59-'中国汇率&amp;期货（ln）'!L78</f>
      </c>
      <c r="M59" s="12">
        <f>'中国汇率&amp;期货（ln）'!M59-'中国汇率&amp;期货（ln）'!M78</f>
      </c>
      <c r="N59" s="12">
        <f>'中国汇率&amp;期货（ln）'!N59-'中国汇率&amp;期货（ln）'!N78</f>
      </c>
      <c r="O59" s="12">
        <f>'中国汇率&amp;期货（ln）'!O59-'中国汇率&amp;期货（ln）'!O78</f>
      </c>
      <c r="P59" s="12">
        <f>'中国汇率&amp;期货（ln）'!P59-'中国汇率&amp;期货（ln）'!P78</f>
      </c>
      <c r="Q59" s="12">
        <f>'中国汇率&amp;期货（ln）'!Q59-'中国汇率&amp;期货（ln）'!Q78</f>
      </c>
      <c r="R59" s="12">
        <f>'中国汇率&amp;期货（ln）'!R59-'中国汇率&amp;期货（ln）'!R78</f>
      </c>
      <c r="S59" s="12">
        <f>'中国汇率&amp;期货（ln）'!S59-'中国汇率&amp;期货（ln）'!S78</f>
      </c>
      <c r="T59" s="12">
        <f>'中国汇率&amp;期货（ln）'!T59-'中国汇率&amp;期货（ln）'!T78</f>
      </c>
      <c r="U59" s="12">
        <f>'中国汇率&amp;期货（ln）'!U59-'中国汇率&amp;期货（ln）'!U78</f>
      </c>
      <c r="V59" s="12">
        <f>'中国汇率&amp;期货（ln）'!V59-'中国汇率&amp;期货（ln）'!V78</f>
      </c>
      <c r="W59" s="12">
        <f>'中国汇率&amp;期货（ln）'!W59-'中国汇率&amp;期货（ln）'!W78</f>
      </c>
      <c r="X59" s="12">
        <f>'中国汇率&amp;期货（ln）'!X59-'中国汇率&amp;期货（ln）'!X78</f>
      </c>
      <c r="Y59" s="12">
        <f>'中国汇率&amp;期货（ln）'!Y59-'中国汇率&amp;期货（ln）'!Y78</f>
      </c>
      <c r="Z59" s="12">
        <f>'中国汇率&amp;期货（ln）'!Z59-'中国汇率&amp;期货（ln）'!Z78</f>
      </c>
      <c r="AA59" s="12">
        <f>'中国汇率&amp;期货（ln）'!AA59-'中国汇率&amp;期货（ln）'!AA78</f>
      </c>
      <c r="AB59" s="12">
        <f>'中国汇率&amp;期货（ln）'!AB59-'中国汇率&amp;期货（ln）'!AB78</f>
      </c>
      <c r="AC59" s="12">
        <f>'中国汇率&amp;期货（ln）'!AC59-'中国汇率&amp;期货（ln）'!AC78</f>
      </c>
      <c r="AD59" s="12">
        <f>'中国汇率&amp;期货（ln）'!AD59-'中国汇率&amp;期货（ln）'!AD78</f>
      </c>
      <c r="AE59" s="12">
        <f>'中国汇率&amp;期货（ln）'!AE59-'中国汇率&amp;期货（ln）'!AE78</f>
      </c>
      <c r="AF59" s="12">
        <f>'中国汇率&amp;期货（ln）'!AF59-'中国汇率&amp;期货（ln）'!AF78</f>
      </c>
      <c r="AG59" s="12">
        <f>'中国汇率&amp;期货（ln）'!AG59-'中国汇率&amp;期货（ln）'!AG78</f>
      </c>
      <c r="AH59" s="12">
        <f>'中国汇率&amp;期货（ln）'!AH59-'中国汇率&amp;期货（ln）'!AH78</f>
      </c>
      <c r="AI59" s="12">
        <f>'中国汇率&amp;期货（ln）'!AI59-'中国汇率&amp;期货（ln）'!AI78</f>
      </c>
      <c r="AJ59" s="12">
        <f>'中国汇率&amp;期货（ln）'!AJ59-'中国汇率&amp;期货（ln）'!AJ78</f>
      </c>
      <c r="AK59" s="12">
        <f>'中国汇率&amp;期货（ln）'!AK59-'中国汇率&amp;期货（ln）'!AK78</f>
      </c>
      <c r="AL59" s="12">
        <f>'中国汇率&amp;期货（ln）'!AL59-'中国汇率&amp;期货（ln）'!AL78</f>
      </c>
      <c r="AM59" s="12">
        <f>'中国汇率&amp;期货（ln）'!AM59-'中国汇率&amp;期货（ln）'!AM78</f>
      </c>
      <c r="AN59" s="12">
        <f>'中国汇率&amp;期货（ln）'!AN59-'中国汇率&amp;期货（ln）'!AN78</f>
      </c>
      <c r="AO59" s="12">
        <f>'中国汇率&amp;期货（ln）'!AO59-'中国汇率&amp;期货（ln）'!AO78</f>
      </c>
      <c r="AP59" s="12">
        <f>'中国汇率&amp;期货（ln）'!AP59-'中国汇率&amp;期货（ln）'!AP78</f>
      </c>
      <c r="AQ59" s="12">
        <f>'中国汇率&amp;期货（ln）'!AQ59-'中国汇率&amp;期货（ln）'!AQ78</f>
      </c>
      <c r="AR59" s="12">
        <f>'中国汇率&amp;期货（ln）'!AR59-'中国汇率&amp;期货（ln）'!AR78</f>
      </c>
      <c r="AS59" s="12">
        <f>'中国汇率&amp;期货（ln）'!AS59-'中国汇率&amp;期货（ln）'!AS78</f>
      </c>
      <c r="AT59" s="12">
        <f>'中国汇率&amp;期货（ln）'!AT59-'中国汇率&amp;期货（ln）'!AT78</f>
      </c>
      <c r="AU59" s="12">
        <f>'中国汇率&amp;期货（ln）'!AU59-'中国汇率&amp;期货（ln）'!AU78</f>
      </c>
      <c r="AV59" s="12">
        <f>'中国汇率&amp;期货（ln）'!AV59-'中国汇率&amp;期货（ln）'!AV78</f>
      </c>
      <c r="AW59" s="12">
        <f>'中国汇率&amp;期货（ln）'!AW59-'中国汇率&amp;期货（ln）'!AW78</f>
      </c>
      <c r="AX59" s="12">
        <f>'中国汇率&amp;期货（ln）'!AX59-'中国汇率&amp;期货（ln）'!AX78</f>
      </c>
      <c r="AY59" s="12">
        <f>'中国汇率&amp;期货（ln）'!AY59-'中国汇率&amp;期货（ln）'!AY78</f>
      </c>
      <c r="AZ59" s="12">
        <f>'中国汇率&amp;期货（ln）'!AZ59-'中国汇率&amp;期货（ln）'!AZ78</f>
      </c>
      <c r="BA59" s="12">
        <f>'中国汇率&amp;期货（ln）'!BA59-'中国汇率&amp;期货（ln）'!BA78</f>
      </c>
      <c r="BB59" s="12">
        <f>'中国汇率&amp;期货（ln）'!BB59-'中国汇率&amp;期货（ln）'!BB78</f>
      </c>
      <c r="BC59" s="12">
        <f>'中国汇率&amp;期货（ln）'!BC59-'中国汇率&amp;期货（ln）'!BC78</f>
      </c>
      <c r="BD59" s="12">
        <f>'中国汇率&amp;期货（ln）'!BD59-'中国汇率&amp;期货（ln）'!BD78</f>
      </c>
      <c r="BE59" s="12">
        <f>'中国汇率&amp;期货（ln）'!BE59-'中国汇率&amp;期货（ln）'!BE78</f>
      </c>
    </row>
    <row x14ac:dyDescent="0.25" r="60" customHeight="1" ht="18.75">
      <c r="A60" s="1"/>
      <c r="B60" s="12">
        <f>'中国汇率&amp;期货（ln）'!B60-'中国汇率&amp;期货（ln）'!B79</f>
      </c>
      <c r="C60" s="12">
        <f>'中国汇率&amp;期货（ln）'!C60-'中国汇率&amp;期货（ln）'!C79</f>
      </c>
      <c r="D60" s="12">
        <f>'中国汇率&amp;期货（ln）'!D60-'中国汇率&amp;期货（ln）'!D79</f>
      </c>
      <c r="E60" s="12">
        <f>'中国汇率&amp;期货（ln）'!E60-'中国汇率&amp;期货（ln）'!E79</f>
      </c>
      <c r="F60" s="12">
        <f>'中国汇率&amp;期货（ln）'!F60-'中国汇率&amp;期货（ln）'!F79</f>
      </c>
      <c r="G60" s="12">
        <f>'中国汇率&amp;期货（ln）'!G60-'中国汇率&amp;期货（ln）'!G79</f>
      </c>
      <c r="H60" s="12">
        <f>'中国汇率&amp;期货（ln）'!H60-'中国汇率&amp;期货（ln）'!H79</f>
      </c>
      <c r="I60" s="12">
        <f>'中国汇率&amp;期货（ln）'!I60-'中国汇率&amp;期货（ln）'!I79</f>
      </c>
      <c r="J60" s="12">
        <f>'中国汇率&amp;期货（ln）'!J60-'中国汇率&amp;期货（ln）'!J79</f>
      </c>
      <c r="K60" s="12">
        <f>'中国汇率&amp;期货（ln）'!K60-'中国汇率&amp;期货（ln）'!K79</f>
      </c>
      <c r="L60" s="12">
        <f>'中国汇率&amp;期货（ln）'!L60-'中国汇率&amp;期货（ln）'!L79</f>
      </c>
      <c r="M60" s="12">
        <f>'中国汇率&amp;期货（ln）'!M60-'中国汇率&amp;期货（ln）'!M79</f>
      </c>
      <c r="N60" s="12">
        <f>'中国汇率&amp;期货（ln）'!N60-'中国汇率&amp;期货（ln）'!N79</f>
      </c>
      <c r="O60" s="12">
        <f>'中国汇率&amp;期货（ln）'!O60-'中国汇率&amp;期货（ln）'!O79</f>
      </c>
      <c r="P60" s="12">
        <f>'中国汇率&amp;期货（ln）'!P60-'中国汇率&amp;期货（ln）'!P79</f>
      </c>
      <c r="Q60" s="12">
        <f>'中国汇率&amp;期货（ln）'!Q60-'中国汇率&amp;期货（ln）'!Q79</f>
      </c>
      <c r="R60" s="12">
        <f>'中国汇率&amp;期货（ln）'!R60-'中国汇率&amp;期货（ln）'!R79</f>
      </c>
      <c r="S60" s="12">
        <f>'中国汇率&amp;期货（ln）'!S60-'中国汇率&amp;期货（ln）'!S79</f>
      </c>
      <c r="T60" s="12">
        <f>'中国汇率&amp;期货（ln）'!T60-'中国汇率&amp;期货（ln）'!T79</f>
      </c>
      <c r="U60" s="12">
        <f>'中国汇率&amp;期货（ln）'!U60-'中国汇率&amp;期货（ln）'!U79</f>
      </c>
      <c r="V60" s="12">
        <f>'中国汇率&amp;期货（ln）'!V60-'中国汇率&amp;期货（ln）'!V79</f>
      </c>
      <c r="W60" s="12">
        <f>'中国汇率&amp;期货（ln）'!W60-'中国汇率&amp;期货（ln）'!W79</f>
      </c>
      <c r="X60" s="12">
        <f>'中国汇率&amp;期货（ln）'!X60-'中国汇率&amp;期货（ln）'!X79</f>
      </c>
      <c r="Y60" s="12">
        <f>'中国汇率&amp;期货（ln）'!Y60-'中国汇率&amp;期货（ln）'!Y79</f>
      </c>
      <c r="Z60" s="12">
        <f>'中国汇率&amp;期货（ln）'!Z60-'中国汇率&amp;期货（ln）'!Z79</f>
      </c>
      <c r="AA60" s="12">
        <f>'中国汇率&amp;期货（ln）'!AA60-'中国汇率&amp;期货（ln）'!AA79</f>
      </c>
      <c r="AB60" s="12">
        <f>'中国汇率&amp;期货（ln）'!AB60-'中国汇率&amp;期货（ln）'!AB79</f>
      </c>
      <c r="AC60" s="12">
        <f>'中国汇率&amp;期货（ln）'!AC60-'中国汇率&amp;期货（ln）'!AC79</f>
      </c>
      <c r="AD60" s="12">
        <f>'中国汇率&amp;期货（ln）'!AD60-'中国汇率&amp;期货（ln）'!AD79</f>
      </c>
      <c r="AE60" s="12">
        <f>'中国汇率&amp;期货（ln）'!AE60-'中国汇率&amp;期货（ln）'!AE79</f>
      </c>
      <c r="AF60" s="12">
        <f>'中国汇率&amp;期货（ln）'!AF60-'中国汇率&amp;期货（ln）'!AF79</f>
      </c>
      <c r="AG60" s="12">
        <f>'中国汇率&amp;期货（ln）'!AG60-'中国汇率&amp;期货（ln）'!AG79</f>
      </c>
      <c r="AH60" s="12">
        <f>'中国汇率&amp;期货（ln）'!AH60-'中国汇率&amp;期货（ln）'!AH79</f>
      </c>
      <c r="AI60" s="12">
        <f>'中国汇率&amp;期货（ln）'!AI60-'中国汇率&amp;期货（ln）'!AI79</f>
      </c>
      <c r="AJ60" s="12">
        <f>'中国汇率&amp;期货（ln）'!AJ60-'中国汇率&amp;期货（ln）'!AJ79</f>
      </c>
      <c r="AK60" s="12">
        <f>'中国汇率&amp;期货（ln）'!AK60-'中国汇率&amp;期货（ln）'!AK79</f>
      </c>
      <c r="AL60" s="12">
        <f>'中国汇率&amp;期货（ln）'!AL60-'中国汇率&amp;期货（ln）'!AL79</f>
      </c>
      <c r="AM60" s="12">
        <f>'中国汇率&amp;期货（ln）'!AM60-'中国汇率&amp;期货（ln）'!AM79</f>
      </c>
      <c r="AN60" s="12">
        <f>'中国汇率&amp;期货（ln）'!AN60-'中国汇率&amp;期货（ln）'!AN79</f>
      </c>
      <c r="AO60" s="12">
        <f>'中国汇率&amp;期货（ln）'!AO60-'中国汇率&amp;期货（ln）'!AO79</f>
      </c>
      <c r="AP60" s="12">
        <f>'中国汇率&amp;期货（ln）'!AP60-'中国汇率&amp;期货（ln）'!AP79</f>
      </c>
      <c r="AQ60" s="12">
        <f>'中国汇率&amp;期货（ln）'!AQ60-'中国汇率&amp;期货（ln）'!AQ79</f>
      </c>
      <c r="AR60" s="12">
        <f>'中国汇率&amp;期货（ln）'!AR60-'中国汇率&amp;期货（ln）'!AR79</f>
      </c>
      <c r="AS60" s="12">
        <f>'中国汇率&amp;期货（ln）'!AS60-'中国汇率&amp;期货（ln）'!AS79</f>
      </c>
      <c r="AT60" s="12">
        <f>'中国汇率&amp;期货（ln）'!AT60-'中国汇率&amp;期货（ln）'!AT79</f>
      </c>
      <c r="AU60" s="12">
        <f>'中国汇率&amp;期货（ln）'!AU60-'中国汇率&amp;期货（ln）'!AU79</f>
      </c>
      <c r="AV60" s="12">
        <f>'中国汇率&amp;期货（ln）'!AV60-'中国汇率&amp;期货（ln）'!AV79</f>
      </c>
      <c r="AW60" s="12">
        <f>'中国汇率&amp;期货（ln）'!AW60-'中国汇率&amp;期货（ln）'!AW79</f>
      </c>
      <c r="AX60" s="12">
        <f>'中国汇率&amp;期货（ln）'!AX60-'中国汇率&amp;期货（ln）'!AX79</f>
      </c>
      <c r="AY60" s="12">
        <f>'中国汇率&amp;期货（ln）'!AY60-'中国汇率&amp;期货（ln）'!AY79</f>
      </c>
      <c r="AZ60" s="12">
        <f>'中国汇率&amp;期货（ln）'!AZ60-'中国汇率&amp;期货（ln）'!AZ79</f>
      </c>
      <c r="BA60" s="12">
        <f>'中国汇率&amp;期货（ln）'!BA60-'中国汇率&amp;期货（ln）'!BA79</f>
      </c>
      <c r="BB60" s="12">
        <f>'中国汇率&amp;期货（ln）'!BB60-'中国汇率&amp;期货（ln）'!BB79</f>
      </c>
      <c r="BC60" s="12">
        <f>'中国汇率&amp;期货（ln）'!BC60-'中国汇率&amp;期货（ln）'!BC79</f>
      </c>
      <c r="BD60" s="12">
        <f>'中国汇率&amp;期货（ln）'!BD60-'中国汇率&amp;期货（ln）'!BD79</f>
      </c>
      <c r="BE60" s="12">
        <f>'中国汇率&amp;期货（ln）'!BE60-'中国汇率&amp;期货（ln）'!BE79</f>
      </c>
    </row>
    <row x14ac:dyDescent="0.25" r="61" customHeight="1" ht="18.75">
      <c r="A61" s="1"/>
      <c r="B61" s="12">
        <f>'中国汇率&amp;期货（ln）'!B61-'中国汇率&amp;期货（ln）'!B80</f>
      </c>
      <c r="C61" s="12">
        <f>'中国汇率&amp;期货（ln）'!C61-'中国汇率&amp;期货（ln）'!C80</f>
      </c>
      <c r="D61" s="12">
        <f>'中国汇率&amp;期货（ln）'!D61-'中国汇率&amp;期货（ln）'!D80</f>
      </c>
      <c r="E61" s="12">
        <f>'中国汇率&amp;期货（ln）'!E61-'中国汇率&amp;期货（ln）'!E80</f>
      </c>
      <c r="F61" s="12">
        <f>'中国汇率&amp;期货（ln）'!F61-'中国汇率&amp;期货（ln）'!F80</f>
      </c>
      <c r="G61" s="12">
        <f>'中国汇率&amp;期货（ln）'!G61-'中国汇率&amp;期货（ln）'!G80</f>
      </c>
      <c r="H61" s="12">
        <f>'中国汇率&amp;期货（ln）'!H61-'中国汇率&amp;期货（ln）'!H80</f>
      </c>
      <c r="I61" s="12">
        <f>'中国汇率&amp;期货（ln）'!I61-'中国汇率&amp;期货（ln）'!I80</f>
      </c>
      <c r="J61" s="12">
        <f>'中国汇率&amp;期货（ln）'!J61-'中国汇率&amp;期货（ln）'!J80</f>
      </c>
      <c r="K61" s="12">
        <f>'中国汇率&amp;期货（ln）'!K61-'中国汇率&amp;期货（ln）'!K80</f>
      </c>
      <c r="L61" s="12">
        <f>'中国汇率&amp;期货（ln）'!L61-'中国汇率&amp;期货（ln）'!L80</f>
      </c>
      <c r="M61" s="12">
        <f>'中国汇率&amp;期货（ln）'!M61-'中国汇率&amp;期货（ln）'!M80</f>
      </c>
      <c r="N61" s="12">
        <f>'中国汇率&amp;期货（ln）'!N61-'中国汇率&amp;期货（ln）'!N80</f>
      </c>
      <c r="O61" s="12">
        <f>'中国汇率&amp;期货（ln）'!O61-'中国汇率&amp;期货（ln）'!O80</f>
      </c>
      <c r="P61" s="12">
        <f>'中国汇率&amp;期货（ln）'!P61-'中国汇率&amp;期货（ln）'!P80</f>
      </c>
      <c r="Q61" s="12">
        <f>'中国汇率&amp;期货（ln）'!Q61-'中国汇率&amp;期货（ln）'!Q80</f>
      </c>
      <c r="R61" s="12">
        <f>'中国汇率&amp;期货（ln）'!R61-'中国汇率&amp;期货（ln）'!R80</f>
      </c>
      <c r="S61" s="12">
        <f>'中国汇率&amp;期货（ln）'!S61-'中国汇率&amp;期货（ln）'!S80</f>
      </c>
      <c r="T61" s="12">
        <f>'中国汇率&amp;期货（ln）'!T61-'中国汇率&amp;期货（ln）'!T80</f>
      </c>
      <c r="U61" s="12">
        <f>'中国汇率&amp;期货（ln）'!U61-'中国汇率&amp;期货（ln）'!U80</f>
      </c>
      <c r="V61" s="12">
        <f>'中国汇率&amp;期货（ln）'!V61-'中国汇率&amp;期货（ln）'!V80</f>
      </c>
      <c r="W61" s="12">
        <f>'中国汇率&amp;期货（ln）'!W61-'中国汇率&amp;期货（ln）'!W80</f>
      </c>
      <c r="X61" s="12">
        <f>'中国汇率&amp;期货（ln）'!X61-'中国汇率&amp;期货（ln）'!X80</f>
      </c>
      <c r="Y61" s="12">
        <f>'中国汇率&amp;期货（ln）'!Y61-'中国汇率&amp;期货（ln）'!Y80</f>
      </c>
      <c r="Z61" s="12">
        <f>'中国汇率&amp;期货（ln）'!Z61-'中国汇率&amp;期货（ln）'!Z80</f>
      </c>
      <c r="AA61" s="12">
        <f>'中国汇率&amp;期货（ln）'!AA61-'中国汇率&amp;期货（ln）'!AA80</f>
      </c>
      <c r="AB61" s="12">
        <f>'中国汇率&amp;期货（ln）'!AB61-'中国汇率&amp;期货（ln）'!AB80</f>
      </c>
      <c r="AC61" s="12">
        <f>'中国汇率&amp;期货（ln）'!AC61-'中国汇率&amp;期货（ln）'!AC80</f>
      </c>
      <c r="AD61" s="12">
        <f>'中国汇率&amp;期货（ln）'!AD61-'中国汇率&amp;期货（ln）'!AD80</f>
      </c>
      <c r="AE61" s="12">
        <f>'中国汇率&amp;期货（ln）'!AE61-'中国汇率&amp;期货（ln）'!AE80</f>
      </c>
      <c r="AF61" s="12">
        <f>'中国汇率&amp;期货（ln）'!AF61-'中国汇率&amp;期货（ln）'!AF80</f>
      </c>
      <c r="AG61" s="12">
        <f>'中国汇率&amp;期货（ln）'!AG61-'中国汇率&amp;期货（ln）'!AG80</f>
      </c>
      <c r="AH61" s="12">
        <f>'中国汇率&amp;期货（ln）'!AH61-'中国汇率&amp;期货（ln）'!AH80</f>
      </c>
      <c r="AI61" s="12">
        <f>'中国汇率&amp;期货（ln）'!AI61-'中国汇率&amp;期货（ln）'!AI80</f>
      </c>
      <c r="AJ61" s="12">
        <f>'中国汇率&amp;期货（ln）'!AJ61-'中国汇率&amp;期货（ln）'!AJ80</f>
      </c>
      <c r="AK61" s="12">
        <f>'中国汇率&amp;期货（ln）'!AK61-'中国汇率&amp;期货（ln）'!AK80</f>
      </c>
      <c r="AL61" s="12">
        <f>'中国汇率&amp;期货（ln）'!AL61-'中国汇率&amp;期货（ln）'!AL80</f>
      </c>
      <c r="AM61" s="12">
        <f>'中国汇率&amp;期货（ln）'!AM61-'中国汇率&amp;期货（ln）'!AM80</f>
      </c>
      <c r="AN61" s="12">
        <f>'中国汇率&amp;期货（ln）'!AN61-'中国汇率&amp;期货（ln）'!AN80</f>
      </c>
      <c r="AO61" s="12">
        <f>'中国汇率&amp;期货（ln）'!AO61-'中国汇率&amp;期货（ln）'!AO80</f>
      </c>
      <c r="AP61" s="12">
        <f>'中国汇率&amp;期货（ln）'!AP61-'中国汇率&amp;期货（ln）'!AP80</f>
      </c>
      <c r="AQ61" s="12">
        <f>'中国汇率&amp;期货（ln）'!AQ61-'中国汇率&amp;期货（ln）'!AQ80</f>
      </c>
      <c r="AR61" s="12">
        <f>'中国汇率&amp;期货（ln）'!AR61-'中国汇率&amp;期货（ln）'!AR80</f>
      </c>
      <c r="AS61" s="12">
        <f>'中国汇率&amp;期货（ln）'!AS61-'中国汇率&amp;期货（ln）'!AS80</f>
      </c>
      <c r="AT61" s="12">
        <f>'中国汇率&amp;期货（ln）'!AT61-'中国汇率&amp;期货（ln）'!AT80</f>
      </c>
      <c r="AU61" s="12">
        <f>'中国汇率&amp;期货（ln）'!AU61-'中国汇率&amp;期货（ln）'!AU80</f>
      </c>
      <c r="AV61" s="12">
        <f>'中国汇率&amp;期货（ln）'!AV61-'中国汇率&amp;期货（ln）'!AV80</f>
      </c>
      <c r="AW61" s="12">
        <f>'中国汇率&amp;期货（ln）'!AW61-'中国汇率&amp;期货（ln）'!AW80</f>
      </c>
      <c r="AX61" s="12">
        <f>'中国汇率&amp;期货（ln）'!AX61-'中国汇率&amp;期货（ln）'!AX80</f>
      </c>
      <c r="AY61" s="12">
        <f>'中国汇率&amp;期货（ln）'!AY61-'中国汇率&amp;期货（ln）'!AY80</f>
      </c>
      <c r="AZ61" s="12">
        <f>'中国汇率&amp;期货（ln）'!AZ61-'中国汇率&amp;期货（ln）'!AZ80</f>
      </c>
      <c r="BA61" s="12">
        <f>'中国汇率&amp;期货（ln）'!BA61-'中国汇率&amp;期货（ln）'!BA80</f>
      </c>
      <c r="BB61" s="12">
        <f>'中国汇率&amp;期货（ln）'!BB61-'中国汇率&amp;期货（ln）'!BB80</f>
      </c>
      <c r="BC61" s="12">
        <f>'中国汇率&amp;期货（ln）'!BC61-'中国汇率&amp;期货（ln）'!BC80</f>
      </c>
      <c r="BD61" s="12">
        <f>'中国汇率&amp;期货（ln）'!BD61-'中国汇率&amp;期货（ln）'!BD80</f>
      </c>
      <c r="BE61" s="12">
        <f>'中国汇率&amp;期货（ln）'!BE61-'中国汇率&amp;期货（ln）'!BE80</f>
      </c>
    </row>
    <row x14ac:dyDescent="0.25" r="62" customHeight="1" ht="18.75">
      <c r="A62" s="1"/>
      <c r="B62" s="12">
        <f>'中国汇率&amp;期货（ln）'!B62-'中国汇率&amp;期货（ln）'!B81</f>
      </c>
      <c r="C62" s="12">
        <f>'中国汇率&amp;期货（ln）'!C62-'中国汇率&amp;期货（ln）'!C81</f>
      </c>
      <c r="D62" s="12">
        <f>'中国汇率&amp;期货（ln）'!D62-'中国汇率&amp;期货（ln）'!D81</f>
      </c>
      <c r="E62" s="12">
        <f>'中国汇率&amp;期货（ln）'!E62-'中国汇率&amp;期货（ln）'!E81</f>
      </c>
      <c r="F62" s="12">
        <f>'中国汇率&amp;期货（ln）'!F62-'中国汇率&amp;期货（ln）'!F81</f>
      </c>
      <c r="G62" s="12">
        <f>'中国汇率&amp;期货（ln）'!G62-'中国汇率&amp;期货（ln）'!G81</f>
      </c>
      <c r="H62" s="12">
        <f>'中国汇率&amp;期货（ln）'!H62-'中国汇率&amp;期货（ln）'!H81</f>
      </c>
      <c r="I62" s="12">
        <f>'中国汇率&amp;期货（ln）'!I62-'中国汇率&amp;期货（ln）'!I81</f>
      </c>
      <c r="J62" s="12">
        <f>'中国汇率&amp;期货（ln）'!J62-'中国汇率&amp;期货（ln）'!J81</f>
      </c>
      <c r="K62" s="12">
        <f>'中国汇率&amp;期货（ln）'!K62-'中国汇率&amp;期货（ln）'!K81</f>
      </c>
      <c r="L62" s="12">
        <f>'中国汇率&amp;期货（ln）'!L62-'中国汇率&amp;期货（ln）'!L81</f>
      </c>
      <c r="M62" s="12">
        <f>'中国汇率&amp;期货（ln）'!M62-'中国汇率&amp;期货（ln）'!M81</f>
      </c>
      <c r="N62" s="12">
        <f>'中国汇率&amp;期货（ln）'!N62-'中国汇率&amp;期货（ln）'!N81</f>
      </c>
      <c r="O62" s="12">
        <f>'中国汇率&amp;期货（ln）'!O62-'中国汇率&amp;期货（ln）'!O81</f>
      </c>
      <c r="P62" s="12">
        <f>'中国汇率&amp;期货（ln）'!P62-'中国汇率&amp;期货（ln）'!P81</f>
      </c>
      <c r="Q62" s="12">
        <f>'中国汇率&amp;期货（ln）'!Q62-'中国汇率&amp;期货（ln）'!Q81</f>
      </c>
      <c r="R62" s="12">
        <f>'中国汇率&amp;期货（ln）'!R62-'中国汇率&amp;期货（ln）'!R81</f>
      </c>
      <c r="S62" s="12">
        <f>'中国汇率&amp;期货（ln）'!S62-'中国汇率&amp;期货（ln）'!S81</f>
      </c>
      <c r="T62" s="12">
        <f>'中国汇率&amp;期货（ln）'!T62-'中国汇率&amp;期货（ln）'!T81</f>
      </c>
      <c r="U62" s="12">
        <f>'中国汇率&amp;期货（ln）'!U62-'中国汇率&amp;期货（ln）'!U81</f>
      </c>
      <c r="V62" s="12">
        <f>'中国汇率&amp;期货（ln）'!V62-'中国汇率&amp;期货（ln）'!V81</f>
      </c>
      <c r="W62" s="12">
        <f>'中国汇率&amp;期货（ln）'!W62-'中国汇率&amp;期货（ln）'!W81</f>
      </c>
      <c r="X62" s="12">
        <f>'中国汇率&amp;期货（ln）'!X62-'中国汇率&amp;期货（ln）'!X81</f>
      </c>
      <c r="Y62" s="12">
        <f>'中国汇率&amp;期货（ln）'!Y62-'中国汇率&amp;期货（ln）'!Y81</f>
      </c>
      <c r="Z62" s="12">
        <f>'中国汇率&amp;期货（ln）'!Z62-'中国汇率&amp;期货（ln）'!Z81</f>
      </c>
      <c r="AA62" s="12">
        <f>'中国汇率&amp;期货（ln）'!AA62-'中国汇率&amp;期货（ln）'!AA81</f>
      </c>
      <c r="AB62" s="12">
        <f>'中国汇率&amp;期货（ln）'!AB62-'中国汇率&amp;期货（ln）'!AB81</f>
      </c>
      <c r="AC62" s="12">
        <f>'中国汇率&amp;期货（ln）'!AC62-'中国汇率&amp;期货（ln）'!AC81</f>
      </c>
      <c r="AD62" s="12">
        <f>'中国汇率&amp;期货（ln）'!AD62-'中国汇率&amp;期货（ln）'!AD81</f>
      </c>
      <c r="AE62" s="12">
        <f>'中国汇率&amp;期货（ln）'!AE62-'中国汇率&amp;期货（ln）'!AE81</f>
      </c>
      <c r="AF62" s="12">
        <f>'中国汇率&amp;期货（ln）'!AF62-'中国汇率&amp;期货（ln）'!AF81</f>
      </c>
      <c r="AG62" s="12">
        <f>'中国汇率&amp;期货（ln）'!AG62-'中国汇率&amp;期货（ln）'!AG81</f>
      </c>
      <c r="AH62" s="12">
        <f>'中国汇率&amp;期货（ln）'!AH62-'中国汇率&amp;期货（ln）'!AH81</f>
      </c>
      <c r="AI62" s="12">
        <f>'中国汇率&amp;期货（ln）'!AI62-'中国汇率&amp;期货（ln）'!AI81</f>
      </c>
      <c r="AJ62" s="12">
        <f>'中国汇率&amp;期货（ln）'!AJ62-'中国汇率&amp;期货（ln）'!AJ81</f>
      </c>
      <c r="AK62" s="12">
        <f>'中国汇率&amp;期货（ln）'!AK62-'中国汇率&amp;期货（ln）'!AK81</f>
      </c>
      <c r="AL62" s="12">
        <f>'中国汇率&amp;期货（ln）'!AL62-'中国汇率&amp;期货（ln）'!AL81</f>
      </c>
      <c r="AM62" s="12">
        <f>'中国汇率&amp;期货（ln）'!AM62-'中国汇率&amp;期货（ln）'!AM81</f>
      </c>
      <c r="AN62" s="12">
        <f>'中国汇率&amp;期货（ln）'!AN62-'中国汇率&amp;期货（ln）'!AN81</f>
      </c>
      <c r="AO62" s="12">
        <f>'中国汇率&amp;期货（ln）'!AO62-'中国汇率&amp;期货（ln）'!AO81</f>
      </c>
      <c r="AP62" s="12">
        <f>'中国汇率&amp;期货（ln）'!AP62-'中国汇率&amp;期货（ln）'!AP81</f>
      </c>
      <c r="AQ62" s="12">
        <f>'中国汇率&amp;期货（ln）'!AQ62-'中国汇率&amp;期货（ln）'!AQ81</f>
      </c>
      <c r="AR62" s="12">
        <f>'中国汇率&amp;期货（ln）'!AR62-'中国汇率&amp;期货（ln）'!AR81</f>
      </c>
      <c r="AS62" s="12">
        <f>'中国汇率&amp;期货（ln）'!AS62-'中国汇率&amp;期货（ln）'!AS81</f>
      </c>
      <c r="AT62" s="12">
        <f>'中国汇率&amp;期货（ln）'!AT62-'中国汇率&amp;期货（ln）'!AT81</f>
      </c>
      <c r="AU62" s="12">
        <f>'中国汇率&amp;期货（ln）'!AU62-'中国汇率&amp;期货（ln）'!AU81</f>
      </c>
      <c r="AV62" s="12">
        <f>'中国汇率&amp;期货（ln）'!AV62-'中国汇率&amp;期货（ln）'!AV81</f>
      </c>
      <c r="AW62" s="12">
        <f>'中国汇率&amp;期货（ln）'!AW62-'中国汇率&amp;期货（ln）'!AW81</f>
      </c>
      <c r="AX62" s="12">
        <f>'中国汇率&amp;期货（ln）'!AX62-'中国汇率&amp;期货（ln）'!AX81</f>
      </c>
      <c r="AY62" s="12">
        <f>'中国汇率&amp;期货（ln）'!AY62-'中国汇率&amp;期货（ln）'!AY81</f>
      </c>
      <c r="AZ62" s="12">
        <f>'中国汇率&amp;期货（ln）'!AZ62-'中国汇率&amp;期货（ln）'!AZ81</f>
      </c>
      <c r="BA62" s="12">
        <f>'中国汇率&amp;期货（ln）'!BA62-'中国汇率&amp;期货（ln）'!BA81</f>
      </c>
      <c r="BB62" s="12">
        <f>'中国汇率&amp;期货（ln）'!BB62-'中国汇率&amp;期货（ln）'!BB81</f>
      </c>
      <c r="BC62" s="12">
        <f>'中国汇率&amp;期货（ln）'!BC62-'中国汇率&amp;期货（ln）'!BC81</f>
      </c>
      <c r="BD62" s="12">
        <f>'中国汇率&amp;期货（ln）'!BD62-'中国汇率&amp;期货（ln）'!BD81</f>
      </c>
      <c r="BE62" s="12">
        <f>'中国汇率&amp;期货（ln）'!BE62-'中国汇率&amp;期货（ln）'!BE81</f>
      </c>
    </row>
    <row x14ac:dyDescent="0.25" r="63" customHeight="1" ht="18.75">
      <c r="A63" s="1"/>
      <c r="B63" s="12">
        <f>'中国汇率&amp;期货（ln）'!B63-'中国汇率&amp;期货（ln）'!B82</f>
      </c>
      <c r="C63" s="12">
        <f>'中国汇率&amp;期货（ln）'!C63-'中国汇率&amp;期货（ln）'!C82</f>
      </c>
      <c r="D63" s="12">
        <f>'中国汇率&amp;期货（ln）'!D63-'中国汇率&amp;期货（ln）'!D82</f>
      </c>
      <c r="E63" s="12">
        <f>'中国汇率&amp;期货（ln）'!E63-'中国汇率&amp;期货（ln）'!E82</f>
      </c>
      <c r="F63" s="12">
        <f>'中国汇率&amp;期货（ln）'!F63-'中国汇率&amp;期货（ln）'!F82</f>
      </c>
      <c r="G63" s="12">
        <f>'中国汇率&amp;期货（ln）'!G63-'中国汇率&amp;期货（ln）'!G82</f>
      </c>
      <c r="H63" s="12">
        <f>'中国汇率&amp;期货（ln）'!H63-'中国汇率&amp;期货（ln）'!H82</f>
      </c>
      <c r="I63" s="12">
        <f>'中国汇率&amp;期货（ln）'!I63-'中国汇率&amp;期货（ln）'!I82</f>
      </c>
      <c r="J63" s="12">
        <f>'中国汇率&amp;期货（ln）'!J63-'中国汇率&amp;期货（ln）'!J82</f>
      </c>
      <c r="K63" s="12">
        <f>'中国汇率&amp;期货（ln）'!K63-'中国汇率&amp;期货（ln）'!K82</f>
      </c>
      <c r="L63" s="12">
        <f>'中国汇率&amp;期货（ln）'!L63-'中国汇率&amp;期货（ln）'!L82</f>
      </c>
      <c r="M63" s="12">
        <f>'中国汇率&amp;期货（ln）'!M63-'中国汇率&amp;期货（ln）'!M82</f>
      </c>
      <c r="N63" s="12">
        <f>'中国汇率&amp;期货（ln）'!N63-'中国汇率&amp;期货（ln）'!N82</f>
      </c>
      <c r="O63" s="12">
        <f>'中国汇率&amp;期货（ln）'!O63-'中国汇率&amp;期货（ln）'!O82</f>
      </c>
      <c r="P63" s="12">
        <f>'中国汇率&amp;期货（ln）'!P63-'中国汇率&amp;期货（ln）'!P82</f>
      </c>
      <c r="Q63" s="12">
        <f>'中国汇率&amp;期货（ln）'!Q63-'中国汇率&amp;期货（ln）'!Q82</f>
      </c>
      <c r="R63" s="12">
        <f>'中国汇率&amp;期货（ln）'!R63-'中国汇率&amp;期货（ln）'!R82</f>
      </c>
      <c r="S63" s="12">
        <f>'中国汇率&amp;期货（ln）'!S63-'中国汇率&amp;期货（ln）'!S82</f>
      </c>
      <c r="T63" s="12">
        <f>'中国汇率&amp;期货（ln）'!T63-'中国汇率&amp;期货（ln）'!T82</f>
      </c>
      <c r="U63" s="12">
        <f>'中国汇率&amp;期货（ln）'!U63-'中国汇率&amp;期货（ln）'!U82</f>
      </c>
      <c r="V63" s="12">
        <f>'中国汇率&amp;期货（ln）'!V63-'中国汇率&amp;期货（ln）'!V82</f>
      </c>
      <c r="W63" s="12">
        <f>'中国汇率&amp;期货（ln）'!W63-'中国汇率&amp;期货（ln）'!W82</f>
      </c>
      <c r="X63" s="12">
        <f>'中国汇率&amp;期货（ln）'!X63-'中国汇率&amp;期货（ln）'!X82</f>
      </c>
      <c r="Y63" s="12">
        <f>'中国汇率&amp;期货（ln）'!Y63-'中国汇率&amp;期货（ln）'!Y82</f>
      </c>
      <c r="Z63" s="12">
        <f>'中国汇率&amp;期货（ln）'!Z63-'中国汇率&amp;期货（ln）'!Z82</f>
      </c>
      <c r="AA63" s="12">
        <f>'中国汇率&amp;期货（ln）'!AA63-'中国汇率&amp;期货（ln）'!AA82</f>
      </c>
      <c r="AB63" s="12">
        <f>'中国汇率&amp;期货（ln）'!AB63-'中国汇率&amp;期货（ln）'!AB82</f>
      </c>
      <c r="AC63" s="12">
        <f>'中国汇率&amp;期货（ln）'!AC63-'中国汇率&amp;期货（ln）'!AC82</f>
      </c>
      <c r="AD63" s="12">
        <f>'中国汇率&amp;期货（ln）'!AD63-'中国汇率&amp;期货（ln）'!AD82</f>
      </c>
      <c r="AE63" s="12">
        <f>'中国汇率&amp;期货（ln）'!AE63-'中国汇率&amp;期货（ln）'!AE82</f>
      </c>
      <c r="AF63" s="12">
        <f>'中国汇率&amp;期货（ln）'!AF63-'中国汇率&amp;期货（ln）'!AF82</f>
      </c>
      <c r="AG63" s="12">
        <f>'中国汇率&amp;期货（ln）'!AG63-'中国汇率&amp;期货（ln）'!AG82</f>
      </c>
      <c r="AH63" s="12">
        <f>'中国汇率&amp;期货（ln）'!AH63-'中国汇率&amp;期货（ln）'!AH82</f>
      </c>
      <c r="AI63" s="12">
        <f>'中国汇率&amp;期货（ln）'!AI63-'中国汇率&amp;期货（ln）'!AI82</f>
      </c>
      <c r="AJ63" s="12">
        <f>'中国汇率&amp;期货（ln）'!AJ63-'中国汇率&amp;期货（ln）'!AJ82</f>
      </c>
      <c r="AK63" s="12">
        <f>'中国汇率&amp;期货（ln）'!AK63-'中国汇率&amp;期货（ln）'!AK82</f>
      </c>
      <c r="AL63" s="12">
        <f>'中国汇率&amp;期货（ln）'!AL63-'中国汇率&amp;期货（ln）'!AL82</f>
      </c>
      <c r="AM63" s="12">
        <f>'中国汇率&amp;期货（ln）'!AM63-'中国汇率&amp;期货（ln）'!AM82</f>
      </c>
      <c r="AN63" s="12">
        <f>'中国汇率&amp;期货（ln）'!AN63-'中国汇率&amp;期货（ln）'!AN82</f>
      </c>
      <c r="AO63" s="12">
        <f>'中国汇率&amp;期货（ln）'!AO63-'中国汇率&amp;期货（ln）'!AO82</f>
      </c>
      <c r="AP63" s="12">
        <f>'中国汇率&amp;期货（ln）'!AP63-'中国汇率&amp;期货（ln）'!AP82</f>
      </c>
      <c r="AQ63" s="12">
        <f>'中国汇率&amp;期货（ln）'!AQ63-'中国汇率&amp;期货（ln）'!AQ82</f>
      </c>
      <c r="AR63" s="12">
        <f>'中国汇率&amp;期货（ln）'!AR63-'中国汇率&amp;期货（ln）'!AR82</f>
      </c>
      <c r="AS63" s="12">
        <f>'中国汇率&amp;期货（ln）'!AS63-'中国汇率&amp;期货（ln）'!AS82</f>
      </c>
      <c r="AT63" s="12">
        <f>'中国汇率&amp;期货（ln）'!AT63-'中国汇率&amp;期货（ln）'!AT82</f>
      </c>
      <c r="AU63" s="12">
        <f>'中国汇率&amp;期货（ln）'!AU63-'中国汇率&amp;期货（ln）'!AU82</f>
      </c>
      <c r="AV63" s="12">
        <f>'中国汇率&amp;期货（ln）'!AV63-'中国汇率&amp;期货（ln）'!AV82</f>
      </c>
      <c r="AW63" s="12">
        <f>'中国汇率&amp;期货（ln）'!AW63-'中国汇率&amp;期货（ln）'!AW82</f>
      </c>
      <c r="AX63" s="12">
        <f>'中国汇率&amp;期货（ln）'!AX63-'中国汇率&amp;期货（ln）'!AX82</f>
      </c>
      <c r="AY63" s="12">
        <f>'中国汇率&amp;期货（ln）'!AY63-'中国汇率&amp;期货（ln）'!AY82</f>
      </c>
      <c r="AZ63" s="12">
        <f>'中国汇率&amp;期货（ln）'!AZ63-'中国汇率&amp;期货（ln）'!AZ82</f>
      </c>
      <c r="BA63" s="12">
        <f>'中国汇率&amp;期货（ln）'!BA63-'中国汇率&amp;期货（ln）'!BA82</f>
      </c>
      <c r="BB63" s="12">
        <f>'中国汇率&amp;期货（ln）'!BB63-'中国汇率&amp;期货（ln）'!BB82</f>
      </c>
      <c r="BC63" s="12">
        <f>'中国汇率&amp;期货（ln）'!BC63-'中国汇率&amp;期货（ln）'!BC82</f>
      </c>
      <c r="BD63" s="12">
        <f>'中国汇率&amp;期货（ln）'!BD63-'中国汇率&amp;期货（ln）'!BD82</f>
      </c>
      <c r="BE63" s="12">
        <f>'中国汇率&amp;期货（ln）'!BE63-'中国汇率&amp;期货（ln）'!BE82</f>
      </c>
    </row>
    <row x14ac:dyDescent="0.25" r="64" customHeight="1" ht="18.75">
      <c r="A64" s="1"/>
      <c r="B64" s="12">
        <f>'中国汇率&amp;期货（ln）'!B64-'中国汇率&amp;期货（ln）'!B83</f>
      </c>
      <c r="C64" s="12">
        <f>'中国汇率&amp;期货（ln）'!C64-'中国汇率&amp;期货（ln）'!C83</f>
      </c>
      <c r="D64" s="12">
        <f>'中国汇率&amp;期货（ln）'!D64-'中国汇率&amp;期货（ln）'!D83</f>
      </c>
      <c r="E64" s="12">
        <f>'中国汇率&amp;期货（ln）'!E64-'中国汇率&amp;期货（ln）'!E83</f>
      </c>
      <c r="F64" s="12">
        <f>'中国汇率&amp;期货（ln）'!F64-'中国汇率&amp;期货（ln）'!F83</f>
      </c>
      <c r="G64" s="12">
        <f>'中国汇率&amp;期货（ln）'!G64-'中国汇率&amp;期货（ln）'!G83</f>
      </c>
      <c r="H64" s="12">
        <f>'中国汇率&amp;期货（ln）'!H64-'中国汇率&amp;期货（ln）'!H83</f>
      </c>
      <c r="I64" s="12">
        <f>'中国汇率&amp;期货（ln）'!I64-'中国汇率&amp;期货（ln）'!I83</f>
      </c>
      <c r="J64" s="12">
        <f>'中国汇率&amp;期货（ln）'!J64-'中国汇率&amp;期货（ln）'!J83</f>
      </c>
      <c r="K64" s="12">
        <f>'中国汇率&amp;期货（ln）'!K64-'中国汇率&amp;期货（ln）'!K83</f>
      </c>
      <c r="L64" s="12">
        <f>'中国汇率&amp;期货（ln）'!L64-'中国汇率&amp;期货（ln）'!L83</f>
      </c>
      <c r="M64" s="12">
        <f>'中国汇率&amp;期货（ln）'!M64-'中国汇率&amp;期货（ln）'!M83</f>
      </c>
      <c r="N64" s="12">
        <f>'中国汇率&amp;期货（ln）'!N64-'中国汇率&amp;期货（ln）'!N83</f>
      </c>
      <c r="O64" s="12">
        <f>'中国汇率&amp;期货（ln）'!O64-'中国汇率&amp;期货（ln）'!O83</f>
      </c>
      <c r="P64" s="12">
        <f>'中国汇率&amp;期货（ln）'!P64-'中国汇率&amp;期货（ln）'!P83</f>
      </c>
      <c r="Q64" s="12">
        <f>'中国汇率&amp;期货（ln）'!Q64-'中国汇率&amp;期货（ln）'!Q83</f>
      </c>
      <c r="R64" s="12">
        <f>'中国汇率&amp;期货（ln）'!R64-'中国汇率&amp;期货（ln）'!R83</f>
      </c>
      <c r="S64" s="12">
        <f>'中国汇率&amp;期货（ln）'!S64-'中国汇率&amp;期货（ln）'!S83</f>
      </c>
      <c r="T64" s="12">
        <f>'中国汇率&amp;期货（ln）'!T64-'中国汇率&amp;期货（ln）'!T83</f>
      </c>
      <c r="U64" s="12">
        <f>'中国汇率&amp;期货（ln）'!U64-'中国汇率&amp;期货（ln）'!U83</f>
      </c>
      <c r="V64" s="12">
        <f>'中国汇率&amp;期货（ln）'!V64-'中国汇率&amp;期货（ln）'!V83</f>
      </c>
      <c r="W64" s="12">
        <f>'中国汇率&amp;期货（ln）'!W64-'中国汇率&amp;期货（ln）'!W83</f>
      </c>
      <c r="X64" s="12">
        <f>'中国汇率&amp;期货（ln）'!X64-'中国汇率&amp;期货（ln）'!X83</f>
      </c>
      <c r="Y64" s="12">
        <f>'中国汇率&amp;期货（ln）'!Y64-'中国汇率&amp;期货（ln）'!Y83</f>
      </c>
      <c r="Z64" s="12">
        <f>'中国汇率&amp;期货（ln）'!Z64-'中国汇率&amp;期货（ln）'!Z83</f>
      </c>
      <c r="AA64" s="12">
        <f>'中国汇率&amp;期货（ln）'!AA64-'中国汇率&amp;期货（ln）'!AA83</f>
      </c>
      <c r="AB64" s="12">
        <f>'中国汇率&amp;期货（ln）'!AB64-'中国汇率&amp;期货（ln）'!AB83</f>
      </c>
      <c r="AC64" s="12">
        <f>'中国汇率&amp;期货（ln）'!AC64-'中国汇率&amp;期货（ln）'!AC83</f>
      </c>
      <c r="AD64" s="12">
        <f>'中国汇率&amp;期货（ln）'!AD64-'中国汇率&amp;期货（ln）'!AD83</f>
      </c>
      <c r="AE64" s="12">
        <f>'中国汇率&amp;期货（ln）'!AE64-'中国汇率&amp;期货（ln）'!AE83</f>
      </c>
      <c r="AF64" s="12">
        <f>'中国汇率&amp;期货（ln）'!AF64-'中国汇率&amp;期货（ln）'!AF83</f>
      </c>
      <c r="AG64" s="12">
        <f>'中国汇率&amp;期货（ln）'!AG64-'中国汇率&amp;期货（ln）'!AG83</f>
      </c>
      <c r="AH64" s="12">
        <f>'中国汇率&amp;期货（ln）'!AH64-'中国汇率&amp;期货（ln）'!AH83</f>
      </c>
      <c r="AI64" s="12">
        <f>'中国汇率&amp;期货（ln）'!AI64-'中国汇率&amp;期货（ln）'!AI83</f>
      </c>
      <c r="AJ64" s="12">
        <f>'中国汇率&amp;期货（ln）'!AJ64-'中国汇率&amp;期货（ln）'!AJ83</f>
      </c>
      <c r="AK64" s="12">
        <f>'中国汇率&amp;期货（ln）'!AK64-'中国汇率&amp;期货（ln）'!AK83</f>
      </c>
      <c r="AL64" s="12">
        <f>'中国汇率&amp;期货（ln）'!AL64-'中国汇率&amp;期货（ln）'!AL83</f>
      </c>
      <c r="AM64" s="12">
        <f>'中国汇率&amp;期货（ln）'!AM64-'中国汇率&amp;期货（ln）'!AM83</f>
      </c>
      <c r="AN64" s="12">
        <f>'中国汇率&amp;期货（ln）'!AN64-'中国汇率&amp;期货（ln）'!AN83</f>
      </c>
      <c r="AO64" s="12">
        <f>'中国汇率&amp;期货（ln）'!AO64-'中国汇率&amp;期货（ln）'!AO83</f>
      </c>
      <c r="AP64" s="12">
        <f>'中国汇率&amp;期货（ln）'!AP64-'中国汇率&amp;期货（ln）'!AP83</f>
      </c>
      <c r="AQ64" s="12">
        <f>'中国汇率&amp;期货（ln）'!AQ64-'中国汇率&amp;期货（ln）'!AQ83</f>
      </c>
      <c r="AR64" s="12">
        <f>'中国汇率&amp;期货（ln）'!AR64-'中国汇率&amp;期货（ln）'!AR83</f>
      </c>
      <c r="AS64" s="12">
        <f>'中国汇率&amp;期货（ln）'!AS64-'中国汇率&amp;期货（ln）'!AS83</f>
      </c>
      <c r="AT64" s="12">
        <f>'中国汇率&amp;期货（ln）'!AT64-'中国汇率&amp;期货（ln）'!AT83</f>
      </c>
      <c r="AU64" s="12">
        <f>'中国汇率&amp;期货（ln）'!AU64-'中国汇率&amp;期货（ln）'!AU83</f>
      </c>
      <c r="AV64" s="12">
        <f>'中国汇率&amp;期货（ln）'!AV64-'中国汇率&amp;期货（ln）'!AV83</f>
      </c>
      <c r="AW64" s="12">
        <f>'中国汇率&amp;期货（ln）'!AW64-'中国汇率&amp;期货（ln）'!AW83</f>
      </c>
      <c r="AX64" s="12">
        <f>'中国汇率&amp;期货（ln）'!AX64-'中国汇率&amp;期货（ln）'!AX83</f>
      </c>
      <c r="AY64" s="12">
        <f>'中国汇率&amp;期货（ln）'!AY64-'中国汇率&amp;期货（ln）'!AY83</f>
      </c>
      <c r="AZ64" s="12">
        <f>'中国汇率&amp;期货（ln）'!AZ64-'中国汇率&amp;期货（ln）'!AZ83</f>
      </c>
      <c r="BA64" s="12">
        <f>'中国汇率&amp;期货（ln）'!BA64-'中国汇率&amp;期货（ln）'!BA83</f>
      </c>
      <c r="BB64" s="12">
        <f>'中国汇率&amp;期货（ln）'!BB64-'中国汇率&amp;期货（ln）'!BB83</f>
      </c>
      <c r="BC64" s="12">
        <f>'中国汇率&amp;期货（ln）'!BC64-'中国汇率&amp;期货（ln）'!BC83</f>
      </c>
      <c r="BD64" s="12">
        <f>'中国汇率&amp;期货（ln）'!BD64-'中国汇率&amp;期货（ln）'!BD83</f>
      </c>
      <c r="BE64" s="12">
        <f>'中国汇率&amp;期货（ln）'!BE64-'中国汇率&amp;期货（ln）'!BE83</f>
      </c>
    </row>
    <row x14ac:dyDescent="0.25" r="65" customHeight="1" ht="18.75">
      <c r="A65" s="1"/>
      <c r="B65" s="12">
        <f>'中国汇率&amp;期货（ln）'!B65-'中国汇率&amp;期货（ln）'!B84</f>
      </c>
      <c r="C65" s="12">
        <f>'中国汇率&amp;期货（ln）'!C65-'中国汇率&amp;期货（ln）'!C84</f>
      </c>
      <c r="D65" s="12">
        <f>'中国汇率&amp;期货（ln）'!D65-'中国汇率&amp;期货（ln）'!D84</f>
      </c>
      <c r="E65" s="12">
        <f>'中国汇率&amp;期货（ln）'!E65-'中国汇率&amp;期货（ln）'!E84</f>
      </c>
      <c r="F65" s="12">
        <f>'中国汇率&amp;期货（ln）'!F65-'中国汇率&amp;期货（ln）'!F84</f>
      </c>
      <c r="G65" s="12">
        <f>'中国汇率&amp;期货（ln）'!G65-'中国汇率&amp;期货（ln）'!G84</f>
      </c>
      <c r="H65" s="12">
        <f>'中国汇率&amp;期货（ln）'!H65-'中国汇率&amp;期货（ln）'!H84</f>
      </c>
      <c r="I65" s="12">
        <f>'中国汇率&amp;期货（ln）'!I65-'中国汇率&amp;期货（ln）'!I84</f>
      </c>
      <c r="J65" s="12">
        <f>'中国汇率&amp;期货（ln）'!J65-'中国汇率&amp;期货（ln）'!J84</f>
      </c>
      <c r="K65" s="12">
        <f>'中国汇率&amp;期货（ln）'!K65-'中国汇率&amp;期货（ln）'!K84</f>
      </c>
      <c r="L65" s="12">
        <f>'中国汇率&amp;期货（ln）'!L65-'中国汇率&amp;期货（ln）'!L84</f>
      </c>
      <c r="M65" s="12">
        <f>'中国汇率&amp;期货（ln）'!M65-'中国汇率&amp;期货（ln）'!M84</f>
      </c>
      <c r="N65" s="12">
        <f>'中国汇率&amp;期货（ln）'!N65-'中国汇率&amp;期货（ln）'!N84</f>
      </c>
      <c r="O65" s="12">
        <f>'中国汇率&amp;期货（ln）'!O65-'中国汇率&amp;期货（ln）'!O84</f>
      </c>
      <c r="P65" s="12">
        <f>'中国汇率&amp;期货（ln）'!P65-'中国汇率&amp;期货（ln）'!P84</f>
      </c>
      <c r="Q65" s="12">
        <f>'中国汇率&amp;期货（ln）'!Q65-'中国汇率&amp;期货（ln）'!Q84</f>
      </c>
      <c r="R65" s="12">
        <f>'中国汇率&amp;期货（ln）'!R65-'中国汇率&amp;期货（ln）'!R84</f>
      </c>
      <c r="S65" s="12">
        <f>'中国汇率&amp;期货（ln）'!S65-'中国汇率&amp;期货（ln）'!S84</f>
      </c>
      <c r="T65" s="12">
        <f>'中国汇率&amp;期货（ln）'!T65-'中国汇率&amp;期货（ln）'!T84</f>
      </c>
      <c r="U65" s="12">
        <f>'中国汇率&amp;期货（ln）'!U65-'中国汇率&amp;期货（ln）'!U84</f>
      </c>
      <c r="V65" s="12">
        <f>'中国汇率&amp;期货（ln）'!V65-'中国汇率&amp;期货（ln）'!V84</f>
      </c>
      <c r="W65" s="12">
        <f>'中国汇率&amp;期货（ln）'!W65-'中国汇率&amp;期货（ln）'!W84</f>
      </c>
      <c r="X65" s="12">
        <f>'中国汇率&amp;期货（ln）'!X65-'中国汇率&amp;期货（ln）'!X84</f>
      </c>
      <c r="Y65" s="12">
        <f>'中国汇率&amp;期货（ln）'!Y65-'中国汇率&amp;期货（ln）'!Y84</f>
      </c>
      <c r="Z65" s="12">
        <f>'中国汇率&amp;期货（ln）'!Z65-'中国汇率&amp;期货（ln）'!Z84</f>
      </c>
      <c r="AA65" s="12">
        <f>'中国汇率&amp;期货（ln）'!AA65-'中国汇率&amp;期货（ln）'!AA84</f>
      </c>
      <c r="AB65" s="12">
        <f>'中国汇率&amp;期货（ln）'!AB65-'中国汇率&amp;期货（ln）'!AB84</f>
      </c>
      <c r="AC65" s="12">
        <f>'中国汇率&amp;期货（ln）'!AC65-'中国汇率&amp;期货（ln）'!AC84</f>
      </c>
      <c r="AD65" s="12">
        <f>'中国汇率&amp;期货（ln）'!AD65-'中国汇率&amp;期货（ln）'!AD84</f>
      </c>
      <c r="AE65" s="12">
        <f>'中国汇率&amp;期货（ln）'!AE65-'中国汇率&amp;期货（ln）'!AE84</f>
      </c>
      <c r="AF65" s="12">
        <f>'中国汇率&amp;期货（ln）'!AF65-'中国汇率&amp;期货（ln）'!AF84</f>
      </c>
      <c r="AG65" s="12">
        <f>'中国汇率&amp;期货（ln）'!AG65-'中国汇率&amp;期货（ln）'!AG84</f>
      </c>
      <c r="AH65" s="12">
        <f>'中国汇率&amp;期货（ln）'!AH65-'中国汇率&amp;期货（ln）'!AH84</f>
      </c>
      <c r="AI65" s="12">
        <f>'中国汇率&amp;期货（ln）'!AI65-'中国汇率&amp;期货（ln）'!AI84</f>
      </c>
      <c r="AJ65" s="12">
        <f>'中国汇率&amp;期货（ln）'!AJ65-'中国汇率&amp;期货（ln）'!AJ84</f>
      </c>
      <c r="AK65" s="12">
        <f>'中国汇率&amp;期货（ln）'!AK65-'中国汇率&amp;期货（ln）'!AK84</f>
      </c>
      <c r="AL65" s="12">
        <f>'中国汇率&amp;期货（ln）'!AL65-'中国汇率&amp;期货（ln）'!AL84</f>
      </c>
      <c r="AM65" s="12">
        <f>'中国汇率&amp;期货（ln）'!AM65-'中国汇率&amp;期货（ln）'!AM84</f>
      </c>
      <c r="AN65" s="12">
        <f>'中国汇率&amp;期货（ln）'!AN65-'中国汇率&amp;期货（ln）'!AN84</f>
      </c>
      <c r="AO65" s="12">
        <f>'中国汇率&amp;期货（ln）'!AO65-'中国汇率&amp;期货（ln）'!AO84</f>
      </c>
      <c r="AP65" s="12">
        <f>'中国汇率&amp;期货（ln）'!AP65-'中国汇率&amp;期货（ln）'!AP84</f>
      </c>
      <c r="AQ65" s="12">
        <f>'中国汇率&amp;期货（ln）'!AQ65-'中国汇率&amp;期货（ln）'!AQ84</f>
      </c>
      <c r="AR65" s="12">
        <f>'中国汇率&amp;期货（ln）'!AR65-'中国汇率&amp;期货（ln）'!AR84</f>
      </c>
      <c r="AS65" s="12">
        <f>'中国汇率&amp;期货（ln）'!AS65-'中国汇率&amp;期货（ln）'!AS84</f>
      </c>
      <c r="AT65" s="12">
        <f>'中国汇率&amp;期货（ln）'!AT65-'中国汇率&amp;期货（ln）'!AT84</f>
      </c>
      <c r="AU65" s="12">
        <f>'中国汇率&amp;期货（ln）'!AU65-'中国汇率&amp;期货（ln）'!AU84</f>
      </c>
      <c r="AV65" s="12">
        <f>'中国汇率&amp;期货（ln）'!AV65-'中国汇率&amp;期货（ln）'!AV84</f>
      </c>
      <c r="AW65" s="12">
        <f>'中国汇率&amp;期货（ln）'!AW65-'中国汇率&amp;期货（ln）'!AW84</f>
      </c>
      <c r="AX65" s="12">
        <f>'中国汇率&amp;期货（ln）'!AX65-'中国汇率&amp;期货（ln）'!AX84</f>
      </c>
      <c r="AY65" s="12">
        <f>'中国汇率&amp;期货（ln）'!AY65-'中国汇率&amp;期货（ln）'!AY84</f>
      </c>
      <c r="AZ65" s="12">
        <f>'中国汇率&amp;期货（ln）'!AZ65-'中国汇率&amp;期货（ln）'!AZ84</f>
      </c>
      <c r="BA65" s="12">
        <f>'中国汇率&amp;期货（ln）'!BA65-'中国汇率&amp;期货（ln）'!BA84</f>
      </c>
      <c r="BB65" s="12">
        <f>'中国汇率&amp;期货（ln）'!BB65-'中国汇率&amp;期货（ln）'!BB84</f>
      </c>
      <c r="BC65" s="12">
        <f>'中国汇率&amp;期货（ln）'!BC65-'中国汇率&amp;期货（ln）'!BC84</f>
      </c>
      <c r="BD65" s="12">
        <f>'中国汇率&amp;期货（ln）'!BD65-'中国汇率&amp;期货（ln）'!BD84</f>
      </c>
      <c r="BE65" s="12">
        <f>'中国汇率&amp;期货（ln）'!BE65-'中国汇率&amp;期货（ln）'!BE84</f>
      </c>
    </row>
    <row x14ac:dyDescent="0.25" r="66" customHeight="1" ht="18.75">
      <c r="A66" s="1"/>
      <c r="B66" s="12">
        <f>'中国汇率&amp;期货（ln）'!B66-'中国汇率&amp;期货（ln）'!B85</f>
      </c>
      <c r="C66" s="12">
        <f>'中国汇率&amp;期货（ln）'!C66-'中国汇率&amp;期货（ln）'!C85</f>
      </c>
      <c r="D66" s="12">
        <f>'中国汇率&amp;期货（ln）'!D66-'中国汇率&amp;期货（ln）'!D85</f>
      </c>
      <c r="E66" s="12">
        <f>'中国汇率&amp;期货（ln）'!E66-'中国汇率&amp;期货（ln）'!E85</f>
      </c>
      <c r="F66" s="12">
        <f>'中国汇率&amp;期货（ln）'!F66-'中国汇率&amp;期货（ln）'!F85</f>
      </c>
      <c r="G66" s="12">
        <f>'中国汇率&amp;期货（ln）'!G66-'中国汇率&amp;期货（ln）'!G85</f>
      </c>
      <c r="H66" s="12">
        <f>'中国汇率&amp;期货（ln）'!H66-'中国汇率&amp;期货（ln）'!H85</f>
      </c>
      <c r="I66" s="12">
        <f>'中国汇率&amp;期货（ln）'!I66-'中国汇率&amp;期货（ln）'!I85</f>
      </c>
      <c r="J66" s="12">
        <f>'中国汇率&amp;期货（ln）'!J66-'中国汇率&amp;期货（ln）'!J85</f>
      </c>
      <c r="K66" s="12">
        <f>'中国汇率&amp;期货（ln）'!K66-'中国汇率&amp;期货（ln）'!K85</f>
      </c>
      <c r="L66" s="12">
        <f>'中国汇率&amp;期货（ln）'!L66-'中国汇率&amp;期货（ln）'!L85</f>
      </c>
      <c r="M66" s="12">
        <f>'中国汇率&amp;期货（ln）'!M66-'中国汇率&amp;期货（ln）'!M85</f>
      </c>
      <c r="N66" s="12">
        <f>'中国汇率&amp;期货（ln）'!N66-'中国汇率&amp;期货（ln）'!N85</f>
      </c>
      <c r="O66" s="12">
        <f>'中国汇率&amp;期货（ln）'!O66-'中国汇率&amp;期货（ln）'!O85</f>
      </c>
      <c r="P66" s="12">
        <f>'中国汇率&amp;期货（ln）'!P66-'中国汇率&amp;期货（ln）'!P85</f>
      </c>
      <c r="Q66" s="12">
        <f>'中国汇率&amp;期货（ln）'!Q66-'中国汇率&amp;期货（ln）'!Q85</f>
      </c>
      <c r="R66" s="12">
        <f>'中国汇率&amp;期货（ln）'!R66-'中国汇率&amp;期货（ln）'!R85</f>
      </c>
      <c r="S66" s="12">
        <f>'中国汇率&amp;期货（ln）'!S66-'中国汇率&amp;期货（ln）'!S85</f>
      </c>
      <c r="T66" s="12">
        <f>'中国汇率&amp;期货（ln）'!T66-'中国汇率&amp;期货（ln）'!T85</f>
      </c>
      <c r="U66" s="12">
        <f>'中国汇率&amp;期货（ln）'!U66-'中国汇率&amp;期货（ln）'!U85</f>
      </c>
      <c r="V66" s="12">
        <f>'中国汇率&amp;期货（ln）'!V66-'中国汇率&amp;期货（ln）'!V85</f>
      </c>
      <c r="W66" s="12">
        <f>'中国汇率&amp;期货（ln）'!W66-'中国汇率&amp;期货（ln）'!W85</f>
      </c>
      <c r="X66" s="12">
        <f>'中国汇率&amp;期货（ln）'!X66-'中国汇率&amp;期货（ln）'!X85</f>
      </c>
      <c r="Y66" s="12">
        <f>'中国汇率&amp;期货（ln）'!Y66-'中国汇率&amp;期货（ln）'!Y85</f>
      </c>
      <c r="Z66" s="12">
        <f>'中国汇率&amp;期货（ln）'!Z66-'中国汇率&amp;期货（ln）'!Z85</f>
      </c>
      <c r="AA66" s="12">
        <f>'中国汇率&amp;期货（ln）'!AA66-'中国汇率&amp;期货（ln）'!AA85</f>
      </c>
      <c r="AB66" s="12">
        <f>'中国汇率&amp;期货（ln）'!AB66-'中国汇率&amp;期货（ln）'!AB85</f>
      </c>
      <c r="AC66" s="12">
        <f>'中国汇率&amp;期货（ln）'!AC66-'中国汇率&amp;期货（ln）'!AC85</f>
      </c>
      <c r="AD66" s="12">
        <f>'中国汇率&amp;期货（ln）'!AD66-'中国汇率&amp;期货（ln）'!AD85</f>
      </c>
      <c r="AE66" s="12">
        <f>'中国汇率&amp;期货（ln）'!AE66-'中国汇率&amp;期货（ln）'!AE85</f>
      </c>
      <c r="AF66" s="12">
        <f>'中国汇率&amp;期货（ln）'!AF66-'中国汇率&amp;期货（ln）'!AF85</f>
      </c>
      <c r="AG66" s="12">
        <f>'中国汇率&amp;期货（ln）'!AG66-'中国汇率&amp;期货（ln）'!AG85</f>
      </c>
      <c r="AH66" s="12">
        <f>'中国汇率&amp;期货（ln）'!AH66-'中国汇率&amp;期货（ln）'!AH85</f>
      </c>
      <c r="AI66" s="12">
        <f>'中国汇率&amp;期货（ln）'!AI66-'中国汇率&amp;期货（ln）'!AI85</f>
      </c>
      <c r="AJ66" s="12">
        <f>'中国汇率&amp;期货（ln）'!AJ66-'中国汇率&amp;期货（ln）'!AJ85</f>
      </c>
      <c r="AK66" s="12">
        <f>'中国汇率&amp;期货（ln）'!AK66-'中国汇率&amp;期货（ln）'!AK85</f>
      </c>
      <c r="AL66" s="12">
        <f>'中国汇率&amp;期货（ln）'!AL66-'中国汇率&amp;期货（ln）'!AL85</f>
      </c>
      <c r="AM66" s="12">
        <f>'中国汇率&amp;期货（ln）'!AM66-'中国汇率&amp;期货（ln）'!AM85</f>
      </c>
      <c r="AN66" s="12">
        <f>'中国汇率&amp;期货（ln）'!AN66-'中国汇率&amp;期货（ln）'!AN85</f>
      </c>
      <c r="AO66" s="12">
        <f>'中国汇率&amp;期货（ln）'!AO66-'中国汇率&amp;期货（ln）'!AO85</f>
      </c>
      <c r="AP66" s="12">
        <f>'中国汇率&amp;期货（ln）'!AP66-'中国汇率&amp;期货（ln）'!AP85</f>
      </c>
      <c r="AQ66" s="12">
        <f>'中国汇率&amp;期货（ln）'!AQ66-'中国汇率&amp;期货（ln）'!AQ85</f>
      </c>
      <c r="AR66" s="12">
        <f>'中国汇率&amp;期货（ln）'!AR66-'中国汇率&amp;期货（ln）'!AR85</f>
      </c>
      <c r="AS66" s="12">
        <f>'中国汇率&amp;期货（ln）'!AS66-'中国汇率&amp;期货（ln）'!AS85</f>
      </c>
      <c r="AT66" s="12">
        <f>'中国汇率&amp;期货（ln）'!AT66-'中国汇率&amp;期货（ln）'!AT85</f>
      </c>
      <c r="AU66" s="12">
        <f>'中国汇率&amp;期货（ln）'!AU66-'中国汇率&amp;期货（ln）'!AU85</f>
      </c>
      <c r="AV66" s="12">
        <f>'中国汇率&amp;期货（ln）'!AV66-'中国汇率&amp;期货（ln）'!AV85</f>
      </c>
      <c r="AW66" s="12">
        <f>'中国汇率&amp;期货（ln）'!AW66-'中国汇率&amp;期货（ln）'!AW85</f>
      </c>
      <c r="AX66" s="12">
        <f>'中国汇率&amp;期货（ln）'!AX66-'中国汇率&amp;期货（ln）'!AX85</f>
      </c>
      <c r="AY66" s="12">
        <f>'中国汇率&amp;期货（ln）'!AY66-'中国汇率&amp;期货（ln）'!AY85</f>
      </c>
      <c r="AZ66" s="12">
        <f>'中国汇率&amp;期货（ln）'!AZ66-'中国汇率&amp;期货（ln）'!AZ85</f>
      </c>
      <c r="BA66" s="12">
        <f>'中国汇率&amp;期货（ln）'!BA66-'中国汇率&amp;期货（ln）'!BA85</f>
      </c>
      <c r="BB66" s="12">
        <f>'中国汇率&amp;期货（ln）'!BB66-'中国汇率&amp;期货（ln）'!BB85</f>
      </c>
      <c r="BC66" s="12">
        <f>'中国汇率&amp;期货（ln）'!BC66-'中国汇率&amp;期货（ln）'!BC85</f>
      </c>
      <c r="BD66" s="12">
        <f>'中国汇率&amp;期货（ln）'!BD66-'中国汇率&amp;期货（ln）'!BD85</f>
      </c>
      <c r="BE66" s="12">
        <f>'中国汇率&amp;期货（ln）'!BE66-'中国汇率&amp;期货（ln）'!BE85</f>
      </c>
    </row>
    <row x14ac:dyDescent="0.25" r="67" customHeight="1" ht="18.75">
      <c r="A67" s="1"/>
      <c r="B67" s="12">
        <f>'中国汇率&amp;期货（ln）'!B67-'中国汇率&amp;期货（ln）'!B86</f>
      </c>
      <c r="C67" s="12">
        <f>'中国汇率&amp;期货（ln）'!C67-'中国汇率&amp;期货（ln）'!C86</f>
      </c>
      <c r="D67" s="12">
        <f>'中国汇率&amp;期货（ln）'!D67-'中国汇率&amp;期货（ln）'!D86</f>
      </c>
      <c r="E67" s="12">
        <f>'中国汇率&amp;期货（ln）'!E67-'中国汇率&amp;期货（ln）'!E86</f>
      </c>
      <c r="F67" s="12">
        <f>'中国汇率&amp;期货（ln）'!F67-'中国汇率&amp;期货（ln）'!F86</f>
      </c>
      <c r="G67" s="12">
        <f>'中国汇率&amp;期货（ln）'!G67-'中国汇率&amp;期货（ln）'!G86</f>
      </c>
      <c r="H67" s="12">
        <f>'中国汇率&amp;期货（ln）'!H67-'中国汇率&amp;期货（ln）'!H86</f>
      </c>
      <c r="I67" s="12">
        <f>'中国汇率&amp;期货（ln）'!I67-'中国汇率&amp;期货（ln）'!I86</f>
      </c>
      <c r="J67" s="12">
        <f>'中国汇率&amp;期货（ln）'!J67-'中国汇率&amp;期货（ln）'!J86</f>
      </c>
      <c r="K67" s="12">
        <f>'中国汇率&amp;期货（ln）'!K67-'中国汇率&amp;期货（ln）'!K86</f>
      </c>
      <c r="L67" s="12">
        <f>'中国汇率&amp;期货（ln）'!L67-'中国汇率&amp;期货（ln）'!L86</f>
      </c>
      <c r="M67" s="12">
        <f>'中国汇率&amp;期货（ln）'!M67-'中国汇率&amp;期货（ln）'!M86</f>
      </c>
      <c r="N67" s="12">
        <f>'中国汇率&amp;期货（ln）'!N67-'中国汇率&amp;期货（ln）'!N86</f>
      </c>
      <c r="O67" s="12">
        <f>'中国汇率&amp;期货（ln）'!O67-'中国汇率&amp;期货（ln）'!O86</f>
      </c>
      <c r="P67" s="12">
        <f>'中国汇率&amp;期货（ln）'!P67-'中国汇率&amp;期货（ln）'!P86</f>
      </c>
      <c r="Q67" s="12">
        <f>'中国汇率&amp;期货（ln）'!Q67-'中国汇率&amp;期货（ln）'!Q86</f>
      </c>
      <c r="R67" s="12">
        <f>'中国汇率&amp;期货（ln）'!R67-'中国汇率&amp;期货（ln）'!R86</f>
      </c>
      <c r="S67" s="12">
        <f>'中国汇率&amp;期货（ln）'!S67-'中国汇率&amp;期货（ln）'!S86</f>
      </c>
      <c r="T67" s="12">
        <f>'中国汇率&amp;期货（ln）'!T67-'中国汇率&amp;期货（ln）'!T86</f>
      </c>
      <c r="U67" s="12">
        <f>'中国汇率&amp;期货（ln）'!U67-'中国汇率&amp;期货（ln）'!U86</f>
      </c>
      <c r="V67" s="12">
        <f>'中国汇率&amp;期货（ln）'!V67-'中国汇率&amp;期货（ln）'!V86</f>
      </c>
      <c r="W67" s="12">
        <f>'中国汇率&amp;期货（ln）'!W67-'中国汇率&amp;期货（ln）'!W86</f>
      </c>
      <c r="X67" s="12">
        <f>'中国汇率&amp;期货（ln）'!X67-'中国汇率&amp;期货（ln）'!X86</f>
      </c>
      <c r="Y67" s="12">
        <f>'中国汇率&amp;期货（ln）'!Y67-'中国汇率&amp;期货（ln）'!Y86</f>
      </c>
      <c r="Z67" s="12">
        <f>'中国汇率&amp;期货（ln）'!Z67-'中国汇率&amp;期货（ln）'!Z86</f>
      </c>
      <c r="AA67" s="12">
        <f>'中国汇率&amp;期货（ln）'!AA67-'中国汇率&amp;期货（ln）'!AA86</f>
      </c>
      <c r="AB67" s="12">
        <f>'中国汇率&amp;期货（ln）'!AB67-'中国汇率&amp;期货（ln）'!AB86</f>
      </c>
      <c r="AC67" s="12">
        <f>'中国汇率&amp;期货（ln）'!AC67-'中国汇率&amp;期货（ln）'!AC86</f>
      </c>
      <c r="AD67" s="12">
        <f>'中国汇率&amp;期货（ln）'!AD67-'中国汇率&amp;期货（ln）'!AD86</f>
      </c>
      <c r="AE67" s="12">
        <f>'中国汇率&amp;期货（ln）'!AE67-'中国汇率&amp;期货（ln）'!AE86</f>
      </c>
      <c r="AF67" s="12">
        <f>'中国汇率&amp;期货（ln）'!AF67-'中国汇率&amp;期货（ln）'!AF86</f>
      </c>
      <c r="AG67" s="12">
        <f>'中国汇率&amp;期货（ln）'!AG67-'中国汇率&amp;期货（ln）'!AG86</f>
      </c>
      <c r="AH67" s="12">
        <f>'中国汇率&amp;期货（ln）'!AH67-'中国汇率&amp;期货（ln）'!AH86</f>
      </c>
      <c r="AI67" s="12">
        <f>'中国汇率&amp;期货（ln）'!AI67-'中国汇率&amp;期货（ln）'!AI86</f>
      </c>
      <c r="AJ67" s="12">
        <f>'中国汇率&amp;期货（ln）'!AJ67-'中国汇率&amp;期货（ln）'!AJ86</f>
      </c>
      <c r="AK67" s="12">
        <f>'中国汇率&amp;期货（ln）'!AK67-'中国汇率&amp;期货（ln）'!AK86</f>
      </c>
      <c r="AL67" s="12">
        <f>'中国汇率&amp;期货（ln）'!AL67-'中国汇率&amp;期货（ln）'!AL86</f>
      </c>
      <c r="AM67" s="12">
        <f>'中国汇率&amp;期货（ln）'!AM67-'中国汇率&amp;期货（ln）'!AM86</f>
      </c>
      <c r="AN67" s="12">
        <f>'中国汇率&amp;期货（ln）'!AN67-'中国汇率&amp;期货（ln）'!AN86</f>
      </c>
      <c r="AO67" s="12">
        <f>'中国汇率&amp;期货（ln）'!AO67-'中国汇率&amp;期货（ln）'!AO86</f>
      </c>
      <c r="AP67" s="12">
        <f>'中国汇率&amp;期货（ln）'!AP67-'中国汇率&amp;期货（ln）'!AP86</f>
      </c>
      <c r="AQ67" s="12">
        <f>'中国汇率&amp;期货（ln）'!AQ67-'中国汇率&amp;期货（ln）'!AQ86</f>
      </c>
      <c r="AR67" s="12">
        <f>'中国汇率&amp;期货（ln）'!AR67-'中国汇率&amp;期货（ln）'!AR86</f>
      </c>
      <c r="AS67" s="12">
        <f>'中国汇率&amp;期货（ln）'!AS67-'中国汇率&amp;期货（ln）'!AS86</f>
      </c>
      <c r="AT67" s="12">
        <f>'中国汇率&amp;期货（ln）'!AT67-'中国汇率&amp;期货（ln）'!AT86</f>
      </c>
      <c r="AU67" s="12">
        <f>'中国汇率&amp;期货（ln）'!AU67-'中国汇率&amp;期货（ln）'!AU86</f>
      </c>
      <c r="AV67" s="12">
        <f>'中国汇率&amp;期货（ln）'!AV67-'中国汇率&amp;期货（ln）'!AV86</f>
      </c>
      <c r="AW67" s="12">
        <f>'中国汇率&amp;期货（ln）'!AW67-'中国汇率&amp;期货（ln）'!AW86</f>
      </c>
      <c r="AX67" s="12">
        <f>'中国汇率&amp;期货（ln）'!AX67-'中国汇率&amp;期货（ln）'!AX86</f>
      </c>
      <c r="AY67" s="12">
        <f>'中国汇率&amp;期货（ln）'!AY67-'中国汇率&amp;期货（ln）'!AY86</f>
      </c>
      <c r="AZ67" s="12">
        <f>'中国汇率&amp;期货（ln）'!AZ67-'中国汇率&amp;期货（ln）'!AZ86</f>
      </c>
      <c r="BA67" s="12">
        <f>'中国汇率&amp;期货（ln）'!BA67-'中国汇率&amp;期货（ln）'!BA86</f>
      </c>
      <c r="BB67" s="12">
        <f>'中国汇率&amp;期货（ln）'!BB67-'中国汇率&amp;期货（ln）'!BB86</f>
      </c>
      <c r="BC67" s="12">
        <f>'中国汇率&amp;期货（ln）'!BC67-'中国汇率&amp;期货（ln）'!BC86</f>
      </c>
      <c r="BD67" s="12">
        <f>'中国汇率&amp;期货（ln）'!BD67-'中国汇率&amp;期货（ln）'!BD86</f>
      </c>
      <c r="BE67" s="12">
        <f>'中国汇率&amp;期货（ln）'!BE67-'中国汇率&amp;期货（ln）'!BE86</f>
      </c>
    </row>
    <row x14ac:dyDescent="0.25" r="68" customHeight="1" ht="18.75">
      <c r="A68" s="1"/>
      <c r="B68" s="12">
        <f>'中国汇率&amp;期货（ln）'!B68-'中国汇率&amp;期货（ln）'!B87</f>
      </c>
      <c r="C68" s="12">
        <f>'中国汇率&amp;期货（ln）'!C68-'中国汇率&amp;期货（ln）'!C87</f>
      </c>
      <c r="D68" s="12">
        <f>'中国汇率&amp;期货（ln）'!D68-'中国汇率&amp;期货（ln）'!D87</f>
      </c>
      <c r="E68" s="12">
        <f>'中国汇率&amp;期货（ln）'!E68-'中国汇率&amp;期货（ln）'!E87</f>
      </c>
      <c r="F68" s="12">
        <f>'中国汇率&amp;期货（ln）'!F68-'中国汇率&amp;期货（ln）'!F87</f>
      </c>
      <c r="G68" s="12">
        <f>'中国汇率&amp;期货（ln）'!G68-'中国汇率&amp;期货（ln）'!G87</f>
      </c>
      <c r="H68" s="12">
        <f>'中国汇率&amp;期货（ln）'!H68-'中国汇率&amp;期货（ln）'!H87</f>
      </c>
      <c r="I68" s="12">
        <f>'中国汇率&amp;期货（ln）'!I68-'中国汇率&amp;期货（ln）'!I87</f>
      </c>
      <c r="J68" s="12">
        <f>'中国汇率&amp;期货（ln）'!J68-'中国汇率&amp;期货（ln）'!J87</f>
      </c>
      <c r="K68" s="12">
        <f>'中国汇率&amp;期货（ln）'!K68-'中国汇率&amp;期货（ln）'!K87</f>
      </c>
      <c r="L68" s="12">
        <f>'中国汇率&amp;期货（ln）'!L68-'中国汇率&amp;期货（ln）'!L87</f>
      </c>
      <c r="M68" s="12">
        <f>'中国汇率&amp;期货（ln）'!M68-'中国汇率&amp;期货（ln）'!M87</f>
      </c>
      <c r="N68" s="12">
        <f>'中国汇率&amp;期货（ln）'!N68-'中国汇率&amp;期货（ln）'!N87</f>
      </c>
      <c r="O68" s="12">
        <f>'中国汇率&amp;期货（ln）'!O68-'中国汇率&amp;期货（ln）'!O87</f>
      </c>
      <c r="P68" s="12">
        <f>'中国汇率&amp;期货（ln）'!P68-'中国汇率&amp;期货（ln）'!P87</f>
      </c>
      <c r="Q68" s="12">
        <f>'中国汇率&amp;期货（ln）'!Q68-'中国汇率&amp;期货（ln）'!Q87</f>
      </c>
      <c r="R68" s="12">
        <f>'中国汇率&amp;期货（ln）'!R68-'中国汇率&amp;期货（ln）'!R87</f>
      </c>
      <c r="S68" s="12">
        <f>'中国汇率&amp;期货（ln）'!S68-'中国汇率&amp;期货（ln）'!S87</f>
      </c>
      <c r="T68" s="12">
        <f>'中国汇率&amp;期货（ln）'!T68-'中国汇率&amp;期货（ln）'!T87</f>
      </c>
      <c r="U68" s="12">
        <f>'中国汇率&amp;期货（ln）'!U68-'中国汇率&amp;期货（ln）'!U87</f>
      </c>
      <c r="V68" s="12">
        <f>'中国汇率&amp;期货（ln）'!V68-'中国汇率&amp;期货（ln）'!V87</f>
      </c>
      <c r="W68" s="12">
        <f>'中国汇率&amp;期货（ln）'!W68-'中国汇率&amp;期货（ln）'!W87</f>
      </c>
      <c r="X68" s="12">
        <f>'中国汇率&amp;期货（ln）'!X68-'中国汇率&amp;期货（ln）'!X87</f>
      </c>
      <c r="Y68" s="12">
        <f>'中国汇率&amp;期货（ln）'!Y68-'中国汇率&amp;期货（ln）'!Y87</f>
      </c>
      <c r="Z68" s="12">
        <f>'中国汇率&amp;期货（ln）'!Z68-'中国汇率&amp;期货（ln）'!Z87</f>
      </c>
      <c r="AA68" s="12">
        <f>'中国汇率&amp;期货（ln）'!AA68-'中国汇率&amp;期货（ln）'!AA87</f>
      </c>
      <c r="AB68" s="12">
        <f>'中国汇率&amp;期货（ln）'!AB68-'中国汇率&amp;期货（ln）'!AB87</f>
      </c>
      <c r="AC68" s="12">
        <f>'中国汇率&amp;期货（ln）'!AC68-'中国汇率&amp;期货（ln）'!AC87</f>
      </c>
      <c r="AD68" s="12">
        <f>'中国汇率&amp;期货（ln）'!AD68-'中国汇率&amp;期货（ln）'!AD87</f>
      </c>
      <c r="AE68" s="12">
        <f>'中国汇率&amp;期货（ln）'!AE68-'中国汇率&amp;期货（ln）'!AE87</f>
      </c>
      <c r="AF68" s="12">
        <f>'中国汇率&amp;期货（ln）'!AF68-'中国汇率&amp;期货（ln）'!AF87</f>
      </c>
      <c r="AG68" s="12">
        <f>'中国汇率&amp;期货（ln）'!AG68-'中国汇率&amp;期货（ln）'!AG87</f>
      </c>
      <c r="AH68" s="12">
        <f>'中国汇率&amp;期货（ln）'!AH68-'中国汇率&amp;期货（ln）'!AH87</f>
      </c>
      <c r="AI68" s="12">
        <f>'中国汇率&amp;期货（ln）'!AI68-'中国汇率&amp;期货（ln）'!AI87</f>
      </c>
      <c r="AJ68" s="12">
        <f>'中国汇率&amp;期货（ln）'!AJ68-'中国汇率&amp;期货（ln）'!AJ87</f>
      </c>
      <c r="AK68" s="12">
        <f>'中国汇率&amp;期货（ln）'!AK68-'中国汇率&amp;期货（ln）'!AK87</f>
      </c>
      <c r="AL68" s="12">
        <f>'中国汇率&amp;期货（ln）'!AL68-'中国汇率&amp;期货（ln）'!AL87</f>
      </c>
      <c r="AM68" s="12">
        <f>'中国汇率&amp;期货（ln）'!AM68-'中国汇率&amp;期货（ln）'!AM87</f>
      </c>
      <c r="AN68" s="12">
        <f>'中国汇率&amp;期货（ln）'!AN68-'中国汇率&amp;期货（ln）'!AN87</f>
      </c>
      <c r="AO68" s="12">
        <f>'中国汇率&amp;期货（ln）'!AO68-'中国汇率&amp;期货（ln）'!AO87</f>
      </c>
      <c r="AP68" s="12">
        <f>'中国汇率&amp;期货（ln）'!AP68-'中国汇率&amp;期货（ln）'!AP87</f>
      </c>
      <c r="AQ68" s="12">
        <f>'中国汇率&amp;期货（ln）'!AQ68-'中国汇率&amp;期货（ln）'!AQ87</f>
      </c>
      <c r="AR68" s="12">
        <f>'中国汇率&amp;期货（ln）'!AR68-'中国汇率&amp;期货（ln）'!AR87</f>
      </c>
      <c r="AS68" s="12">
        <f>'中国汇率&amp;期货（ln）'!AS68-'中国汇率&amp;期货（ln）'!AS87</f>
      </c>
      <c r="AT68" s="12">
        <f>'中国汇率&amp;期货（ln）'!AT68-'中国汇率&amp;期货（ln）'!AT87</f>
      </c>
      <c r="AU68" s="12">
        <f>'中国汇率&amp;期货（ln）'!AU68-'中国汇率&amp;期货（ln）'!AU87</f>
      </c>
      <c r="AV68" s="12">
        <f>'中国汇率&amp;期货（ln）'!AV68-'中国汇率&amp;期货（ln）'!AV87</f>
      </c>
      <c r="AW68" s="12">
        <f>'中国汇率&amp;期货（ln）'!AW68-'中国汇率&amp;期货（ln）'!AW87</f>
      </c>
      <c r="AX68" s="12">
        <f>'中国汇率&amp;期货（ln）'!AX68-'中国汇率&amp;期货（ln）'!AX87</f>
      </c>
      <c r="AY68" s="12">
        <f>'中国汇率&amp;期货（ln）'!AY68-'中国汇率&amp;期货（ln）'!AY87</f>
      </c>
      <c r="AZ68" s="12">
        <f>'中国汇率&amp;期货（ln）'!AZ68-'中国汇率&amp;期货（ln）'!AZ87</f>
      </c>
      <c r="BA68" s="12">
        <f>'中国汇率&amp;期货（ln）'!BA68-'中国汇率&amp;期货（ln）'!BA87</f>
      </c>
      <c r="BB68" s="12">
        <f>'中国汇率&amp;期货（ln）'!BB68-'中国汇率&amp;期货（ln）'!BB87</f>
      </c>
      <c r="BC68" s="12">
        <f>'中国汇率&amp;期货（ln）'!BC68-'中国汇率&amp;期货（ln）'!BC87</f>
      </c>
      <c r="BD68" s="12">
        <f>'中国汇率&amp;期货（ln）'!BD68-'中国汇率&amp;期货（ln）'!BD87</f>
      </c>
      <c r="BE68" s="12">
        <f>'中国汇率&amp;期货（ln）'!BE68-'中国汇率&amp;期货（ln）'!BE87</f>
      </c>
    </row>
    <row x14ac:dyDescent="0.25" r="69" customHeight="1" ht="18.75">
      <c r="A69" s="1"/>
      <c r="B69" s="12">
        <f>'中国汇率&amp;期货（ln）'!B69-'中国汇率&amp;期货（ln）'!B88</f>
      </c>
      <c r="C69" s="12">
        <f>'中国汇率&amp;期货（ln）'!C69-'中国汇率&amp;期货（ln）'!C88</f>
      </c>
      <c r="D69" s="12">
        <f>'中国汇率&amp;期货（ln）'!D69-'中国汇率&amp;期货（ln）'!D88</f>
      </c>
      <c r="E69" s="12">
        <f>'中国汇率&amp;期货（ln）'!E69-'中国汇率&amp;期货（ln）'!E88</f>
      </c>
      <c r="F69" s="12">
        <f>'中国汇率&amp;期货（ln）'!F69-'中国汇率&amp;期货（ln）'!F88</f>
      </c>
      <c r="G69" s="12">
        <f>'中国汇率&amp;期货（ln）'!G69-'中国汇率&amp;期货（ln）'!G88</f>
      </c>
      <c r="H69" s="12">
        <f>'中国汇率&amp;期货（ln）'!H69-'中国汇率&amp;期货（ln）'!H88</f>
      </c>
      <c r="I69" s="12">
        <f>'中国汇率&amp;期货（ln）'!I69-'中国汇率&amp;期货（ln）'!I88</f>
      </c>
      <c r="J69" s="12">
        <f>'中国汇率&amp;期货（ln）'!J69-'中国汇率&amp;期货（ln）'!J88</f>
      </c>
      <c r="K69" s="12">
        <f>'中国汇率&amp;期货（ln）'!K69-'中国汇率&amp;期货（ln）'!K88</f>
      </c>
      <c r="L69" s="12">
        <f>'中国汇率&amp;期货（ln）'!L69-'中国汇率&amp;期货（ln）'!L88</f>
      </c>
      <c r="M69" s="12">
        <f>'中国汇率&amp;期货（ln）'!M69-'中国汇率&amp;期货（ln）'!M88</f>
      </c>
      <c r="N69" s="12">
        <f>'中国汇率&amp;期货（ln）'!N69-'中国汇率&amp;期货（ln）'!N88</f>
      </c>
      <c r="O69" s="12">
        <f>'中国汇率&amp;期货（ln）'!O69-'中国汇率&amp;期货（ln）'!O88</f>
      </c>
      <c r="P69" s="12">
        <f>'中国汇率&amp;期货（ln）'!P69-'中国汇率&amp;期货（ln）'!P88</f>
      </c>
      <c r="Q69" s="12">
        <f>'中国汇率&amp;期货（ln）'!Q69-'中国汇率&amp;期货（ln）'!Q88</f>
      </c>
      <c r="R69" s="12">
        <f>'中国汇率&amp;期货（ln）'!R69-'中国汇率&amp;期货（ln）'!R88</f>
      </c>
      <c r="S69" s="12">
        <f>'中国汇率&amp;期货（ln）'!S69-'中国汇率&amp;期货（ln）'!S88</f>
      </c>
      <c r="T69" s="12">
        <f>'中国汇率&amp;期货（ln）'!T69-'中国汇率&amp;期货（ln）'!T88</f>
      </c>
      <c r="U69" s="12">
        <f>'中国汇率&amp;期货（ln）'!U69-'中国汇率&amp;期货（ln）'!U88</f>
      </c>
      <c r="V69" s="12">
        <f>'中国汇率&amp;期货（ln）'!V69-'中国汇率&amp;期货（ln）'!V88</f>
      </c>
      <c r="W69" s="12">
        <f>'中国汇率&amp;期货（ln）'!W69-'中国汇率&amp;期货（ln）'!W88</f>
      </c>
      <c r="X69" s="12">
        <f>'中国汇率&amp;期货（ln）'!X69-'中国汇率&amp;期货（ln）'!X88</f>
      </c>
      <c r="Y69" s="12">
        <f>'中国汇率&amp;期货（ln）'!Y69-'中国汇率&amp;期货（ln）'!Y88</f>
      </c>
      <c r="Z69" s="12">
        <f>'中国汇率&amp;期货（ln）'!Z69-'中国汇率&amp;期货（ln）'!Z88</f>
      </c>
      <c r="AA69" s="12">
        <f>'中国汇率&amp;期货（ln）'!AA69-'中国汇率&amp;期货（ln）'!AA88</f>
      </c>
      <c r="AB69" s="12">
        <f>'中国汇率&amp;期货（ln）'!AB69-'中国汇率&amp;期货（ln）'!AB88</f>
      </c>
      <c r="AC69" s="12">
        <f>'中国汇率&amp;期货（ln）'!AC69-'中国汇率&amp;期货（ln）'!AC88</f>
      </c>
      <c r="AD69" s="12">
        <f>'中国汇率&amp;期货（ln）'!AD69-'中国汇率&amp;期货（ln）'!AD88</f>
      </c>
      <c r="AE69" s="12">
        <f>'中国汇率&amp;期货（ln）'!AE69-'中国汇率&amp;期货（ln）'!AE88</f>
      </c>
      <c r="AF69" s="12">
        <f>'中国汇率&amp;期货（ln）'!AF69-'中国汇率&amp;期货（ln）'!AF88</f>
      </c>
      <c r="AG69" s="12">
        <f>'中国汇率&amp;期货（ln）'!AG69-'中国汇率&amp;期货（ln）'!AG88</f>
      </c>
      <c r="AH69" s="12">
        <f>'中国汇率&amp;期货（ln）'!AH69-'中国汇率&amp;期货（ln）'!AH88</f>
      </c>
      <c r="AI69" s="12">
        <f>'中国汇率&amp;期货（ln）'!AI69-'中国汇率&amp;期货（ln）'!AI88</f>
      </c>
      <c r="AJ69" s="12">
        <f>'中国汇率&amp;期货（ln）'!AJ69-'中国汇率&amp;期货（ln）'!AJ88</f>
      </c>
      <c r="AK69" s="12">
        <f>'中国汇率&amp;期货（ln）'!AK69-'中国汇率&amp;期货（ln）'!AK88</f>
      </c>
      <c r="AL69" s="12">
        <f>'中国汇率&amp;期货（ln）'!AL69-'中国汇率&amp;期货（ln）'!AL88</f>
      </c>
      <c r="AM69" s="12">
        <f>'中国汇率&amp;期货（ln）'!AM69-'中国汇率&amp;期货（ln）'!AM88</f>
      </c>
      <c r="AN69" s="12">
        <f>'中国汇率&amp;期货（ln）'!AN69-'中国汇率&amp;期货（ln）'!AN88</f>
      </c>
      <c r="AO69" s="12">
        <f>'中国汇率&amp;期货（ln）'!AO69-'中国汇率&amp;期货（ln）'!AO88</f>
      </c>
      <c r="AP69" s="12">
        <f>'中国汇率&amp;期货（ln）'!AP69-'中国汇率&amp;期货（ln）'!AP88</f>
      </c>
      <c r="AQ69" s="12">
        <f>'中国汇率&amp;期货（ln）'!AQ69-'中国汇率&amp;期货（ln）'!AQ88</f>
      </c>
      <c r="AR69" s="12">
        <f>'中国汇率&amp;期货（ln）'!AR69-'中国汇率&amp;期货（ln）'!AR88</f>
      </c>
      <c r="AS69" s="12">
        <f>'中国汇率&amp;期货（ln）'!AS69-'中国汇率&amp;期货（ln）'!AS88</f>
      </c>
      <c r="AT69" s="12">
        <f>'中国汇率&amp;期货（ln）'!AT69-'中国汇率&amp;期货（ln）'!AT88</f>
      </c>
      <c r="AU69" s="12">
        <f>'中国汇率&amp;期货（ln）'!AU69-'中国汇率&amp;期货（ln）'!AU88</f>
      </c>
      <c r="AV69" s="12">
        <f>'中国汇率&amp;期货（ln）'!AV69-'中国汇率&amp;期货（ln）'!AV88</f>
      </c>
      <c r="AW69" s="12">
        <f>'中国汇率&amp;期货（ln）'!AW69-'中国汇率&amp;期货（ln）'!AW88</f>
      </c>
      <c r="AX69" s="12">
        <f>'中国汇率&amp;期货（ln）'!AX69-'中国汇率&amp;期货（ln）'!AX88</f>
      </c>
      <c r="AY69" s="12">
        <f>'中国汇率&amp;期货（ln）'!AY69-'中国汇率&amp;期货（ln）'!AY88</f>
      </c>
      <c r="AZ69" s="12">
        <f>'中国汇率&amp;期货（ln）'!AZ69-'中国汇率&amp;期货（ln）'!AZ88</f>
      </c>
      <c r="BA69" s="12">
        <f>'中国汇率&amp;期货（ln）'!BA69-'中国汇率&amp;期货（ln）'!BA88</f>
      </c>
      <c r="BB69" s="12">
        <f>'中国汇率&amp;期货（ln）'!BB69-'中国汇率&amp;期货（ln）'!BB88</f>
      </c>
      <c r="BC69" s="12">
        <f>'中国汇率&amp;期货（ln）'!BC69-'中国汇率&amp;期货（ln）'!BC88</f>
      </c>
      <c r="BD69" s="12">
        <f>'中国汇率&amp;期货（ln）'!BD69-'中国汇率&amp;期货（ln）'!BD88</f>
      </c>
      <c r="BE69" s="12">
        <f>'中国汇率&amp;期货（ln）'!BE69-'中国汇率&amp;期货（ln）'!BE88</f>
      </c>
    </row>
    <row x14ac:dyDescent="0.25" r="70" customHeight="1" ht="18.75">
      <c r="A70" s="1"/>
      <c r="B70" s="12">
        <f>'中国汇率&amp;期货（ln）'!B70-'中国汇率&amp;期货（ln）'!B89</f>
      </c>
      <c r="C70" s="12">
        <f>'中国汇率&amp;期货（ln）'!C70-'中国汇率&amp;期货（ln）'!C89</f>
      </c>
      <c r="D70" s="12">
        <f>'中国汇率&amp;期货（ln）'!D70-'中国汇率&amp;期货（ln）'!D89</f>
      </c>
      <c r="E70" s="12">
        <f>'中国汇率&amp;期货（ln）'!E70-'中国汇率&amp;期货（ln）'!E89</f>
      </c>
      <c r="F70" s="12">
        <f>'中国汇率&amp;期货（ln）'!F70-'中国汇率&amp;期货（ln）'!F89</f>
      </c>
      <c r="G70" s="12">
        <f>'中国汇率&amp;期货（ln）'!G70-'中国汇率&amp;期货（ln）'!G89</f>
      </c>
      <c r="H70" s="12">
        <f>'中国汇率&amp;期货（ln）'!H70-'中国汇率&amp;期货（ln）'!H89</f>
      </c>
      <c r="I70" s="12">
        <f>'中国汇率&amp;期货（ln）'!I70-'中国汇率&amp;期货（ln）'!I89</f>
      </c>
      <c r="J70" s="12">
        <f>'中国汇率&amp;期货（ln）'!J70-'中国汇率&amp;期货（ln）'!J89</f>
      </c>
      <c r="K70" s="12">
        <f>'中国汇率&amp;期货（ln）'!K70-'中国汇率&amp;期货（ln）'!K89</f>
      </c>
      <c r="L70" s="12">
        <f>'中国汇率&amp;期货（ln）'!L70-'中国汇率&amp;期货（ln）'!L89</f>
      </c>
      <c r="M70" s="12">
        <f>'中国汇率&amp;期货（ln）'!M70-'中国汇率&amp;期货（ln）'!M89</f>
      </c>
      <c r="N70" s="12">
        <f>'中国汇率&amp;期货（ln）'!N70-'中国汇率&amp;期货（ln）'!N89</f>
      </c>
      <c r="O70" s="12">
        <f>'中国汇率&amp;期货（ln）'!O70-'中国汇率&amp;期货（ln）'!O89</f>
      </c>
      <c r="P70" s="12">
        <f>'中国汇率&amp;期货（ln）'!P70-'中国汇率&amp;期货（ln）'!P89</f>
      </c>
      <c r="Q70" s="12">
        <f>'中国汇率&amp;期货（ln）'!Q70-'中国汇率&amp;期货（ln）'!Q89</f>
      </c>
      <c r="R70" s="12">
        <f>'中国汇率&amp;期货（ln）'!R70-'中国汇率&amp;期货（ln）'!R89</f>
      </c>
      <c r="S70" s="12">
        <f>'中国汇率&amp;期货（ln）'!S70-'中国汇率&amp;期货（ln）'!S89</f>
      </c>
      <c r="T70" s="12">
        <f>'中国汇率&amp;期货（ln）'!T70-'中国汇率&amp;期货（ln）'!T89</f>
      </c>
      <c r="U70" s="12">
        <f>'中国汇率&amp;期货（ln）'!U70-'中国汇率&amp;期货（ln）'!U89</f>
      </c>
      <c r="V70" s="12">
        <f>'中国汇率&amp;期货（ln）'!V70-'中国汇率&amp;期货（ln）'!V89</f>
      </c>
      <c r="W70" s="12">
        <f>'中国汇率&amp;期货（ln）'!W70-'中国汇率&amp;期货（ln）'!W89</f>
      </c>
      <c r="X70" s="12">
        <f>'中国汇率&amp;期货（ln）'!X70-'中国汇率&amp;期货（ln）'!X89</f>
      </c>
      <c r="Y70" s="12">
        <f>'中国汇率&amp;期货（ln）'!Y70-'中国汇率&amp;期货（ln）'!Y89</f>
      </c>
      <c r="Z70" s="12">
        <f>'中国汇率&amp;期货（ln）'!Z70-'中国汇率&amp;期货（ln）'!Z89</f>
      </c>
      <c r="AA70" s="12">
        <f>'中国汇率&amp;期货（ln）'!AA70-'中国汇率&amp;期货（ln）'!AA89</f>
      </c>
      <c r="AB70" s="12">
        <f>'中国汇率&amp;期货（ln）'!AB70-'中国汇率&amp;期货（ln）'!AB89</f>
      </c>
      <c r="AC70" s="12">
        <f>'中国汇率&amp;期货（ln）'!AC70-'中国汇率&amp;期货（ln）'!AC89</f>
      </c>
      <c r="AD70" s="12">
        <f>'中国汇率&amp;期货（ln）'!AD70-'中国汇率&amp;期货（ln）'!AD89</f>
      </c>
      <c r="AE70" s="12">
        <f>'中国汇率&amp;期货（ln）'!AE70-'中国汇率&amp;期货（ln）'!AE89</f>
      </c>
      <c r="AF70" s="12">
        <f>'中国汇率&amp;期货（ln）'!AF70-'中国汇率&amp;期货（ln）'!AF89</f>
      </c>
      <c r="AG70" s="12">
        <f>'中国汇率&amp;期货（ln）'!AG70-'中国汇率&amp;期货（ln）'!AG89</f>
      </c>
      <c r="AH70" s="12">
        <f>'中国汇率&amp;期货（ln）'!AH70-'中国汇率&amp;期货（ln）'!AH89</f>
      </c>
      <c r="AI70" s="12">
        <f>'中国汇率&amp;期货（ln）'!AI70-'中国汇率&amp;期货（ln）'!AI89</f>
      </c>
      <c r="AJ70" s="12">
        <f>'中国汇率&amp;期货（ln）'!AJ70-'中国汇率&amp;期货（ln）'!AJ89</f>
      </c>
      <c r="AK70" s="12">
        <f>'中国汇率&amp;期货（ln）'!AK70-'中国汇率&amp;期货（ln）'!AK89</f>
      </c>
      <c r="AL70" s="12">
        <f>'中国汇率&amp;期货（ln）'!AL70-'中国汇率&amp;期货（ln）'!AL89</f>
      </c>
      <c r="AM70" s="12">
        <f>'中国汇率&amp;期货（ln）'!AM70-'中国汇率&amp;期货（ln）'!AM89</f>
      </c>
      <c r="AN70" s="12">
        <f>'中国汇率&amp;期货（ln）'!AN70-'中国汇率&amp;期货（ln）'!AN89</f>
      </c>
      <c r="AO70" s="12">
        <f>'中国汇率&amp;期货（ln）'!AO70-'中国汇率&amp;期货（ln）'!AO89</f>
      </c>
      <c r="AP70" s="12">
        <f>'中国汇率&amp;期货（ln）'!AP70-'中国汇率&amp;期货（ln）'!AP89</f>
      </c>
      <c r="AQ70" s="12">
        <f>'中国汇率&amp;期货（ln）'!AQ70-'中国汇率&amp;期货（ln）'!AQ89</f>
      </c>
      <c r="AR70" s="12">
        <f>'中国汇率&amp;期货（ln）'!AR70-'中国汇率&amp;期货（ln）'!AR89</f>
      </c>
      <c r="AS70" s="12">
        <f>'中国汇率&amp;期货（ln）'!AS70-'中国汇率&amp;期货（ln）'!AS89</f>
      </c>
      <c r="AT70" s="12">
        <f>'中国汇率&amp;期货（ln）'!AT70-'中国汇率&amp;期货（ln）'!AT89</f>
      </c>
      <c r="AU70" s="12">
        <f>'中国汇率&amp;期货（ln）'!AU70-'中国汇率&amp;期货（ln）'!AU89</f>
      </c>
      <c r="AV70" s="12">
        <f>'中国汇率&amp;期货（ln）'!AV70-'中国汇率&amp;期货（ln）'!AV89</f>
      </c>
      <c r="AW70" s="12">
        <f>'中国汇率&amp;期货（ln）'!AW70-'中国汇率&amp;期货（ln）'!AW89</f>
      </c>
      <c r="AX70" s="12">
        <f>'中国汇率&amp;期货（ln）'!AX70-'中国汇率&amp;期货（ln）'!AX89</f>
      </c>
      <c r="AY70" s="12">
        <f>'中国汇率&amp;期货（ln）'!AY70-'中国汇率&amp;期货（ln）'!AY89</f>
      </c>
      <c r="AZ70" s="12">
        <f>'中国汇率&amp;期货（ln）'!AZ70-'中国汇率&amp;期货（ln）'!AZ89</f>
      </c>
      <c r="BA70" s="12">
        <f>'中国汇率&amp;期货（ln）'!BA70-'中国汇率&amp;期货（ln）'!BA89</f>
      </c>
      <c r="BB70" s="12">
        <f>'中国汇率&amp;期货（ln）'!BB70-'中国汇率&amp;期货（ln）'!BB89</f>
      </c>
      <c r="BC70" s="12">
        <f>'中国汇率&amp;期货（ln）'!BC70-'中国汇率&amp;期货（ln）'!BC89</f>
      </c>
      <c r="BD70" s="12">
        <f>'中国汇率&amp;期货（ln）'!BD70-'中国汇率&amp;期货（ln）'!BD89</f>
      </c>
      <c r="BE70" s="12">
        <f>'中国汇率&amp;期货（ln）'!BE70-'中国汇率&amp;期货（ln）'!BE89</f>
      </c>
    </row>
    <row x14ac:dyDescent="0.25" r="71" customHeight="1" ht="18.75">
      <c r="A71" s="1"/>
      <c r="B71" s="12">
        <f>'中国汇率&amp;期货（ln）'!B71-'中国汇率&amp;期货（ln）'!B90</f>
      </c>
      <c r="C71" s="12">
        <f>'中国汇率&amp;期货（ln）'!C71-'中国汇率&amp;期货（ln）'!C90</f>
      </c>
      <c r="D71" s="12">
        <f>'中国汇率&amp;期货（ln）'!D71-'中国汇率&amp;期货（ln）'!D90</f>
      </c>
      <c r="E71" s="12">
        <f>'中国汇率&amp;期货（ln）'!E71-'中国汇率&amp;期货（ln）'!E90</f>
      </c>
      <c r="F71" s="12">
        <f>'中国汇率&amp;期货（ln）'!F71-'中国汇率&amp;期货（ln）'!F90</f>
      </c>
      <c r="G71" s="12">
        <f>'中国汇率&amp;期货（ln）'!G71-'中国汇率&amp;期货（ln）'!G90</f>
      </c>
      <c r="H71" s="12">
        <f>'中国汇率&amp;期货（ln）'!H71-'中国汇率&amp;期货（ln）'!H90</f>
      </c>
      <c r="I71" s="12">
        <f>'中国汇率&amp;期货（ln）'!I71-'中国汇率&amp;期货（ln）'!I90</f>
      </c>
      <c r="J71" s="12">
        <f>'中国汇率&amp;期货（ln）'!J71-'中国汇率&amp;期货（ln）'!J90</f>
      </c>
      <c r="K71" s="12">
        <f>'中国汇率&amp;期货（ln）'!K71-'中国汇率&amp;期货（ln）'!K90</f>
      </c>
      <c r="L71" s="12">
        <f>'中国汇率&amp;期货（ln）'!L71-'中国汇率&amp;期货（ln）'!L90</f>
      </c>
      <c r="M71" s="12">
        <f>'中国汇率&amp;期货（ln）'!M71-'中国汇率&amp;期货（ln）'!M90</f>
      </c>
      <c r="N71" s="12">
        <f>'中国汇率&amp;期货（ln）'!N71-'中国汇率&amp;期货（ln）'!N90</f>
      </c>
      <c r="O71" s="12">
        <f>'中国汇率&amp;期货（ln）'!O71-'中国汇率&amp;期货（ln）'!O90</f>
      </c>
      <c r="P71" s="12">
        <f>'中国汇率&amp;期货（ln）'!P71-'中国汇率&amp;期货（ln）'!P90</f>
      </c>
      <c r="Q71" s="12">
        <f>'中国汇率&amp;期货（ln）'!Q71-'中国汇率&amp;期货（ln）'!Q90</f>
      </c>
      <c r="R71" s="12">
        <f>'中国汇率&amp;期货（ln）'!R71-'中国汇率&amp;期货（ln）'!R90</f>
      </c>
      <c r="S71" s="12">
        <f>'中国汇率&amp;期货（ln）'!S71-'中国汇率&amp;期货（ln）'!S90</f>
      </c>
      <c r="T71" s="12">
        <f>'中国汇率&amp;期货（ln）'!T71-'中国汇率&amp;期货（ln）'!T90</f>
      </c>
      <c r="U71" s="12">
        <f>'中国汇率&amp;期货（ln）'!U71-'中国汇率&amp;期货（ln）'!U90</f>
      </c>
      <c r="V71" s="12">
        <f>'中国汇率&amp;期货（ln）'!V71-'中国汇率&amp;期货（ln）'!V90</f>
      </c>
      <c r="W71" s="12">
        <f>'中国汇率&amp;期货（ln）'!W71-'中国汇率&amp;期货（ln）'!W90</f>
      </c>
      <c r="X71" s="12">
        <f>'中国汇率&amp;期货（ln）'!X71-'中国汇率&amp;期货（ln）'!X90</f>
      </c>
      <c r="Y71" s="12">
        <f>'中国汇率&amp;期货（ln）'!Y71-'中国汇率&amp;期货（ln）'!Y90</f>
      </c>
      <c r="Z71" s="12">
        <f>'中国汇率&amp;期货（ln）'!Z71-'中国汇率&amp;期货（ln）'!Z90</f>
      </c>
      <c r="AA71" s="12">
        <f>'中国汇率&amp;期货（ln）'!AA71-'中国汇率&amp;期货（ln）'!AA90</f>
      </c>
      <c r="AB71" s="12">
        <f>'中国汇率&amp;期货（ln）'!AB71-'中国汇率&amp;期货（ln）'!AB90</f>
      </c>
      <c r="AC71" s="12">
        <f>'中国汇率&amp;期货（ln）'!AC71-'中国汇率&amp;期货（ln）'!AC90</f>
      </c>
      <c r="AD71" s="12">
        <f>'中国汇率&amp;期货（ln）'!AD71-'中国汇率&amp;期货（ln）'!AD90</f>
      </c>
      <c r="AE71" s="12">
        <f>'中国汇率&amp;期货（ln）'!AE71-'中国汇率&amp;期货（ln）'!AE90</f>
      </c>
      <c r="AF71" s="12">
        <f>'中国汇率&amp;期货（ln）'!AF71-'中国汇率&amp;期货（ln）'!AF90</f>
      </c>
      <c r="AG71" s="12">
        <f>'中国汇率&amp;期货（ln）'!AG71-'中国汇率&amp;期货（ln）'!AG90</f>
      </c>
      <c r="AH71" s="12">
        <f>'中国汇率&amp;期货（ln）'!AH71-'中国汇率&amp;期货（ln）'!AH90</f>
      </c>
      <c r="AI71" s="12">
        <f>'中国汇率&amp;期货（ln）'!AI71-'中国汇率&amp;期货（ln）'!AI90</f>
      </c>
      <c r="AJ71" s="12">
        <f>'中国汇率&amp;期货（ln）'!AJ71-'中国汇率&amp;期货（ln）'!AJ90</f>
      </c>
      <c r="AK71" s="12">
        <f>'中国汇率&amp;期货（ln）'!AK71-'中国汇率&amp;期货（ln）'!AK90</f>
      </c>
      <c r="AL71" s="12">
        <f>'中国汇率&amp;期货（ln）'!AL71-'中国汇率&amp;期货（ln）'!AL90</f>
      </c>
      <c r="AM71" s="12">
        <f>'中国汇率&amp;期货（ln）'!AM71-'中国汇率&amp;期货（ln）'!AM90</f>
      </c>
      <c r="AN71" s="12">
        <f>'中国汇率&amp;期货（ln）'!AN71-'中国汇率&amp;期货（ln）'!AN90</f>
      </c>
      <c r="AO71" s="12">
        <f>'中国汇率&amp;期货（ln）'!AO71-'中国汇率&amp;期货（ln）'!AO90</f>
      </c>
      <c r="AP71" s="12">
        <f>'中国汇率&amp;期货（ln）'!AP71-'中国汇率&amp;期货（ln）'!AP90</f>
      </c>
      <c r="AQ71" s="12">
        <f>'中国汇率&amp;期货（ln）'!AQ71-'中国汇率&amp;期货（ln）'!AQ90</f>
      </c>
      <c r="AR71" s="12">
        <f>'中国汇率&amp;期货（ln）'!AR71-'中国汇率&amp;期货（ln）'!AR90</f>
      </c>
      <c r="AS71" s="12">
        <f>'中国汇率&amp;期货（ln）'!AS71-'中国汇率&amp;期货（ln）'!AS90</f>
      </c>
      <c r="AT71" s="12">
        <f>'中国汇率&amp;期货（ln）'!AT71-'中国汇率&amp;期货（ln）'!AT90</f>
      </c>
      <c r="AU71" s="12">
        <f>'中国汇率&amp;期货（ln）'!AU71-'中国汇率&amp;期货（ln）'!AU90</f>
      </c>
      <c r="AV71" s="12">
        <f>'中国汇率&amp;期货（ln）'!AV71-'中国汇率&amp;期货（ln）'!AV90</f>
      </c>
      <c r="AW71" s="12">
        <f>'中国汇率&amp;期货（ln）'!AW71-'中国汇率&amp;期货（ln）'!AW90</f>
      </c>
      <c r="AX71" s="12">
        <f>'中国汇率&amp;期货（ln）'!AX71-'中国汇率&amp;期货（ln）'!AX90</f>
      </c>
      <c r="AY71" s="12">
        <f>'中国汇率&amp;期货（ln）'!AY71-'中国汇率&amp;期货（ln）'!AY90</f>
      </c>
      <c r="AZ71" s="12">
        <f>'中国汇率&amp;期货（ln）'!AZ71-'中国汇率&amp;期货（ln）'!AZ90</f>
      </c>
      <c r="BA71" s="12">
        <f>'中国汇率&amp;期货（ln）'!BA71-'中国汇率&amp;期货（ln）'!BA90</f>
      </c>
      <c r="BB71" s="12">
        <f>'中国汇率&amp;期货（ln）'!BB71-'中国汇率&amp;期货（ln）'!BB90</f>
      </c>
      <c r="BC71" s="12">
        <f>'中国汇率&amp;期货（ln）'!BC71-'中国汇率&amp;期货（ln）'!BC90</f>
      </c>
      <c r="BD71" s="12">
        <f>'中国汇率&amp;期货（ln）'!BD71-'中国汇率&amp;期货（ln）'!BD90</f>
      </c>
      <c r="BE71" s="12">
        <f>'中国汇率&amp;期货（ln）'!BE71-'中国汇率&amp;期货（ln）'!BE90</f>
      </c>
    </row>
    <row x14ac:dyDescent="0.25" r="72" customHeight="1" ht="18.75">
      <c r="A72" s="1"/>
      <c r="B72" s="12">
        <f>'中国汇率&amp;期货（ln）'!B72-'中国汇率&amp;期货（ln）'!B91</f>
      </c>
      <c r="C72" s="12">
        <f>'中国汇率&amp;期货（ln）'!C72-'中国汇率&amp;期货（ln）'!C91</f>
      </c>
      <c r="D72" s="12">
        <f>'中国汇率&amp;期货（ln）'!D72-'中国汇率&amp;期货（ln）'!D91</f>
      </c>
      <c r="E72" s="12">
        <f>'中国汇率&amp;期货（ln）'!E72-'中国汇率&amp;期货（ln）'!E91</f>
      </c>
      <c r="F72" s="12">
        <f>'中国汇率&amp;期货（ln）'!F72-'中国汇率&amp;期货（ln）'!F91</f>
      </c>
      <c r="G72" s="12">
        <f>'中国汇率&amp;期货（ln）'!G72-'中国汇率&amp;期货（ln）'!G91</f>
      </c>
      <c r="H72" s="12">
        <f>'中国汇率&amp;期货（ln）'!H72-'中国汇率&amp;期货（ln）'!H91</f>
      </c>
      <c r="I72" s="12">
        <f>'中国汇率&amp;期货（ln）'!I72-'中国汇率&amp;期货（ln）'!I91</f>
      </c>
      <c r="J72" s="12">
        <f>'中国汇率&amp;期货（ln）'!J72-'中国汇率&amp;期货（ln）'!J91</f>
      </c>
      <c r="K72" s="12">
        <f>'中国汇率&amp;期货（ln）'!K72-'中国汇率&amp;期货（ln）'!K91</f>
      </c>
      <c r="L72" s="12">
        <f>'中国汇率&amp;期货（ln）'!L72-'中国汇率&amp;期货（ln）'!L91</f>
      </c>
      <c r="M72" s="12">
        <f>'中国汇率&amp;期货（ln）'!M72-'中国汇率&amp;期货（ln）'!M91</f>
      </c>
      <c r="N72" s="12">
        <f>'中国汇率&amp;期货（ln）'!N72-'中国汇率&amp;期货（ln）'!N91</f>
      </c>
      <c r="O72" s="12">
        <f>'中国汇率&amp;期货（ln）'!O72-'中国汇率&amp;期货（ln）'!O91</f>
      </c>
      <c r="P72" s="12">
        <f>'中国汇率&amp;期货（ln）'!P72-'中国汇率&amp;期货（ln）'!P91</f>
      </c>
      <c r="Q72" s="12">
        <f>'中国汇率&amp;期货（ln）'!Q72-'中国汇率&amp;期货（ln）'!Q91</f>
      </c>
      <c r="R72" s="12">
        <f>'中国汇率&amp;期货（ln）'!R72-'中国汇率&amp;期货（ln）'!R91</f>
      </c>
      <c r="S72" s="12">
        <f>'中国汇率&amp;期货（ln）'!S72-'中国汇率&amp;期货（ln）'!S91</f>
      </c>
      <c r="T72" s="12">
        <f>'中国汇率&amp;期货（ln）'!T72-'中国汇率&amp;期货（ln）'!T91</f>
      </c>
      <c r="U72" s="12">
        <f>'中国汇率&amp;期货（ln）'!U72-'中国汇率&amp;期货（ln）'!U91</f>
      </c>
      <c r="V72" s="12">
        <f>'中国汇率&amp;期货（ln）'!V72-'中国汇率&amp;期货（ln）'!V91</f>
      </c>
      <c r="W72" s="12">
        <f>'中国汇率&amp;期货（ln）'!W72-'中国汇率&amp;期货（ln）'!W91</f>
      </c>
      <c r="X72" s="12">
        <f>'中国汇率&amp;期货（ln）'!X72-'中国汇率&amp;期货（ln）'!X91</f>
      </c>
      <c r="Y72" s="12">
        <f>'中国汇率&amp;期货（ln）'!Y72-'中国汇率&amp;期货（ln）'!Y91</f>
      </c>
      <c r="Z72" s="12">
        <f>'中国汇率&amp;期货（ln）'!Z72-'中国汇率&amp;期货（ln）'!Z91</f>
      </c>
      <c r="AA72" s="12">
        <f>'中国汇率&amp;期货（ln）'!AA72-'中国汇率&amp;期货（ln）'!AA91</f>
      </c>
      <c r="AB72" s="12">
        <f>'中国汇率&amp;期货（ln）'!AB72-'中国汇率&amp;期货（ln）'!AB91</f>
      </c>
      <c r="AC72" s="12">
        <f>'中国汇率&amp;期货（ln）'!AC72-'中国汇率&amp;期货（ln）'!AC91</f>
      </c>
      <c r="AD72" s="12">
        <f>'中国汇率&amp;期货（ln）'!AD72-'中国汇率&amp;期货（ln）'!AD91</f>
      </c>
      <c r="AE72" s="12">
        <f>'中国汇率&amp;期货（ln）'!AE72-'中国汇率&amp;期货（ln）'!AE91</f>
      </c>
      <c r="AF72" s="12">
        <f>'中国汇率&amp;期货（ln）'!AF72-'中国汇率&amp;期货（ln）'!AF91</f>
      </c>
      <c r="AG72" s="12">
        <f>'中国汇率&amp;期货（ln）'!AG72-'中国汇率&amp;期货（ln）'!AG91</f>
      </c>
      <c r="AH72" s="12">
        <f>'中国汇率&amp;期货（ln）'!AH72-'中国汇率&amp;期货（ln）'!AH91</f>
      </c>
      <c r="AI72" s="12">
        <f>'中国汇率&amp;期货（ln）'!AI72-'中国汇率&amp;期货（ln）'!AI91</f>
      </c>
      <c r="AJ72" s="12">
        <f>'中国汇率&amp;期货（ln）'!AJ72-'中国汇率&amp;期货（ln）'!AJ91</f>
      </c>
      <c r="AK72" s="12">
        <f>'中国汇率&amp;期货（ln）'!AK72-'中国汇率&amp;期货（ln）'!AK91</f>
      </c>
      <c r="AL72" s="12">
        <f>'中国汇率&amp;期货（ln）'!AL72-'中国汇率&amp;期货（ln）'!AL91</f>
      </c>
      <c r="AM72" s="12">
        <f>'中国汇率&amp;期货（ln）'!AM72-'中国汇率&amp;期货（ln）'!AM91</f>
      </c>
      <c r="AN72" s="12">
        <f>'中国汇率&amp;期货（ln）'!AN72-'中国汇率&amp;期货（ln）'!AN91</f>
      </c>
      <c r="AO72" s="12">
        <f>'中国汇率&amp;期货（ln）'!AO72-'中国汇率&amp;期货（ln）'!AO91</f>
      </c>
      <c r="AP72" s="12">
        <f>'中国汇率&amp;期货（ln）'!AP72-'中国汇率&amp;期货（ln）'!AP91</f>
      </c>
      <c r="AQ72" s="12">
        <f>'中国汇率&amp;期货（ln）'!AQ72-'中国汇率&amp;期货（ln）'!AQ91</f>
      </c>
      <c r="AR72" s="12">
        <f>'中国汇率&amp;期货（ln）'!AR72-'中国汇率&amp;期货（ln）'!AR91</f>
      </c>
      <c r="AS72" s="12">
        <f>'中国汇率&amp;期货（ln）'!AS72-'中国汇率&amp;期货（ln）'!AS91</f>
      </c>
      <c r="AT72" s="12">
        <f>'中国汇率&amp;期货（ln）'!AT72-'中国汇率&amp;期货（ln）'!AT91</f>
      </c>
      <c r="AU72" s="12">
        <f>'中国汇率&amp;期货（ln）'!AU72-'中国汇率&amp;期货（ln）'!AU91</f>
      </c>
      <c r="AV72" s="12">
        <f>'中国汇率&amp;期货（ln）'!AV72-'中国汇率&amp;期货（ln）'!AV91</f>
      </c>
      <c r="AW72" s="12">
        <f>'中国汇率&amp;期货（ln）'!AW72-'中国汇率&amp;期货（ln）'!AW91</f>
      </c>
      <c r="AX72" s="12">
        <f>'中国汇率&amp;期货（ln）'!AX72-'中国汇率&amp;期货（ln）'!AX91</f>
      </c>
      <c r="AY72" s="12">
        <f>'中国汇率&amp;期货（ln）'!AY72-'中国汇率&amp;期货（ln）'!AY91</f>
      </c>
      <c r="AZ72" s="12">
        <f>'中国汇率&amp;期货（ln）'!AZ72-'中国汇率&amp;期货（ln）'!AZ91</f>
      </c>
      <c r="BA72" s="12">
        <f>'中国汇率&amp;期货（ln）'!BA72-'中国汇率&amp;期货（ln）'!BA91</f>
      </c>
      <c r="BB72" s="12">
        <f>'中国汇率&amp;期货（ln）'!BB72-'中国汇率&amp;期货（ln）'!BB91</f>
      </c>
      <c r="BC72" s="12">
        <f>'中国汇率&amp;期货（ln）'!BC72-'中国汇率&amp;期货（ln）'!BC91</f>
      </c>
      <c r="BD72" s="12">
        <f>'中国汇率&amp;期货（ln）'!BD72-'中国汇率&amp;期货（ln）'!BD91</f>
      </c>
      <c r="BE72" s="12">
        <f>'中国汇率&amp;期货（ln）'!BE72-'中国汇率&amp;期货（ln）'!BE91</f>
      </c>
    </row>
    <row x14ac:dyDescent="0.25" r="73" customHeight="1" ht="18.75">
      <c r="A73" s="1"/>
      <c r="B73" s="12">
        <f>'中国汇率&amp;期货（ln）'!B73-'中国汇率&amp;期货（ln）'!B92</f>
      </c>
      <c r="C73" s="12">
        <f>'中国汇率&amp;期货（ln）'!C73-'中国汇率&amp;期货（ln）'!C92</f>
      </c>
      <c r="D73" s="12">
        <f>'中国汇率&amp;期货（ln）'!D73-'中国汇率&amp;期货（ln）'!D92</f>
      </c>
      <c r="E73" s="12">
        <f>'中国汇率&amp;期货（ln）'!E73-'中国汇率&amp;期货（ln）'!E92</f>
      </c>
      <c r="F73" s="12">
        <f>'中国汇率&amp;期货（ln）'!F73-'中国汇率&amp;期货（ln）'!F92</f>
      </c>
      <c r="G73" s="12">
        <f>'中国汇率&amp;期货（ln）'!G73-'中国汇率&amp;期货（ln）'!G92</f>
      </c>
      <c r="H73" s="12">
        <f>'中国汇率&amp;期货（ln）'!H73-'中国汇率&amp;期货（ln）'!H92</f>
      </c>
      <c r="I73" s="12">
        <f>'中国汇率&amp;期货（ln）'!I73-'中国汇率&amp;期货（ln）'!I92</f>
      </c>
      <c r="J73" s="12">
        <f>'中国汇率&amp;期货（ln）'!J73-'中国汇率&amp;期货（ln）'!J92</f>
      </c>
      <c r="K73" s="12">
        <f>'中国汇率&amp;期货（ln）'!K73-'中国汇率&amp;期货（ln）'!K92</f>
      </c>
      <c r="L73" s="12">
        <f>'中国汇率&amp;期货（ln）'!L73-'中国汇率&amp;期货（ln）'!L92</f>
      </c>
      <c r="M73" s="12">
        <f>'中国汇率&amp;期货（ln）'!M73-'中国汇率&amp;期货（ln）'!M92</f>
      </c>
      <c r="N73" s="12">
        <f>'中国汇率&amp;期货（ln）'!N73-'中国汇率&amp;期货（ln）'!N92</f>
      </c>
      <c r="O73" s="12">
        <f>'中国汇率&amp;期货（ln）'!O73-'中国汇率&amp;期货（ln）'!O92</f>
      </c>
      <c r="P73" s="12">
        <f>'中国汇率&amp;期货（ln）'!P73-'中国汇率&amp;期货（ln）'!P92</f>
      </c>
      <c r="Q73" s="12">
        <f>'中国汇率&amp;期货（ln）'!Q73-'中国汇率&amp;期货（ln）'!Q92</f>
      </c>
      <c r="R73" s="12">
        <f>'中国汇率&amp;期货（ln）'!R73-'中国汇率&amp;期货（ln）'!R92</f>
      </c>
      <c r="S73" s="12">
        <f>'中国汇率&amp;期货（ln）'!S73-'中国汇率&amp;期货（ln）'!S92</f>
      </c>
      <c r="T73" s="12">
        <f>'中国汇率&amp;期货（ln）'!T73-'中国汇率&amp;期货（ln）'!T92</f>
      </c>
      <c r="U73" s="12">
        <f>'中国汇率&amp;期货（ln）'!U73-'中国汇率&amp;期货（ln）'!U92</f>
      </c>
      <c r="V73" s="12">
        <f>'中国汇率&amp;期货（ln）'!V73-'中国汇率&amp;期货（ln）'!V92</f>
      </c>
      <c r="W73" s="12">
        <f>'中国汇率&amp;期货（ln）'!W73-'中国汇率&amp;期货（ln）'!W92</f>
      </c>
      <c r="X73" s="12">
        <f>'中国汇率&amp;期货（ln）'!X73-'中国汇率&amp;期货（ln）'!X92</f>
      </c>
      <c r="Y73" s="12">
        <f>'中国汇率&amp;期货（ln）'!Y73-'中国汇率&amp;期货（ln）'!Y92</f>
      </c>
      <c r="Z73" s="12">
        <f>'中国汇率&amp;期货（ln）'!Z73-'中国汇率&amp;期货（ln）'!Z92</f>
      </c>
      <c r="AA73" s="12">
        <f>'中国汇率&amp;期货（ln）'!AA73-'中国汇率&amp;期货（ln）'!AA92</f>
      </c>
      <c r="AB73" s="12">
        <f>'中国汇率&amp;期货（ln）'!AB73-'中国汇率&amp;期货（ln）'!AB92</f>
      </c>
      <c r="AC73" s="12">
        <f>'中国汇率&amp;期货（ln）'!AC73-'中国汇率&amp;期货（ln）'!AC92</f>
      </c>
      <c r="AD73" s="12">
        <f>'中国汇率&amp;期货（ln）'!AD73-'中国汇率&amp;期货（ln）'!AD92</f>
      </c>
      <c r="AE73" s="12">
        <f>'中国汇率&amp;期货（ln）'!AE73-'中国汇率&amp;期货（ln）'!AE92</f>
      </c>
      <c r="AF73" s="12">
        <f>'中国汇率&amp;期货（ln）'!AF73-'中国汇率&amp;期货（ln）'!AF92</f>
      </c>
      <c r="AG73" s="12">
        <f>'中国汇率&amp;期货（ln）'!AG73-'中国汇率&amp;期货（ln）'!AG92</f>
      </c>
      <c r="AH73" s="12">
        <f>'中国汇率&amp;期货（ln）'!AH73-'中国汇率&amp;期货（ln）'!AH92</f>
      </c>
      <c r="AI73" s="12">
        <f>'中国汇率&amp;期货（ln）'!AI73-'中国汇率&amp;期货（ln）'!AI92</f>
      </c>
      <c r="AJ73" s="12">
        <f>'中国汇率&amp;期货（ln）'!AJ73-'中国汇率&amp;期货（ln）'!AJ92</f>
      </c>
      <c r="AK73" s="12">
        <f>'中国汇率&amp;期货（ln）'!AK73-'中国汇率&amp;期货（ln）'!AK92</f>
      </c>
      <c r="AL73" s="12">
        <f>'中国汇率&amp;期货（ln）'!AL73-'中国汇率&amp;期货（ln）'!AL92</f>
      </c>
      <c r="AM73" s="12">
        <f>'中国汇率&amp;期货（ln）'!AM73-'中国汇率&amp;期货（ln）'!AM92</f>
      </c>
      <c r="AN73" s="12">
        <f>'中国汇率&amp;期货（ln）'!AN73-'中国汇率&amp;期货（ln）'!AN92</f>
      </c>
      <c r="AO73" s="12">
        <f>'中国汇率&amp;期货（ln）'!AO73-'中国汇率&amp;期货（ln）'!AO92</f>
      </c>
      <c r="AP73" s="12">
        <f>'中国汇率&amp;期货（ln）'!AP73-'中国汇率&amp;期货（ln）'!AP92</f>
      </c>
      <c r="AQ73" s="12">
        <f>'中国汇率&amp;期货（ln）'!AQ73-'中国汇率&amp;期货（ln）'!AQ92</f>
      </c>
      <c r="AR73" s="12">
        <f>'中国汇率&amp;期货（ln）'!AR73-'中国汇率&amp;期货（ln）'!AR92</f>
      </c>
      <c r="AS73" s="12">
        <f>'中国汇率&amp;期货（ln）'!AS73-'中国汇率&amp;期货（ln）'!AS92</f>
      </c>
      <c r="AT73" s="12">
        <f>'中国汇率&amp;期货（ln）'!AT73-'中国汇率&amp;期货（ln）'!AT92</f>
      </c>
      <c r="AU73" s="12">
        <f>'中国汇率&amp;期货（ln）'!AU73-'中国汇率&amp;期货（ln）'!AU92</f>
      </c>
      <c r="AV73" s="12">
        <f>'中国汇率&amp;期货（ln）'!AV73-'中国汇率&amp;期货（ln）'!AV92</f>
      </c>
      <c r="AW73" s="12">
        <f>'中国汇率&amp;期货（ln）'!AW73-'中国汇率&amp;期货（ln）'!AW92</f>
      </c>
      <c r="AX73" s="12">
        <f>'中国汇率&amp;期货（ln）'!AX73-'中国汇率&amp;期货（ln）'!AX92</f>
      </c>
      <c r="AY73" s="12">
        <f>'中国汇率&amp;期货（ln）'!AY73-'中国汇率&amp;期货（ln）'!AY92</f>
      </c>
      <c r="AZ73" s="12">
        <f>'中国汇率&amp;期货（ln）'!AZ73-'中国汇率&amp;期货（ln）'!AZ92</f>
      </c>
      <c r="BA73" s="12">
        <f>'中国汇率&amp;期货（ln）'!BA73-'中国汇率&amp;期货（ln）'!BA92</f>
      </c>
      <c r="BB73" s="12">
        <f>'中国汇率&amp;期货（ln）'!BB73-'中国汇率&amp;期货（ln）'!BB92</f>
      </c>
      <c r="BC73" s="12">
        <f>'中国汇率&amp;期货（ln）'!BC73-'中国汇率&amp;期货（ln）'!BC92</f>
      </c>
      <c r="BD73" s="12">
        <f>'中国汇率&amp;期货（ln）'!BD73-'中国汇率&amp;期货（ln）'!BD92</f>
      </c>
      <c r="BE73" s="12">
        <f>'中国汇率&amp;期货（ln）'!BE73-'中国汇率&amp;期货（ln）'!BE92</f>
      </c>
    </row>
    <row x14ac:dyDescent="0.25" r="74" customHeight="1" ht="18.75">
      <c r="A74" s="1"/>
      <c r="B74" s="12">
        <f>'中国汇率&amp;期货（ln）'!B74-'中国汇率&amp;期货（ln）'!B93</f>
      </c>
      <c r="C74" s="12">
        <f>'中国汇率&amp;期货（ln）'!C74-'中国汇率&amp;期货（ln）'!C93</f>
      </c>
      <c r="D74" s="12">
        <f>'中国汇率&amp;期货（ln）'!D74-'中国汇率&amp;期货（ln）'!D93</f>
      </c>
      <c r="E74" s="12">
        <f>'中国汇率&amp;期货（ln）'!E74-'中国汇率&amp;期货（ln）'!E93</f>
      </c>
      <c r="F74" s="12">
        <f>'中国汇率&amp;期货（ln）'!F74-'中国汇率&amp;期货（ln）'!F93</f>
      </c>
      <c r="G74" s="12">
        <f>'中国汇率&amp;期货（ln）'!G74-'中国汇率&amp;期货（ln）'!G93</f>
      </c>
      <c r="H74" s="12">
        <f>'中国汇率&amp;期货（ln）'!H74-'中国汇率&amp;期货（ln）'!H93</f>
      </c>
      <c r="I74" s="12">
        <f>'中国汇率&amp;期货（ln）'!I74-'中国汇率&amp;期货（ln）'!I93</f>
      </c>
      <c r="J74" s="12">
        <f>'中国汇率&amp;期货（ln）'!J74-'中国汇率&amp;期货（ln）'!J93</f>
      </c>
      <c r="K74" s="12">
        <f>'中国汇率&amp;期货（ln）'!K74-'中国汇率&amp;期货（ln）'!K93</f>
      </c>
      <c r="L74" s="12">
        <f>'中国汇率&amp;期货（ln）'!L74-'中国汇率&amp;期货（ln）'!L93</f>
      </c>
      <c r="M74" s="12">
        <f>'中国汇率&amp;期货（ln）'!M74-'中国汇率&amp;期货（ln）'!M93</f>
      </c>
      <c r="N74" s="12">
        <f>'中国汇率&amp;期货（ln）'!N74-'中国汇率&amp;期货（ln）'!N93</f>
      </c>
      <c r="O74" s="12">
        <f>'中国汇率&amp;期货（ln）'!O74-'中国汇率&amp;期货（ln）'!O93</f>
      </c>
      <c r="P74" s="12">
        <f>'中国汇率&amp;期货（ln）'!P74-'中国汇率&amp;期货（ln）'!P93</f>
      </c>
      <c r="Q74" s="12">
        <f>'中国汇率&amp;期货（ln）'!Q74-'中国汇率&amp;期货（ln）'!Q93</f>
      </c>
      <c r="R74" s="12">
        <f>'中国汇率&amp;期货（ln）'!R74-'中国汇率&amp;期货（ln）'!R93</f>
      </c>
      <c r="S74" s="12">
        <f>'中国汇率&amp;期货（ln）'!S74-'中国汇率&amp;期货（ln）'!S93</f>
      </c>
      <c r="T74" s="12">
        <f>'中国汇率&amp;期货（ln）'!T74-'中国汇率&amp;期货（ln）'!T93</f>
      </c>
      <c r="U74" s="12">
        <f>'中国汇率&amp;期货（ln）'!U74-'中国汇率&amp;期货（ln）'!U93</f>
      </c>
      <c r="V74" s="12">
        <f>'中国汇率&amp;期货（ln）'!V74-'中国汇率&amp;期货（ln）'!V93</f>
      </c>
      <c r="W74" s="12">
        <f>'中国汇率&amp;期货（ln）'!W74-'中国汇率&amp;期货（ln）'!W93</f>
      </c>
      <c r="X74" s="12">
        <f>'中国汇率&amp;期货（ln）'!X74-'中国汇率&amp;期货（ln）'!X93</f>
      </c>
      <c r="Y74" s="12">
        <f>'中国汇率&amp;期货（ln）'!Y74-'中国汇率&amp;期货（ln）'!Y93</f>
      </c>
      <c r="Z74" s="12">
        <f>'中国汇率&amp;期货（ln）'!Z74-'中国汇率&amp;期货（ln）'!Z93</f>
      </c>
      <c r="AA74" s="12">
        <f>'中国汇率&amp;期货（ln）'!AA74-'中国汇率&amp;期货（ln）'!AA93</f>
      </c>
      <c r="AB74" s="12">
        <f>'中国汇率&amp;期货（ln）'!AB74-'中国汇率&amp;期货（ln）'!AB93</f>
      </c>
      <c r="AC74" s="12">
        <f>'中国汇率&amp;期货（ln）'!AC74-'中国汇率&amp;期货（ln）'!AC93</f>
      </c>
      <c r="AD74" s="12">
        <f>'中国汇率&amp;期货（ln）'!AD74-'中国汇率&amp;期货（ln）'!AD93</f>
      </c>
      <c r="AE74" s="12">
        <f>'中国汇率&amp;期货（ln）'!AE74-'中国汇率&amp;期货（ln）'!AE93</f>
      </c>
      <c r="AF74" s="12">
        <f>'中国汇率&amp;期货（ln）'!AF74-'中国汇率&amp;期货（ln）'!AF93</f>
      </c>
      <c r="AG74" s="12">
        <f>'中国汇率&amp;期货（ln）'!AG74-'中国汇率&amp;期货（ln）'!AG93</f>
      </c>
      <c r="AH74" s="12">
        <f>'中国汇率&amp;期货（ln）'!AH74-'中国汇率&amp;期货（ln）'!AH93</f>
      </c>
      <c r="AI74" s="12">
        <f>'中国汇率&amp;期货（ln）'!AI74-'中国汇率&amp;期货（ln）'!AI93</f>
      </c>
      <c r="AJ74" s="12">
        <f>'中国汇率&amp;期货（ln）'!AJ74-'中国汇率&amp;期货（ln）'!AJ93</f>
      </c>
      <c r="AK74" s="12">
        <f>'中国汇率&amp;期货（ln）'!AK74-'中国汇率&amp;期货（ln）'!AK93</f>
      </c>
      <c r="AL74" s="12">
        <f>'中国汇率&amp;期货（ln）'!AL74-'中国汇率&amp;期货（ln）'!AL93</f>
      </c>
      <c r="AM74" s="12">
        <f>'中国汇率&amp;期货（ln）'!AM74-'中国汇率&amp;期货（ln）'!AM93</f>
      </c>
      <c r="AN74" s="12">
        <f>'中国汇率&amp;期货（ln）'!AN74-'中国汇率&amp;期货（ln）'!AN93</f>
      </c>
      <c r="AO74" s="12">
        <f>'中国汇率&amp;期货（ln）'!AO74-'中国汇率&amp;期货（ln）'!AO93</f>
      </c>
      <c r="AP74" s="12">
        <f>'中国汇率&amp;期货（ln）'!AP74-'中国汇率&amp;期货（ln）'!AP93</f>
      </c>
      <c r="AQ74" s="12">
        <f>'中国汇率&amp;期货（ln）'!AQ74-'中国汇率&amp;期货（ln）'!AQ93</f>
      </c>
      <c r="AR74" s="12">
        <f>'中国汇率&amp;期货（ln）'!AR74-'中国汇率&amp;期货（ln）'!AR93</f>
      </c>
      <c r="AS74" s="12">
        <f>'中国汇率&amp;期货（ln）'!AS74-'中国汇率&amp;期货（ln）'!AS93</f>
      </c>
      <c r="AT74" s="12">
        <f>'中国汇率&amp;期货（ln）'!AT74-'中国汇率&amp;期货（ln）'!AT93</f>
      </c>
      <c r="AU74" s="12">
        <f>'中国汇率&amp;期货（ln）'!AU74-'中国汇率&amp;期货（ln）'!AU93</f>
      </c>
      <c r="AV74" s="12">
        <f>'中国汇率&amp;期货（ln）'!AV74-'中国汇率&amp;期货（ln）'!AV93</f>
      </c>
      <c r="AW74" s="12">
        <f>'中国汇率&amp;期货（ln）'!AW74-'中国汇率&amp;期货（ln）'!AW93</f>
      </c>
      <c r="AX74" s="12">
        <f>'中国汇率&amp;期货（ln）'!AX74-'中国汇率&amp;期货（ln）'!AX93</f>
      </c>
      <c r="AY74" s="12">
        <f>'中国汇率&amp;期货（ln）'!AY74-'中国汇率&amp;期货（ln）'!AY93</f>
      </c>
      <c r="AZ74" s="12">
        <f>'中国汇率&amp;期货（ln）'!AZ74-'中国汇率&amp;期货（ln）'!AZ93</f>
      </c>
      <c r="BA74" s="12">
        <f>'中国汇率&amp;期货（ln）'!BA74-'中国汇率&amp;期货（ln）'!BA93</f>
      </c>
      <c r="BB74" s="12">
        <f>'中国汇率&amp;期货（ln）'!BB74-'中国汇率&amp;期货（ln）'!BB93</f>
      </c>
      <c r="BC74" s="12">
        <f>'中国汇率&amp;期货（ln）'!BC74-'中国汇率&amp;期货（ln）'!BC93</f>
      </c>
      <c r="BD74" s="12">
        <f>'中国汇率&amp;期货（ln）'!BD74-'中国汇率&amp;期货（ln）'!BD93</f>
      </c>
      <c r="BE74" s="12">
        <f>'中国汇率&amp;期货（ln）'!BE74-'中国汇率&amp;期货（ln）'!BE93</f>
      </c>
    </row>
    <row x14ac:dyDescent="0.25" r="75" customHeight="1" ht="18.75">
      <c r="A75" s="1"/>
      <c r="B75" s="12">
        <f>'中国汇率&amp;期货（ln）'!B75-'中国汇率&amp;期货（ln）'!B94</f>
      </c>
      <c r="C75" s="12">
        <f>'中国汇率&amp;期货（ln）'!C75-'中国汇率&amp;期货（ln）'!C94</f>
      </c>
      <c r="D75" s="12">
        <f>'中国汇率&amp;期货（ln）'!D75-'中国汇率&amp;期货（ln）'!D94</f>
      </c>
      <c r="E75" s="12">
        <f>'中国汇率&amp;期货（ln）'!E75-'中国汇率&amp;期货（ln）'!E94</f>
      </c>
      <c r="F75" s="12">
        <f>'中国汇率&amp;期货（ln）'!F75-'中国汇率&amp;期货（ln）'!F94</f>
      </c>
      <c r="G75" s="12">
        <f>'中国汇率&amp;期货（ln）'!G75-'中国汇率&amp;期货（ln）'!G94</f>
      </c>
      <c r="H75" s="12">
        <f>'中国汇率&amp;期货（ln）'!H75-'中国汇率&amp;期货（ln）'!H94</f>
      </c>
      <c r="I75" s="12">
        <f>'中国汇率&amp;期货（ln）'!I75-'中国汇率&amp;期货（ln）'!I94</f>
      </c>
      <c r="J75" s="12">
        <f>'中国汇率&amp;期货（ln）'!J75-'中国汇率&amp;期货（ln）'!J94</f>
      </c>
      <c r="K75" s="12">
        <f>'中国汇率&amp;期货（ln）'!K75-'中国汇率&amp;期货（ln）'!K94</f>
      </c>
      <c r="L75" s="12">
        <f>'中国汇率&amp;期货（ln）'!L75-'中国汇率&amp;期货（ln）'!L94</f>
      </c>
      <c r="M75" s="12">
        <f>'中国汇率&amp;期货（ln）'!M75-'中国汇率&amp;期货（ln）'!M94</f>
      </c>
      <c r="N75" s="12">
        <f>'中国汇率&amp;期货（ln）'!N75-'中国汇率&amp;期货（ln）'!N94</f>
      </c>
      <c r="O75" s="12">
        <f>'中国汇率&amp;期货（ln）'!O75-'中国汇率&amp;期货（ln）'!O94</f>
      </c>
      <c r="P75" s="12">
        <f>'中国汇率&amp;期货（ln）'!P75-'中国汇率&amp;期货（ln）'!P94</f>
      </c>
      <c r="Q75" s="12">
        <f>'中国汇率&amp;期货（ln）'!Q75-'中国汇率&amp;期货（ln）'!Q94</f>
      </c>
      <c r="R75" s="12">
        <f>'中国汇率&amp;期货（ln）'!R75-'中国汇率&amp;期货（ln）'!R94</f>
      </c>
      <c r="S75" s="12">
        <f>'中国汇率&amp;期货（ln）'!S75-'中国汇率&amp;期货（ln）'!S94</f>
      </c>
      <c r="T75" s="12">
        <f>'中国汇率&amp;期货（ln）'!T75-'中国汇率&amp;期货（ln）'!T94</f>
      </c>
      <c r="U75" s="12">
        <f>'中国汇率&amp;期货（ln）'!U75-'中国汇率&amp;期货（ln）'!U94</f>
      </c>
      <c r="V75" s="12">
        <f>'中国汇率&amp;期货（ln）'!V75-'中国汇率&amp;期货（ln）'!V94</f>
      </c>
      <c r="W75" s="12">
        <f>'中国汇率&amp;期货（ln）'!W75-'中国汇率&amp;期货（ln）'!W94</f>
      </c>
      <c r="X75" s="12">
        <f>'中国汇率&amp;期货（ln）'!X75-'中国汇率&amp;期货（ln）'!X94</f>
      </c>
      <c r="Y75" s="12">
        <f>'中国汇率&amp;期货（ln）'!Y75-'中国汇率&amp;期货（ln）'!Y94</f>
      </c>
      <c r="Z75" s="12">
        <f>'中国汇率&amp;期货（ln）'!Z75-'中国汇率&amp;期货（ln）'!Z94</f>
      </c>
      <c r="AA75" s="12">
        <f>'中国汇率&amp;期货（ln）'!AA75-'中国汇率&amp;期货（ln）'!AA94</f>
      </c>
      <c r="AB75" s="12">
        <f>'中国汇率&amp;期货（ln）'!AB75-'中国汇率&amp;期货（ln）'!AB94</f>
      </c>
      <c r="AC75" s="12">
        <f>'中国汇率&amp;期货（ln）'!AC75-'中国汇率&amp;期货（ln）'!AC94</f>
      </c>
      <c r="AD75" s="12">
        <f>'中国汇率&amp;期货（ln）'!AD75-'中国汇率&amp;期货（ln）'!AD94</f>
      </c>
      <c r="AE75" s="12">
        <f>'中国汇率&amp;期货（ln）'!AE75-'中国汇率&amp;期货（ln）'!AE94</f>
      </c>
      <c r="AF75" s="12">
        <f>'中国汇率&amp;期货（ln）'!AF75-'中国汇率&amp;期货（ln）'!AF94</f>
      </c>
      <c r="AG75" s="12">
        <f>'中国汇率&amp;期货（ln）'!AG75-'中国汇率&amp;期货（ln）'!AG94</f>
      </c>
      <c r="AH75" s="12">
        <f>'中国汇率&amp;期货（ln）'!AH75-'中国汇率&amp;期货（ln）'!AH94</f>
      </c>
      <c r="AI75" s="12">
        <f>'中国汇率&amp;期货（ln）'!AI75-'中国汇率&amp;期货（ln）'!AI94</f>
      </c>
      <c r="AJ75" s="12">
        <f>'中国汇率&amp;期货（ln）'!AJ75-'中国汇率&amp;期货（ln）'!AJ94</f>
      </c>
      <c r="AK75" s="12">
        <f>'中国汇率&amp;期货（ln）'!AK75-'中国汇率&amp;期货（ln）'!AK94</f>
      </c>
      <c r="AL75" s="12">
        <f>'中国汇率&amp;期货（ln）'!AL75-'中国汇率&amp;期货（ln）'!AL94</f>
      </c>
      <c r="AM75" s="12">
        <f>'中国汇率&amp;期货（ln）'!AM75-'中国汇率&amp;期货（ln）'!AM94</f>
      </c>
      <c r="AN75" s="12">
        <f>'中国汇率&amp;期货（ln）'!AN75-'中国汇率&amp;期货（ln）'!AN94</f>
      </c>
      <c r="AO75" s="12">
        <f>'中国汇率&amp;期货（ln）'!AO75-'中国汇率&amp;期货（ln）'!AO94</f>
      </c>
      <c r="AP75" s="12">
        <f>'中国汇率&amp;期货（ln）'!AP75-'中国汇率&amp;期货（ln）'!AP94</f>
      </c>
      <c r="AQ75" s="12">
        <f>'中国汇率&amp;期货（ln）'!AQ75-'中国汇率&amp;期货（ln）'!AQ94</f>
      </c>
      <c r="AR75" s="12">
        <f>'中国汇率&amp;期货（ln）'!AR75-'中国汇率&amp;期货（ln）'!AR94</f>
      </c>
      <c r="AS75" s="12">
        <f>'中国汇率&amp;期货（ln）'!AS75-'中国汇率&amp;期货（ln）'!AS94</f>
      </c>
      <c r="AT75" s="12">
        <f>'中国汇率&amp;期货（ln）'!AT75-'中国汇率&amp;期货（ln）'!AT94</f>
      </c>
      <c r="AU75" s="12">
        <f>'中国汇率&amp;期货（ln）'!AU75-'中国汇率&amp;期货（ln）'!AU94</f>
      </c>
      <c r="AV75" s="12">
        <f>'中国汇率&amp;期货（ln）'!AV75-'中国汇率&amp;期货（ln）'!AV94</f>
      </c>
      <c r="AW75" s="12">
        <f>'中国汇率&amp;期货（ln）'!AW75-'中国汇率&amp;期货（ln）'!AW94</f>
      </c>
      <c r="AX75" s="12">
        <f>'中国汇率&amp;期货（ln）'!AX75-'中国汇率&amp;期货（ln）'!AX94</f>
      </c>
      <c r="AY75" s="12">
        <f>'中国汇率&amp;期货（ln）'!AY75-'中国汇率&amp;期货（ln）'!AY94</f>
      </c>
      <c r="AZ75" s="12">
        <f>'中国汇率&amp;期货（ln）'!AZ75-'中国汇率&amp;期货（ln）'!AZ94</f>
      </c>
      <c r="BA75" s="12">
        <f>'中国汇率&amp;期货（ln）'!BA75-'中国汇率&amp;期货（ln）'!BA94</f>
      </c>
      <c r="BB75" s="12">
        <f>'中国汇率&amp;期货（ln）'!BB75-'中国汇率&amp;期货（ln）'!BB94</f>
      </c>
      <c r="BC75" s="12">
        <f>'中国汇率&amp;期货（ln）'!BC75-'中国汇率&amp;期货（ln）'!BC94</f>
      </c>
      <c r="BD75" s="12">
        <f>'中国汇率&amp;期货（ln）'!BD75-'中国汇率&amp;期货（ln）'!BD94</f>
      </c>
      <c r="BE75" s="12">
        <f>'中国汇率&amp;期货（ln）'!BE75-'中国汇率&amp;期货（ln）'!BE94</f>
      </c>
    </row>
    <row x14ac:dyDescent="0.25" r="76" customHeight="1" ht="18.75">
      <c r="A76" s="1"/>
      <c r="B76" s="12">
        <f>'中国汇率&amp;期货（ln）'!B76-'中国汇率&amp;期货（ln）'!B95</f>
      </c>
      <c r="C76" s="12">
        <f>'中国汇率&amp;期货（ln）'!C76-'中国汇率&amp;期货（ln）'!C95</f>
      </c>
      <c r="D76" s="12">
        <f>'中国汇率&amp;期货（ln）'!D76-'中国汇率&amp;期货（ln）'!D95</f>
      </c>
      <c r="E76" s="12">
        <f>'中国汇率&amp;期货（ln）'!E76-'中国汇率&amp;期货（ln）'!E95</f>
      </c>
      <c r="F76" s="12">
        <f>'中国汇率&amp;期货（ln）'!F76-'中国汇率&amp;期货（ln）'!F95</f>
      </c>
      <c r="G76" s="12">
        <f>'中国汇率&amp;期货（ln）'!G76-'中国汇率&amp;期货（ln）'!G95</f>
      </c>
      <c r="H76" s="12">
        <f>'中国汇率&amp;期货（ln）'!H76-'中国汇率&amp;期货（ln）'!H95</f>
      </c>
      <c r="I76" s="12">
        <f>'中国汇率&amp;期货（ln）'!I76-'中国汇率&amp;期货（ln）'!I95</f>
      </c>
      <c r="J76" s="12">
        <f>'中国汇率&amp;期货（ln）'!J76-'中国汇率&amp;期货（ln）'!J95</f>
      </c>
      <c r="K76" s="12">
        <f>'中国汇率&amp;期货（ln）'!K76-'中国汇率&amp;期货（ln）'!K95</f>
      </c>
      <c r="L76" s="12">
        <f>'中国汇率&amp;期货（ln）'!L76-'中国汇率&amp;期货（ln）'!L95</f>
      </c>
      <c r="M76" s="12">
        <f>'中国汇率&amp;期货（ln）'!M76-'中国汇率&amp;期货（ln）'!M95</f>
      </c>
      <c r="N76" s="12">
        <f>'中国汇率&amp;期货（ln）'!N76-'中国汇率&amp;期货（ln）'!N95</f>
      </c>
      <c r="O76" s="12">
        <f>'中国汇率&amp;期货（ln）'!O76-'中国汇率&amp;期货（ln）'!O95</f>
      </c>
      <c r="P76" s="12">
        <f>'中国汇率&amp;期货（ln）'!P76-'中国汇率&amp;期货（ln）'!P95</f>
      </c>
      <c r="Q76" s="12">
        <f>'中国汇率&amp;期货（ln）'!Q76-'中国汇率&amp;期货（ln）'!Q95</f>
      </c>
      <c r="R76" s="12">
        <f>'中国汇率&amp;期货（ln）'!R76-'中国汇率&amp;期货（ln）'!R95</f>
      </c>
      <c r="S76" s="12">
        <f>'中国汇率&amp;期货（ln）'!S76-'中国汇率&amp;期货（ln）'!S95</f>
      </c>
      <c r="T76" s="12">
        <f>'中国汇率&amp;期货（ln）'!T76-'中国汇率&amp;期货（ln）'!T95</f>
      </c>
      <c r="U76" s="12">
        <f>'中国汇率&amp;期货（ln）'!U76-'中国汇率&amp;期货（ln）'!U95</f>
      </c>
      <c r="V76" s="12">
        <f>'中国汇率&amp;期货（ln）'!V76-'中国汇率&amp;期货（ln）'!V95</f>
      </c>
      <c r="W76" s="12">
        <f>'中国汇率&amp;期货（ln）'!W76-'中国汇率&amp;期货（ln）'!W95</f>
      </c>
      <c r="X76" s="12">
        <f>'中国汇率&amp;期货（ln）'!X76-'中国汇率&amp;期货（ln）'!X95</f>
      </c>
      <c r="Y76" s="12">
        <f>'中国汇率&amp;期货（ln）'!Y76-'中国汇率&amp;期货（ln）'!Y95</f>
      </c>
      <c r="Z76" s="12">
        <f>'中国汇率&amp;期货（ln）'!Z76-'中国汇率&amp;期货（ln）'!Z95</f>
      </c>
      <c r="AA76" s="12">
        <f>'中国汇率&amp;期货（ln）'!AA76-'中国汇率&amp;期货（ln）'!AA95</f>
      </c>
      <c r="AB76" s="12">
        <f>'中国汇率&amp;期货（ln）'!AB76-'中国汇率&amp;期货（ln）'!AB95</f>
      </c>
      <c r="AC76" s="12">
        <f>'中国汇率&amp;期货（ln）'!AC76-'中国汇率&amp;期货（ln）'!AC95</f>
      </c>
      <c r="AD76" s="12">
        <f>'中国汇率&amp;期货（ln）'!AD76-'中国汇率&amp;期货（ln）'!AD95</f>
      </c>
      <c r="AE76" s="12">
        <f>'中国汇率&amp;期货（ln）'!AE76-'中国汇率&amp;期货（ln）'!AE95</f>
      </c>
      <c r="AF76" s="12">
        <f>'中国汇率&amp;期货（ln）'!AF76-'中国汇率&amp;期货（ln）'!AF95</f>
      </c>
      <c r="AG76" s="12">
        <f>'中国汇率&amp;期货（ln）'!AG76-'中国汇率&amp;期货（ln）'!AG95</f>
      </c>
      <c r="AH76" s="12">
        <f>'中国汇率&amp;期货（ln）'!AH76-'中国汇率&amp;期货（ln）'!AH95</f>
      </c>
      <c r="AI76" s="12">
        <f>'中国汇率&amp;期货（ln）'!AI76-'中国汇率&amp;期货（ln）'!AI95</f>
      </c>
      <c r="AJ76" s="12">
        <f>'中国汇率&amp;期货（ln）'!AJ76-'中国汇率&amp;期货（ln）'!AJ95</f>
      </c>
      <c r="AK76" s="12">
        <f>'中国汇率&amp;期货（ln）'!AK76-'中国汇率&amp;期货（ln）'!AK95</f>
      </c>
      <c r="AL76" s="12">
        <f>'中国汇率&amp;期货（ln）'!AL76-'中国汇率&amp;期货（ln）'!AL95</f>
      </c>
      <c r="AM76" s="12">
        <f>'中国汇率&amp;期货（ln）'!AM76-'中国汇率&amp;期货（ln）'!AM95</f>
      </c>
      <c r="AN76" s="12">
        <f>'中国汇率&amp;期货（ln）'!AN76-'中国汇率&amp;期货（ln）'!AN95</f>
      </c>
      <c r="AO76" s="12">
        <f>'中国汇率&amp;期货（ln）'!AO76-'中国汇率&amp;期货（ln）'!AO95</f>
      </c>
      <c r="AP76" s="12">
        <f>'中国汇率&amp;期货（ln）'!AP76-'中国汇率&amp;期货（ln）'!AP95</f>
      </c>
      <c r="AQ76" s="12">
        <f>'中国汇率&amp;期货（ln）'!AQ76-'中国汇率&amp;期货（ln）'!AQ95</f>
      </c>
      <c r="AR76" s="12">
        <f>'中国汇率&amp;期货（ln）'!AR76-'中国汇率&amp;期货（ln）'!AR95</f>
      </c>
      <c r="AS76" s="12">
        <f>'中国汇率&amp;期货（ln）'!AS76-'中国汇率&amp;期货（ln）'!AS95</f>
      </c>
      <c r="AT76" s="12">
        <f>'中国汇率&amp;期货（ln）'!AT76-'中国汇率&amp;期货（ln）'!AT95</f>
      </c>
      <c r="AU76" s="12">
        <f>'中国汇率&amp;期货（ln）'!AU76-'中国汇率&amp;期货（ln）'!AU95</f>
      </c>
      <c r="AV76" s="12">
        <f>'中国汇率&amp;期货（ln）'!AV76-'中国汇率&amp;期货（ln）'!AV95</f>
      </c>
      <c r="AW76" s="12">
        <f>'中国汇率&amp;期货（ln）'!AW76-'中国汇率&amp;期货（ln）'!AW95</f>
      </c>
      <c r="AX76" s="12">
        <f>'中国汇率&amp;期货（ln）'!AX76-'中国汇率&amp;期货（ln）'!AX95</f>
      </c>
      <c r="AY76" s="12">
        <f>'中国汇率&amp;期货（ln）'!AY76-'中国汇率&amp;期货（ln）'!AY95</f>
      </c>
      <c r="AZ76" s="12">
        <f>'中国汇率&amp;期货（ln）'!AZ76-'中国汇率&amp;期货（ln）'!AZ95</f>
      </c>
      <c r="BA76" s="12">
        <f>'中国汇率&amp;期货（ln）'!BA76-'中国汇率&amp;期货（ln）'!BA95</f>
      </c>
      <c r="BB76" s="12">
        <f>'中国汇率&amp;期货（ln）'!BB76-'中国汇率&amp;期货（ln）'!BB95</f>
      </c>
      <c r="BC76" s="12">
        <f>'中国汇率&amp;期货（ln）'!BC76-'中国汇率&amp;期货（ln）'!BC95</f>
      </c>
      <c r="BD76" s="12">
        <f>'中国汇率&amp;期货（ln）'!BD76-'中国汇率&amp;期货（ln）'!BD95</f>
      </c>
      <c r="BE76" s="12">
        <f>'中国汇率&amp;期货（ln）'!BE76-'中国汇率&amp;期货（ln）'!BE95</f>
      </c>
    </row>
    <row x14ac:dyDescent="0.25" r="77" customHeight="1" ht="18.75">
      <c r="A77" s="1"/>
      <c r="B77" s="12">
        <f>'中国汇率&amp;期货（ln）'!B77-'中国汇率&amp;期货（ln）'!B96</f>
      </c>
      <c r="C77" s="12">
        <f>'中国汇率&amp;期货（ln）'!C77-'中国汇率&amp;期货（ln）'!C96</f>
      </c>
      <c r="D77" s="12">
        <f>'中国汇率&amp;期货（ln）'!D77-'中国汇率&amp;期货（ln）'!D96</f>
      </c>
      <c r="E77" s="12">
        <f>'中国汇率&amp;期货（ln）'!E77-'中国汇率&amp;期货（ln）'!E96</f>
      </c>
      <c r="F77" s="12">
        <f>'中国汇率&amp;期货（ln）'!F77-'中国汇率&amp;期货（ln）'!F96</f>
      </c>
      <c r="G77" s="12">
        <f>'中国汇率&amp;期货（ln）'!G77-'中国汇率&amp;期货（ln）'!G96</f>
      </c>
      <c r="H77" s="12">
        <f>'中国汇率&amp;期货（ln）'!H77-'中国汇率&amp;期货（ln）'!H96</f>
      </c>
      <c r="I77" s="12">
        <f>'中国汇率&amp;期货（ln）'!I77-'中国汇率&amp;期货（ln）'!I96</f>
      </c>
      <c r="J77" s="12">
        <f>'中国汇率&amp;期货（ln）'!J77-'中国汇率&amp;期货（ln）'!J96</f>
      </c>
      <c r="K77" s="12">
        <f>'中国汇率&amp;期货（ln）'!K77-'中国汇率&amp;期货（ln）'!K96</f>
      </c>
      <c r="L77" s="12">
        <f>'中国汇率&amp;期货（ln）'!L77-'中国汇率&amp;期货（ln）'!L96</f>
      </c>
      <c r="M77" s="12">
        <f>'中国汇率&amp;期货（ln）'!M77-'中国汇率&amp;期货（ln）'!M96</f>
      </c>
      <c r="N77" s="12">
        <f>'中国汇率&amp;期货（ln）'!N77-'中国汇率&amp;期货（ln）'!N96</f>
      </c>
      <c r="O77" s="12">
        <f>'中国汇率&amp;期货（ln）'!O77-'中国汇率&amp;期货（ln）'!O96</f>
      </c>
      <c r="P77" s="12">
        <f>'中国汇率&amp;期货（ln）'!P77-'中国汇率&amp;期货（ln）'!P96</f>
      </c>
      <c r="Q77" s="12">
        <f>'中国汇率&amp;期货（ln）'!Q77-'中国汇率&amp;期货（ln）'!Q96</f>
      </c>
      <c r="R77" s="12">
        <f>'中国汇率&amp;期货（ln）'!R77-'中国汇率&amp;期货（ln）'!R96</f>
      </c>
      <c r="S77" s="12">
        <f>'中国汇率&amp;期货（ln）'!S77-'中国汇率&amp;期货（ln）'!S96</f>
      </c>
      <c r="T77" s="12">
        <f>'中国汇率&amp;期货（ln）'!T77-'中国汇率&amp;期货（ln）'!T96</f>
      </c>
      <c r="U77" s="12">
        <f>'中国汇率&amp;期货（ln）'!U77-'中国汇率&amp;期货（ln）'!U96</f>
      </c>
      <c r="V77" s="12">
        <f>'中国汇率&amp;期货（ln）'!V77-'中国汇率&amp;期货（ln）'!V96</f>
      </c>
      <c r="W77" s="12">
        <f>'中国汇率&amp;期货（ln）'!W77-'中国汇率&amp;期货（ln）'!W96</f>
      </c>
      <c r="X77" s="12">
        <f>'中国汇率&amp;期货（ln）'!X77-'中国汇率&amp;期货（ln）'!X96</f>
      </c>
      <c r="Y77" s="12">
        <f>'中国汇率&amp;期货（ln）'!Y77-'中国汇率&amp;期货（ln）'!Y96</f>
      </c>
      <c r="Z77" s="12">
        <f>'中国汇率&amp;期货（ln）'!Z77-'中国汇率&amp;期货（ln）'!Z96</f>
      </c>
      <c r="AA77" s="12">
        <f>'中国汇率&amp;期货（ln）'!AA77-'中国汇率&amp;期货（ln）'!AA96</f>
      </c>
      <c r="AB77" s="12">
        <f>'中国汇率&amp;期货（ln）'!AB77-'中国汇率&amp;期货（ln）'!AB96</f>
      </c>
      <c r="AC77" s="12">
        <f>'中国汇率&amp;期货（ln）'!AC77-'中国汇率&amp;期货（ln）'!AC96</f>
      </c>
      <c r="AD77" s="12">
        <f>'中国汇率&amp;期货（ln）'!AD77-'中国汇率&amp;期货（ln）'!AD96</f>
      </c>
      <c r="AE77" s="12">
        <f>'中国汇率&amp;期货（ln）'!AE77-'中国汇率&amp;期货（ln）'!AE96</f>
      </c>
      <c r="AF77" s="12">
        <f>'中国汇率&amp;期货（ln）'!AF77-'中国汇率&amp;期货（ln）'!AF96</f>
      </c>
      <c r="AG77" s="12">
        <f>'中国汇率&amp;期货（ln）'!AG77-'中国汇率&amp;期货（ln）'!AG96</f>
      </c>
      <c r="AH77" s="12">
        <f>'中国汇率&amp;期货（ln）'!AH77-'中国汇率&amp;期货（ln）'!AH96</f>
      </c>
      <c r="AI77" s="12">
        <f>'中国汇率&amp;期货（ln）'!AI77-'中国汇率&amp;期货（ln）'!AI96</f>
      </c>
      <c r="AJ77" s="12">
        <f>'中国汇率&amp;期货（ln）'!AJ77-'中国汇率&amp;期货（ln）'!AJ96</f>
      </c>
      <c r="AK77" s="12">
        <f>'中国汇率&amp;期货（ln）'!AK77-'中国汇率&amp;期货（ln）'!AK96</f>
      </c>
      <c r="AL77" s="12">
        <f>'中国汇率&amp;期货（ln）'!AL77-'中国汇率&amp;期货（ln）'!AL96</f>
      </c>
      <c r="AM77" s="12">
        <f>'中国汇率&amp;期货（ln）'!AM77-'中国汇率&amp;期货（ln）'!AM96</f>
      </c>
      <c r="AN77" s="12">
        <f>'中国汇率&amp;期货（ln）'!AN77-'中国汇率&amp;期货（ln）'!AN96</f>
      </c>
      <c r="AO77" s="12">
        <f>'中国汇率&amp;期货（ln）'!AO77-'中国汇率&amp;期货（ln）'!AO96</f>
      </c>
      <c r="AP77" s="12">
        <f>'中国汇率&amp;期货（ln）'!AP77-'中国汇率&amp;期货（ln）'!AP96</f>
      </c>
      <c r="AQ77" s="12">
        <f>'中国汇率&amp;期货（ln）'!AQ77-'中国汇率&amp;期货（ln）'!AQ96</f>
      </c>
      <c r="AR77" s="12">
        <f>'中国汇率&amp;期货（ln）'!AR77-'中国汇率&amp;期货（ln）'!AR96</f>
      </c>
      <c r="AS77" s="12">
        <f>'中国汇率&amp;期货（ln）'!AS77-'中国汇率&amp;期货（ln）'!AS96</f>
      </c>
      <c r="AT77" s="12">
        <f>'中国汇率&amp;期货（ln）'!AT77-'中国汇率&amp;期货（ln）'!AT96</f>
      </c>
      <c r="AU77" s="12">
        <f>'中国汇率&amp;期货（ln）'!AU77-'中国汇率&amp;期货（ln）'!AU96</f>
      </c>
      <c r="AV77" s="12">
        <f>'中国汇率&amp;期货（ln）'!AV77-'中国汇率&amp;期货（ln）'!AV96</f>
      </c>
      <c r="AW77" s="12">
        <f>'中国汇率&amp;期货（ln）'!AW77-'中国汇率&amp;期货（ln）'!AW96</f>
      </c>
      <c r="AX77" s="12">
        <f>'中国汇率&amp;期货（ln）'!AX77-'中国汇率&amp;期货（ln）'!AX96</f>
      </c>
      <c r="AY77" s="12">
        <f>'中国汇率&amp;期货（ln）'!AY77-'中国汇率&amp;期货（ln）'!AY96</f>
      </c>
      <c r="AZ77" s="12">
        <f>'中国汇率&amp;期货（ln）'!AZ77-'中国汇率&amp;期货（ln）'!AZ96</f>
      </c>
      <c r="BA77" s="12">
        <f>'中国汇率&amp;期货（ln）'!BA77-'中国汇率&amp;期货（ln）'!BA96</f>
      </c>
      <c r="BB77" s="12">
        <f>'中国汇率&amp;期货（ln）'!BB77-'中国汇率&amp;期货（ln）'!BB96</f>
      </c>
      <c r="BC77" s="12">
        <f>'中国汇率&amp;期货（ln）'!BC77-'中国汇率&amp;期货（ln）'!BC96</f>
      </c>
      <c r="BD77" s="12">
        <f>'中国汇率&amp;期货（ln）'!BD77-'中国汇率&amp;期货（ln）'!BD96</f>
      </c>
      <c r="BE77" s="12">
        <f>'中国汇率&amp;期货（ln）'!BE77-'中国汇率&amp;期货（ln）'!BE96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77"/>
  <sheetViews>
    <sheetView workbookViewId="0"/>
  </sheetViews>
  <sheetFormatPr defaultRowHeight="15" x14ac:dyDescent="0.25"/>
  <cols>
    <col min="1" max="1" style="6" width="13.576428571428572" customWidth="1" bestFit="1"/>
    <col min="2" max="2" style="10" width="13.576428571428572" customWidth="1" bestFit="1"/>
    <col min="3" max="3" style="10" width="18.005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  <col min="31" max="31" style="10" width="13.576428571428572" customWidth="1" bestFit="1"/>
    <col min="32" max="32" style="10" width="13.576428571428572" customWidth="1" bestFit="1"/>
    <col min="33" max="33" style="10" width="13.576428571428572" customWidth="1" bestFit="1"/>
    <col min="34" max="34" style="10" width="13.576428571428572" customWidth="1" bestFit="1"/>
    <col min="35" max="35" style="10" width="13.576428571428572" customWidth="1" bestFit="1"/>
    <col min="36" max="36" style="10" width="13.576428571428572" customWidth="1" bestFit="1"/>
    <col min="37" max="37" style="10" width="13.576428571428572" customWidth="1" bestFit="1"/>
    <col min="38" max="38" style="10" width="13.576428571428572" customWidth="1" bestFit="1"/>
    <col min="39" max="39" style="10" width="13.576428571428572" customWidth="1" bestFit="1"/>
    <col min="40" max="40" style="10" width="13.576428571428572" customWidth="1" bestFit="1"/>
    <col min="41" max="41" style="10" width="13.576428571428572" customWidth="1" bestFit="1"/>
    <col min="42" max="42" style="10" width="13.576428571428572" customWidth="1" bestFit="1"/>
    <col min="43" max="43" style="10" width="13.576428571428572" customWidth="1" bestFit="1"/>
    <col min="44" max="44" style="10" width="13.576428571428572" customWidth="1" bestFit="1"/>
    <col min="45" max="45" style="10" width="13.576428571428572" customWidth="1" bestFit="1"/>
    <col min="46" max="46" style="10" width="13.576428571428572" customWidth="1" bestFit="1"/>
    <col min="47" max="47" style="10" width="13.576428571428572" customWidth="1" bestFit="1"/>
    <col min="48" max="48" style="10" width="13.576428571428572" customWidth="1" bestFit="1"/>
    <col min="49" max="49" style="10" width="13.576428571428572" customWidth="1" bestFit="1"/>
    <col min="50" max="50" style="10" width="13.576428571428572" customWidth="1" bestFit="1"/>
    <col min="51" max="51" style="10" width="13.576428571428572" customWidth="1" bestFit="1"/>
    <col min="52" max="52" style="10" width="13.576428571428572" customWidth="1" bestFit="1"/>
    <col min="53" max="53" style="10" width="13.576428571428572" customWidth="1" bestFit="1"/>
    <col min="54" max="54" style="10" width="13.576428571428572" customWidth="1" bestFit="1"/>
    <col min="55" max="55" style="10" width="13.576428571428572" customWidth="1" bestFit="1"/>
    <col min="56" max="56" style="10" width="13.576428571428572" customWidth="1" bestFit="1"/>
    <col min="57" max="57" style="10" width="13.576428571428572" customWidth="1" bestFit="1"/>
  </cols>
  <sheetData>
    <row x14ac:dyDescent="0.25" r="1" customHeight="1" ht="18.75">
      <c r="A1" s="1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</row>
    <row x14ac:dyDescent="0.25" r="2" customHeight="1" ht="18.75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x14ac:dyDescent="0.25" r="3" customHeight="1" ht="18.75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</row>
    <row x14ac:dyDescent="0.25" r="4" customHeight="1" ht="18.75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</row>
    <row x14ac:dyDescent="0.25" r="5" customHeight="1" ht="18.75">
      <c r="A5" s="1"/>
      <c r="B5" s="9">
        <f>_xlfn.STDEV.P('中国汇率&amp;期货（ln）'!B5:B24)</f>
      </c>
      <c r="C5" s="9">
        <f>_xlfn.STDEV.P('中国汇率&amp;期货（ln）'!C5:C24)</f>
      </c>
      <c r="D5" s="9">
        <f>_xlfn.STDEV.P('中国汇率&amp;期货（ln）'!D5:D24)</f>
      </c>
      <c r="E5" s="9">
        <f>_xlfn.STDEV.P('中国汇率&amp;期货（ln）'!E5:E24)</f>
      </c>
      <c r="F5" s="9">
        <f>_xlfn.STDEV.P('中国汇率&amp;期货（ln）'!F5:F24)</f>
      </c>
      <c r="G5" s="9">
        <f>_xlfn.STDEV.P('中国汇率&amp;期货（ln）'!G5:G24)</f>
      </c>
      <c r="H5" s="9">
        <f>_xlfn.STDEV.P('中国汇率&amp;期货（ln）'!H5:H24)</f>
      </c>
      <c r="I5" s="9">
        <f>_xlfn.STDEV.P('中国汇率&amp;期货（ln）'!I5:I24)</f>
      </c>
      <c r="J5" s="9">
        <f>_xlfn.STDEV.P('中国汇率&amp;期货（ln）'!J5:J24)</f>
      </c>
      <c r="K5" s="9">
        <f>_xlfn.STDEV.P('中国汇率&amp;期货（ln）'!K5:K24)</f>
      </c>
      <c r="L5" s="9">
        <f>_xlfn.STDEV.P('中国汇率&amp;期货（ln）'!L5:L24)</f>
      </c>
      <c r="M5" s="9">
        <f>_xlfn.STDEV.P('中国汇率&amp;期货（ln）'!M5:M24)</f>
      </c>
      <c r="N5" s="9">
        <f>_xlfn.STDEV.P('中国汇率&amp;期货（ln）'!N5:N24)</f>
      </c>
      <c r="O5" s="9">
        <f>_xlfn.STDEV.P('中国汇率&amp;期货（ln）'!O5:O24)</f>
      </c>
      <c r="P5" s="9">
        <f>_xlfn.STDEV.P('中国汇率&amp;期货（ln）'!P5:P24)</f>
      </c>
      <c r="Q5" s="9">
        <f>_xlfn.STDEV.P('中国汇率&amp;期货（ln）'!Q5:Q24)</f>
      </c>
      <c r="R5" s="9">
        <f>_xlfn.STDEV.P('中国汇率&amp;期货（ln）'!R5:R24)</f>
      </c>
      <c r="S5" s="9">
        <f>_xlfn.STDEV.P('中国汇率&amp;期货（ln）'!S5:S24)</f>
      </c>
      <c r="T5" s="9">
        <f>_xlfn.STDEV.P('中国汇率&amp;期货（ln）'!T5:T24)</f>
      </c>
      <c r="U5" s="9">
        <f>_xlfn.STDEV.P('中国汇率&amp;期货（ln）'!U5:U24)</f>
      </c>
      <c r="V5" s="9">
        <f>_xlfn.STDEV.P('中国汇率&amp;期货（ln）'!V5:V24)</f>
      </c>
      <c r="W5" s="9">
        <f>_xlfn.STDEV.P('中国汇率&amp;期货（ln）'!W5:W24)</f>
      </c>
      <c r="X5" s="9">
        <f>_xlfn.STDEV.P('中国汇率&amp;期货（ln）'!X5:X24)</f>
      </c>
      <c r="Y5" s="9">
        <f>_xlfn.STDEV.P('中国汇率&amp;期货（ln）'!Y5:Y24)</f>
      </c>
      <c r="Z5" s="9">
        <f>_xlfn.STDEV.P('中国汇率&amp;期货（ln）'!Z5:Z24)</f>
      </c>
      <c r="AA5" s="9">
        <f>_xlfn.STDEV.P('中国汇率&amp;期货（ln）'!AA5:AA24)</f>
      </c>
      <c r="AB5" s="9">
        <f>_xlfn.STDEV.P('中国汇率&amp;期货（ln）'!AB5:AB24)</f>
      </c>
      <c r="AC5" s="9">
        <f>_xlfn.STDEV.P('中国汇率&amp;期货（ln）'!AC5:AC24)</f>
      </c>
      <c r="AD5" s="9">
        <f>_xlfn.STDEV.P('中国汇率&amp;期货（ln）'!AD5:AD24)</f>
      </c>
      <c r="AE5" s="9">
        <f>_xlfn.STDEV.P('中国汇率&amp;期货（ln）'!AE5:AE24)</f>
      </c>
      <c r="AF5" s="9">
        <f>_xlfn.STDEV.P('中国汇率&amp;期货（ln）'!AF5:AF24)</f>
      </c>
      <c r="AG5" s="9">
        <f>_xlfn.STDEV.P('中国汇率&amp;期货（ln）'!AG5:AG24)</f>
      </c>
      <c r="AH5" s="9">
        <f>_xlfn.STDEV.P('中国汇率&amp;期货（ln）'!AH5:AH24)</f>
      </c>
      <c r="AI5" s="9">
        <f>_xlfn.STDEV.P('中国汇率&amp;期货（ln）'!AI5:AI24)</f>
      </c>
      <c r="AJ5" s="9">
        <f>_xlfn.STDEV.P('中国汇率&amp;期货（ln）'!AJ5:AJ24)</f>
      </c>
      <c r="AK5" s="9">
        <f>_xlfn.STDEV.P('中国汇率&amp;期货（ln）'!AK5:AK24)</f>
      </c>
      <c r="AL5" s="9">
        <f>_xlfn.STDEV.P('中国汇率&amp;期货（ln）'!AL5:AL24)</f>
      </c>
      <c r="AM5" s="9">
        <f>_xlfn.STDEV.P('中国汇率&amp;期货（ln）'!AM5:AM24)</f>
      </c>
      <c r="AN5" s="9">
        <f>_xlfn.STDEV.P('中国汇率&amp;期货（ln）'!AN5:AN24)</f>
      </c>
      <c r="AO5" s="9">
        <f>_xlfn.STDEV.P('中国汇率&amp;期货（ln）'!AO5:AO24)</f>
      </c>
      <c r="AP5" s="9">
        <f>_xlfn.STDEV.P('中国汇率&amp;期货（ln）'!AP5:AP24)</f>
      </c>
      <c r="AQ5" s="9">
        <f>_xlfn.STDEV.P('中国汇率&amp;期货（ln）'!AQ5:AQ24)</f>
      </c>
      <c r="AR5" s="9">
        <f>_xlfn.STDEV.P('中国汇率&amp;期货（ln）'!AR5:AR24)</f>
      </c>
      <c r="AS5" s="9">
        <f>_xlfn.STDEV.P('中国汇率&amp;期货（ln）'!AS5:AS24)</f>
      </c>
      <c r="AT5" s="9">
        <f>_xlfn.STDEV.P('中国汇率&amp;期货（ln）'!AT5:AT24)</f>
      </c>
      <c r="AU5" s="9">
        <f>_xlfn.STDEV.P('中国汇率&amp;期货（ln）'!AU5:AU24)</f>
      </c>
      <c r="AV5" s="9">
        <f>_xlfn.STDEV.P('中国汇率&amp;期货（ln）'!AV5:AV24)</f>
      </c>
      <c r="AW5" s="9">
        <f>_xlfn.STDEV.P('中国汇率&amp;期货（ln）'!AW5:AW24)</f>
      </c>
      <c r="AX5" s="9">
        <f>_xlfn.STDEV.P('中国汇率&amp;期货（ln）'!AX5:AX24)</f>
      </c>
      <c r="AY5" s="9">
        <f>_xlfn.STDEV.P('中国汇率&amp;期货（ln）'!AY5:AY24)</f>
      </c>
      <c r="AZ5" s="9">
        <f>_xlfn.STDEV.P('中国汇率&amp;期货（ln）'!AZ5:AZ24)</f>
      </c>
      <c r="BA5" s="9">
        <f>_xlfn.STDEV.P('中国汇率&amp;期货（ln）'!BA5:BA24)</f>
      </c>
      <c r="BB5" s="9">
        <f>_xlfn.STDEV.P('中国汇率&amp;期货（ln）'!BB5:BB24)</f>
      </c>
      <c r="BC5" s="9">
        <f>_xlfn.STDEV.P('中国汇率&amp;期货（ln）'!BC5:BC24)</f>
      </c>
      <c r="BD5" s="9">
        <f>_xlfn.STDEV.P('中国汇率&amp;期货（ln）'!BD5:BD24)</f>
      </c>
      <c r="BE5" s="9">
        <f>_xlfn.STDEV.P('中国汇率&amp;期货（ln）'!BE5:BE24)</f>
      </c>
    </row>
    <row x14ac:dyDescent="0.25" r="6" customHeight="1" ht="18.75">
      <c r="A6" s="1"/>
      <c r="B6" s="9">
        <f>_xlfn.STDEV.P('中国汇率&amp;期货（ln）'!B6:B25)</f>
      </c>
      <c r="C6" s="9">
        <f>_xlfn.STDEV.P('中国汇率&amp;期货（ln）'!C6:C25)</f>
      </c>
      <c r="D6" s="9">
        <f>_xlfn.STDEV.P('中国汇率&amp;期货（ln）'!D6:D25)</f>
      </c>
      <c r="E6" s="9">
        <f>_xlfn.STDEV.P('中国汇率&amp;期货（ln）'!E6:E25)</f>
      </c>
      <c r="F6" s="9">
        <f>_xlfn.STDEV.P('中国汇率&amp;期货（ln）'!F6:F25)</f>
      </c>
      <c r="G6" s="9">
        <f>_xlfn.STDEV.P('中国汇率&amp;期货（ln）'!G6:G25)</f>
      </c>
      <c r="H6" s="9">
        <f>_xlfn.STDEV.P('中国汇率&amp;期货（ln）'!H6:H25)</f>
      </c>
      <c r="I6" s="9">
        <f>_xlfn.STDEV.P('中国汇率&amp;期货（ln）'!I6:I25)</f>
      </c>
      <c r="J6" s="9">
        <f>_xlfn.STDEV.P('中国汇率&amp;期货（ln）'!J6:J25)</f>
      </c>
      <c r="K6" s="9">
        <f>_xlfn.STDEV.P('中国汇率&amp;期货（ln）'!K6:K25)</f>
      </c>
      <c r="L6" s="9">
        <f>_xlfn.STDEV.P('中国汇率&amp;期货（ln）'!L6:L25)</f>
      </c>
      <c r="M6" s="9">
        <f>_xlfn.STDEV.P('中国汇率&amp;期货（ln）'!M6:M25)</f>
      </c>
      <c r="N6" s="9">
        <f>_xlfn.STDEV.P('中国汇率&amp;期货（ln）'!N6:N25)</f>
      </c>
      <c r="O6" s="9">
        <f>_xlfn.STDEV.P('中国汇率&amp;期货（ln）'!O6:O25)</f>
      </c>
      <c r="P6" s="9">
        <f>_xlfn.STDEV.P('中国汇率&amp;期货（ln）'!P6:P25)</f>
      </c>
      <c r="Q6" s="9">
        <f>_xlfn.STDEV.P('中国汇率&amp;期货（ln）'!Q6:Q25)</f>
      </c>
      <c r="R6" s="9">
        <f>_xlfn.STDEV.P('中国汇率&amp;期货（ln）'!R6:R25)</f>
      </c>
      <c r="S6" s="9">
        <f>_xlfn.STDEV.P('中国汇率&amp;期货（ln）'!S6:S25)</f>
      </c>
      <c r="T6" s="9">
        <f>_xlfn.STDEV.P('中国汇率&amp;期货（ln）'!T6:T25)</f>
      </c>
      <c r="U6" s="9">
        <f>_xlfn.STDEV.P('中国汇率&amp;期货（ln）'!U6:U25)</f>
      </c>
      <c r="V6" s="9">
        <f>_xlfn.STDEV.P('中国汇率&amp;期货（ln）'!V6:V25)</f>
      </c>
      <c r="W6" s="9">
        <f>_xlfn.STDEV.P('中国汇率&amp;期货（ln）'!W6:W25)</f>
      </c>
      <c r="X6" s="9">
        <f>_xlfn.STDEV.P('中国汇率&amp;期货（ln）'!X6:X25)</f>
      </c>
      <c r="Y6" s="9">
        <f>_xlfn.STDEV.P('中国汇率&amp;期货（ln）'!Y6:Y25)</f>
      </c>
      <c r="Z6" s="9">
        <f>_xlfn.STDEV.P('中国汇率&amp;期货（ln）'!Z6:Z25)</f>
      </c>
      <c r="AA6" s="9">
        <f>_xlfn.STDEV.P('中国汇率&amp;期货（ln）'!AA6:AA25)</f>
      </c>
      <c r="AB6" s="9">
        <f>_xlfn.STDEV.P('中国汇率&amp;期货（ln）'!AB6:AB25)</f>
      </c>
      <c r="AC6" s="9">
        <f>_xlfn.STDEV.P('中国汇率&amp;期货（ln）'!AC6:AC25)</f>
      </c>
      <c r="AD6" s="9">
        <f>_xlfn.STDEV.P('中国汇率&amp;期货（ln）'!AD6:AD25)</f>
      </c>
      <c r="AE6" s="9">
        <f>_xlfn.STDEV.P('中国汇率&amp;期货（ln）'!AE6:AE25)</f>
      </c>
      <c r="AF6" s="9">
        <f>_xlfn.STDEV.P('中国汇率&amp;期货（ln）'!AF6:AF25)</f>
      </c>
      <c r="AG6" s="9">
        <f>_xlfn.STDEV.P('中国汇率&amp;期货（ln）'!AG6:AG25)</f>
      </c>
      <c r="AH6" s="9">
        <f>_xlfn.STDEV.P('中国汇率&amp;期货（ln）'!AH6:AH25)</f>
      </c>
      <c r="AI6" s="9">
        <f>_xlfn.STDEV.P('中国汇率&amp;期货（ln）'!AI6:AI25)</f>
      </c>
      <c r="AJ6" s="9">
        <f>_xlfn.STDEV.P('中国汇率&amp;期货（ln）'!AJ6:AJ25)</f>
      </c>
      <c r="AK6" s="9">
        <f>_xlfn.STDEV.P('中国汇率&amp;期货（ln）'!AK6:AK25)</f>
      </c>
      <c r="AL6" s="9">
        <f>_xlfn.STDEV.P('中国汇率&amp;期货（ln）'!AL6:AL25)</f>
      </c>
      <c r="AM6" s="9">
        <f>_xlfn.STDEV.P('中国汇率&amp;期货（ln）'!AM6:AM25)</f>
      </c>
      <c r="AN6" s="9">
        <f>_xlfn.STDEV.P('中国汇率&amp;期货（ln）'!AN6:AN25)</f>
      </c>
      <c r="AO6" s="9">
        <f>_xlfn.STDEV.P('中国汇率&amp;期货（ln）'!AO6:AO25)</f>
      </c>
      <c r="AP6" s="9">
        <f>_xlfn.STDEV.P('中国汇率&amp;期货（ln）'!AP6:AP25)</f>
      </c>
      <c r="AQ6" s="9">
        <f>_xlfn.STDEV.P('中国汇率&amp;期货（ln）'!AQ6:AQ25)</f>
      </c>
      <c r="AR6" s="9">
        <f>_xlfn.STDEV.P('中国汇率&amp;期货（ln）'!AR6:AR25)</f>
      </c>
      <c r="AS6" s="9">
        <f>_xlfn.STDEV.P('中国汇率&amp;期货（ln）'!AS6:AS25)</f>
      </c>
      <c r="AT6" s="9">
        <f>_xlfn.STDEV.P('中国汇率&amp;期货（ln）'!AT6:AT25)</f>
      </c>
      <c r="AU6" s="9">
        <f>_xlfn.STDEV.P('中国汇率&amp;期货（ln）'!AU6:AU25)</f>
      </c>
      <c r="AV6" s="9">
        <f>_xlfn.STDEV.P('中国汇率&amp;期货（ln）'!AV6:AV25)</f>
      </c>
      <c r="AW6" s="9">
        <f>_xlfn.STDEV.P('中国汇率&amp;期货（ln）'!AW6:AW25)</f>
      </c>
      <c r="AX6" s="9">
        <f>_xlfn.STDEV.P('中国汇率&amp;期货（ln）'!AX6:AX25)</f>
      </c>
      <c r="AY6" s="9">
        <f>_xlfn.STDEV.P('中国汇率&amp;期货（ln）'!AY6:AY25)</f>
      </c>
      <c r="AZ6" s="9">
        <f>_xlfn.STDEV.P('中国汇率&amp;期货（ln）'!AZ6:AZ25)</f>
      </c>
      <c r="BA6" s="9">
        <f>_xlfn.STDEV.P('中国汇率&amp;期货（ln）'!BA6:BA25)</f>
      </c>
      <c r="BB6" s="9">
        <f>_xlfn.STDEV.P('中国汇率&amp;期货（ln）'!BB6:BB25)</f>
      </c>
      <c r="BC6" s="9">
        <f>_xlfn.STDEV.P('中国汇率&amp;期货（ln）'!BC6:BC25)</f>
      </c>
      <c r="BD6" s="9">
        <f>_xlfn.STDEV.P('中国汇率&amp;期货（ln）'!BD6:BD25)</f>
      </c>
      <c r="BE6" s="9">
        <f>_xlfn.STDEV.P('中国汇率&amp;期货（ln）'!BE6:BE25)</f>
      </c>
    </row>
    <row x14ac:dyDescent="0.25" r="7" customHeight="1" ht="18.75">
      <c r="A7" s="1"/>
      <c r="B7" s="9">
        <f>_xlfn.STDEV.P('中国汇率&amp;期货（ln）'!B7:B26)</f>
      </c>
      <c r="C7" s="9">
        <f>_xlfn.STDEV.P('中国汇率&amp;期货（ln）'!C7:C26)</f>
      </c>
      <c r="D7" s="9">
        <f>_xlfn.STDEV.P('中国汇率&amp;期货（ln）'!D7:D26)</f>
      </c>
      <c r="E7" s="9">
        <f>_xlfn.STDEV.P('中国汇率&amp;期货（ln）'!E7:E26)</f>
      </c>
      <c r="F7" s="9">
        <f>_xlfn.STDEV.P('中国汇率&amp;期货（ln）'!F7:F26)</f>
      </c>
      <c r="G7" s="9">
        <f>_xlfn.STDEV.P('中国汇率&amp;期货（ln）'!G7:G26)</f>
      </c>
      <c r="H7" s="9">
        <f>_xlfn.STDEV.P('中国汇率&amp;期货（ln）'!H7:H26)</f>
      </c>
      <c r="I7" s="9">
        <f>_xlfn.STDEV.P('中国汇率&amp;期货（ln）'!I7:I26)</f>
      </c>
      <c r="J7" s="9">
        <f>_xlfn.STDEV.P('中国汇率&amp;期货（ln）'!J7:J26)</f>
      </c>
      <c r="K7" s="9">
        <f>_xlfn.STDEV.P('中国汇率&amp;期货（ln）'!K7:K26)</f>
      </c>
      <c r="L7" s="9">
        <f>_xlfn.STDEV.P('中国汇率&amp;期货（ln）'!L7:L26)</f>
      </c>
      <c r="M7" s="9">
        <f>_xlfn.STDEV.P('中国汇率&amp;期货（ln）'!M7:M26)</f>
      </c>
      <c r="N7" s="9">
        <f>_xlfn.STDEV.P('中国汇率&amp;期货（ln）'!N7:N26)</f>
      </c>
      <c r="O7" s="9">
        <f>_xlfn.STDEV.P('中国汇率&amp;期货（ln）'!O7:O26)</f>
      </c>
      <c r="P7" s="9">
        <f>_xlfn.STDEV.P('中国汇率&amp;期货（ln）'!P7:P26)</f>
      </c>
      <c r="Q7" s="9">
        <f>_xlfn.STDEV.P('中国汇率&amp;期货（ln）'!Q7:Q26)</f>
      </c>
      <c r="R7" s="9">
        <f>_xlfn.STDEV.P('中国汇率&amp;期货（ln）'!R7:R26)</f>
      </c>
      <c r="S7" s="9">
        <f>_xlfn.STDEV.P('中国汇率&amp;期货（ln）'!S7:S26)</f>
      </c>
      <c r="T7" s="9">
        <f>_xlfn.STDEV.P('中国汇率&amp;期货（ln）'!T7:T26)</f>
      </c>
      <c r="U7" s="9">
        <f>_xlfn.STDEV.P('中国汇率&amp;期货（ln）'!U7:U26)</f>
      </c>
      <c r="V7" s="9">
        <f>_xlfn.STDEV.P('中国汇率&amp;期货（ln）'!V7:V26)</f>
      </c>
      <c r="W7" s="9">
        <f>_xlfn.STDEV.P('中国汇率&amp;期货（ln）'!W7:W26)</f>
      </c>
      <c r="X7" s="9">
        <f>_xlfn.STDEV.P('中国汇率&amp;期货（ln）'!X7:X26)</f>
      </c>
      <c r="Y7" s="9">
        <f>_xlfn.STDEV.P('中国汇率&amp;期货（ln）'!Y7:Y26)</f>
      </c>
      <c r="Z7" s="9">
        <f>_xlfn.STDEV.P('中国汇率&amp;期货（ln）'!Z7:Z26)</f>
      </c>
      <c r="AA7" s="9">
        <f>_xlfn.STDEV.P('中国汇率&amp;期货（ln）'!AA7:AA26)</f>
      </c>
      <c r="AB7" s="9">
        <f>_xlfn.STDEV.P('中国汇率&amp;期货（ln）'!AB7:AB26)</f>
      </c>
      <c r="AC7" s="9">
        <f>_xlfn.STDEV.P('中国汇率&amp;期货（ln）'!AC7:AC26)</f>
      </c>
      <c r="AD7" s="9">
        <f>_xlfn.STDEV.P('中国汇率&amp;期货（ln）'!AD7:AD26)</f>
      </c>
      <c r="AE7" s="9">
        <f>_xlfn.STDEV.P('中国汇率&amp;期货（ln）'!AE7:AE26)</f>
      </c>
      <c r="AF7" s="9">
        <f>_xlfn.STDEV.P('中国汇率&amp;期货（ln）'!AF7:AF26)</f>
      </c>
      <c r="AG7" s="9">
        <f>_xlfn.STDEV.P('中国汇率&amp;期货（ln）'!AG7:AG26)</f>
      </c>
      <c r="AH7" s="9">
        <f>_xlfn.STDEV.P('中国汇率&amp;期货（ln）'!AH7:AH26)</f>
      </c>
      <c r="AI7" s="9">
        <f>_xlfn.STDEV.P('中国汇率&amp;期货（ln）'!AI7:AI26)</f>
      </c>
      <c r="AJ7" s="9">
        <f>_xlfn.STDEV.P('中国汇率&amp;期货（ln）'!AJ7:AJ26)</f>
      </c>
      <c r="AK7" s="9">
        <f>_xlfn.STDEV.P('中国汇率&amp;期货（ln）'!AK7:AK26)</f>
      </c>
      <c r="AL7" s="9">
        <f>_xlfn.STDEV.P('中国汇率&amp;期货（ln）'!AL7:AL26)</f>
      </c>
      <c r="AM7" s="9">
        <f>_xlfn.STDEV.P('中国汇率&amp;期货（ln）'!AM7:AM26)</f>
      </c>
      <c r="AN7" s="9">
        <f>_xlfn.STDEV.P('中国汇率&amp;期货（ln）'!AN7:AN26)</f>
      </c>
      <c r="AO7" s="9">
        <f>_xlfn.STDEV.P('中国汇率&amp;期货（ln）'!AO7:AO26)</f>
      </c>
      <c r="AP7" s="9">
        <f>_xlfn.STDEV.P('中国汇率&amp;期货（ln）'!AP7:AP26)</f>
      </c>
      <c r="AQ7" s="9">
        <f>_xlfn.STDEV.P('中国汇率&amp;期货（ln）'!AQ7:AQ26)</f>
      </c>
      <c r="AR7" s="9">
        <f>_xlfn.STDEV.P('中国汇率&amp;期货（ln）'!AR7:AR26)</f>
      </c>
      <c r="AS7" s="9">
        <f>_xlfn.STDEV.P('中国汇率&amp;期货（ln）'!AS7:AS26)</f>
      </c>
      <c r="AT7" s="9">
        <f>_xlfn.STDEV.P('中国汇率&amp;期货（ln）'!AT7:AT26)</f>
      </c>
      <c r="AU7" s="9">
        <f>_xlfn.STDEV.P('中国汇率&amp;期货（ln）'!AU7:AU26)</f>
      </c>
      <c r="AV7" s="9">
        <f>_xlfn.STDEV.P('中国汇率&amp;期货（ln）'!AV7:AV26)</f>
      </c>
      <c r="AW7" s="9">
        <f>_xlfn.STDEV.P('中国汇率&amp;期货（ln）'!AW7:AW26)</f>
      </c>
      <c r="AX7" s="9">
        <f>_xlfn.STDEV.P('中国汇率&amp;期货（ln）'!AX7:AX26)</f>
      </c>
      <c r="AY7" s="9">
        <f>_xlfn.STDEV.P('中国汇率&amp;期货（ln）'!AY7:AY26)</f>
      </c>
      <c r="AZ7" s="9">
        <f>_xlfn.STDEV.P('中国汇率&amp;期货（ln）'!AZ7:AZ26)</f>
      </c>
      <c r="BA7" s="9">
        <f>_xlfn.STDEV.P('中国汇率&amp;期货（ln）'!BA7:BA26)</f>
      </c>
      <c r="BB7" s="9">
        <f>_xlfn.STDEV.P('中国汇率&amp;期货（ln）'!BB7:BB26)</f>
      </c>
      <c r="BC7" s="9">
        <f>_xlfn.STDEV.P('中国汇率&amp;期货（ln）'!BC7:BC26)</f>
      </c>
      <c r="BD7" s="9">
        <f>_xlfn.STDEV.P('中国汇率&amp;期货（ln）'!BD7:BD26)</f>
      </c>
      <c r="BE7" s="9">
        <f>_xlfn.STDEV.P('中国汇率&amp;期货（ln）'!BE7:BE26)</f>
      </c>
    </row>
    <row x14ac:dyDescent="0.25" r="8" customHeight="1" ht="18.75">
      <c r="A8" s="1"/>
      <c r="B8" s="9">
        <f>_xlfn.STDEV.P('中国汇率&amp;期货（ln）'!B8:B27)</f>
      </c>
      <c r="C8" s="9">
        <f>_xlfn.STDEV.P('中国汇率&amp;期货（ln）'!C8:C27)</f>
      </c>
      <c r="D8" s="9">
        <f>_xlfn.STDEV.P('中国汇率&amp;期货（ln）'!D8:D27)</f>
      </c>
      <c r="E8" s="9">
        <f>_xlfn.STDEV.P('中国汇率&amp;期货（ln）'!E8:E27)</f>
      </c>
      <c r="F8" s="9">
        <f>_xlfn.STDEV.P('中国汇率&amp;期货（ln）'!F8:F27)</f>
      </c>
      <c r="G8" s="9">
        <f>_xlfn.STDEV.P('中国汇率&amp;期货（ln）'!G8:G27)</f>
      </c>
      <c r="H8" s="9">
        <f>_xlfn.STDEV.P('中国汇率&amp;期货（ln）'!H8:H27)</f>
      </c>
      <c r="I8" s="9">
        <f>_xlfn.STDEV.P('中国汇率&amp;期货（ln）'!I8:I27)</f>
      </c>
      <c r="J8" s="9">
        <f>_xlfn.STDEV.P('中国汇率&amp;期货（ln）'!J8:J27)</f>
      </c>
      <c r="K8" s="9">
        <f>_xlfn.STDEV.P('中国汇率&amp;期货（ln）'!K8:K27)</f>
      </c>
      <c r="L8" s="9">
        <f>_xlfn.STDEV.P('中国汇率&amp;期货（ln）'!L8:L27)</f>
      </c>
      <c r="M8" s="9">
        <f>_xlfn.STDEV.P('中国汇率&amp;期货（ln）'!M8:M27)</f>
      </c>
      <c r="N8" s="9">
        <f>_xlfn.STDEV.P('中国汇率&amp;期货（ln）'!N8:N27)</f>
      </c>
      <c r="O8" s="9">
        <f>_xlfn.STDEV.P('中国汇率&amp;期货（ln）'!O8:O27)</f>
      </c>
      <c r="P8" s="9">
        <f>_xlfn.STDEV.P('中国汇率&amp;期货（ln）'!P8:P27)</f>
      </c>
      <c r="Q8" s="9">
        <f>_xlfn.STDEV.P('中国汇率&amp;期货（ln）'!Q8:Q27)</f>
      </c>
      <c r="R8" s="9">
        <f>_xlfn.STDEV.P('中国汇率&amp;期货（ln）'!R8:R27)</f>
      </c>
      <c r="S8" s="9">
        <f>_xlfn.STDEV.P('中国汇率&amp;期货（ln）'!S8:S27)</f>
      </c>
      <c r="T8" s="9">
        <f>_xlfn.STDEV.P('中国汇率&amp;期货（ln）'!T8:T27)</f>
      </c>
      <c r="U8" s="9">
        <f>_xlfn.STDEV.P('中国汇率&amp;期货（ln）'!U8:U27)</f>
      </c>
      <c r="V8" s="9">
        <f>_xlfn.STDEV.P('中国汇率&amp;期货（ln）'!V8:V27)</f>
      </c>
      <c r="W8" s="9">
        <f>_xlfn.STDEV.P('中国汇率&amp;期货（ln）'!W8:W27)</f>
      </c>
      <c r="X8" s="9">
        <f>_xlfn.STDEV.P('中国汇率&amp;期货（ln）'!X8:X27)</f>
      </c>
      <c r="Y8" s="9">
        <f>_xlfn.STDEV.P('中国汇率&amp;期货（ln）'!Y8:Y27)</f>
      </c>
      <c r="Z8" s="9">
        <f>_xlfn.STDEV.P('中国汇率&amp;期货（ln）'!Z8:Z27)</f>
      </c>
      <c r="AA8" s="9">
        <f>_xlfn.STDEV.P('中国汇率&amp;期货（ln）'!AA8:AA27)</f>
      </c>
      <c r="AB8" s="9">
        <f>_xlfn.STDEV.P('中国汇率&amp;期货（ln）'!AB8:AB27)</f>
      </c>
      <c r="AC8" s="9">
        <f>_xlfn.STDEV.P('中国汇率&amp;期货（ln）'!AC8:AC27)</f>
      </c>
      <c r="AD8" s="9">
        <f>_xlfn.STDEV.P('中国汇率&amp;期货（ln）'!AD8:AD27)</f>
      </c>
      <c r="AE8" s="9">
        <f>_xlfn.STDEV.P('中国汇率&amp;期货（ln）'!AE8:AE27)</f>
      </c>
      <c r="AF8" s="9">
        <f>_xlfn.STDEV.P('中国汇率&amp;期货（ln）'!AF8:AF27)</f>
      </c>
      <c r="AG8" s="9">
        <f>_xlfn.STDEV.P('中国汇率&amp;期货（ln）'!AG8:AG27)</f>
      </c>
      <c r="AH8" s="9">
        <f>_xlfn.STDEV.P('中国汇率&amp;期货（ln）'!AH8:AH27)</f>
      </c>
      <c r="AI8" s="9">
        <f>_xlfn.STDEV.P('中国汇率&amp;期货（ln）'!AI8:AI27)</f>
      </c>
      <c r="AJ8" s="9">
        <f>_xlfn.STDEV.P('中国汇率&amp;期货（ln）'!AJ8:AJ27)</f>
      </c>
      <c r="AK8" s="9">
        <f>_xlfn.STDEV.P('中国汇率&amp;期货（ln）'!AK8:AK27)</f>
      </c>
      <c r="AL8" s="9">
        <f>_xlfn.STDEV.P('中国汇率&amp;期货（ln）'!AL8:AL27)</f>
      </c>
      <c r="AM8" s="9">
        <f>_xlfn.STDEV.P('中国汇率&amp;期货（ln）'!AM8:AM27)</f>
      </c>
      <c r="AN8" s="9">
        <f>_xlfn.STDEV.P('中国汇率&amp;期货（ln）'!AN8:AN27)</f>
      </c>
      <c r="AO8" s="9">
        <f>_xlfn.STDEV.P('中国汇率&amp;期货（ln）'!AO8:AO27)</f>
      </c>
      <c r="AP8" s="9">
        <f>_xlfn.STDEV.P('中国汇率&amp;期货（ln）'!AP8:AP27)</f>
      </c>
      <c r="AQ8" s="9">
        <f>_xlfn.STDEV.P('中国汇率&amp;期货（ln）'!AQ8:AQ27)</f>
      </c>
      <c r="AR8" s="9">
        <f>_xlfn.STDEV.P('中国汇率&amp;期货（ln）'!AR8:AR27)</f>
      </c>
      <c r="AS8" s="9">
        <f>_xlfn.STDEV.P('中国汇率&amp;期货（ln）'!AS8:AS27)</f>
      </c>
      <c r="AT8" s="9">
        <f>_xlfn.STDEV.P('中国汇率&amp;期货（ln）'!AT8:AT27)</f>
      </c>
      <c r="AU8" s="9">
        <f>_xlfn.STDEV.P('中国汇率&amp;期货（ln）'!AU8:AU27)</f>
      </c>
      <c r="AV8" s="9">
        <f>_xlfn.STDEV.P('中国汇率&amp;期货（ln）'!AV8:AV27)</f>
      </c>
      <c r="AW8" s="9">
        <f>_xlfn.STDEV.P('中国汇率&amp;期货（ln）'!AW8:AW27)</f>
      </c>
      <c r="AX8" s="9">
        <f>_xlfn.STDEV.P('中国汇率&amp;期货（ln）'!AX8:AX27)</f>
      </c>
      <c r="AY8" s="9">
        <f>_xlfn.STDEV.P('中国汇率&amp;期货（ln）'!AY8:AY27)</f>
      </c>
      <c r="AZ8" s="9">
        <f>_xlfn.STDEV.P('中国汇率&amp;期货（ln）'!AZ8:AZ27)</f>
      </c>
      <c r="BA8" s="9">
        <f>_xlfn.STDEV.P('中国汇率&amp;期货（ln）'!BA8:BA27)</f>
      </c>
      <c r="BB8" s="9">
        <f>_xlfn.STDEV.P('中国汇率&amp;期货（ln）'!BB8:BB27)</f>
      </c>
      <c r="BC8" s="9">
        <f>_xlfn.STDEV.P('中国汇率&amp;期货（ln）'!BC8:BC27)</f>
      </c>
      <c r="BD8" s="9">
        <f>_xlfn.STDEV.P('中国汇率&amp;期货（ln）'!BD8:BD27)</f>
      </c>
      <c r="BE8" s="9">
        <f>_xlfn.STDEV.P('中国汇率&amp;期货（ln）'!BE8:BE27)</f>
      </c>
    </row>
    <row x14ac:dyDescent="0.25" r="9" customHeight="1" ht="18.75">
      <c r="A9" s="1"/>
      <c r="B9" s="9">
        <f>_xlfn.STDEV.P('中国汇率&amp;期货（ln）'!B9:B28)</f>
      </c>
      <c r="C9" s="9">
        <f>_xlfn.STDEV.P('中国汇率&amp;期货（ln）'!C9:C28)</f>
      </c>
      <c r="D9" s="9">
        <f>_xlfn.STDEV.P('中国汇率&amp;期货（ln）'!D9:D28)</f>
      </c>
      <c r="E9" s="9">
        <f>_xlfn.STDEV.P('中国汇率&amp;期货（ln）'!E9:E28)</f>
      </c>
      <c r="F9" s="9">
        <f>_xlfn.STDEV.P('中国汇率&amp;期货（ln）'!F9:F28)</f>
      </c>
      <c r="G9" s="9">
        <f>_xlfn.STDEV.P('中国汇率&amp;期货（ln）'!G9:G28)</f>
      </c>
      <c r="H9" s="9">
        <f>_xlfn.STDEV.P('中国汇率&amp;期货（ln）'!H9:H28)</f>
      </c>
      <c r="I9" s="9">
        <f>_xlfn.STDEV.P('中国汇率&amp;期货（ln）'!I9:I28)</f>
      </c>
      <c r="J9" s="9">
        <f>_xlfn.STDEV.P('中国汇率&amp;期货（ln）'!J9:J28)</f>
      </c>
      <c r="K9" s="9">
        <f>_xlfn.STDEV.P('中国汇率&amp;期货（ln）'!K9:K28)</f>
      </c>
      <c r="L9" s="9">
        <f>_xlfn.STDEV.P('中国汇率&amp;期货（ln）'!L9:L28)</f>
      </c>
      <c r="M9" s="9">
        <f>_xlfn.STDEV.P('中国汇率&amp;期货（ln）'!M9:M28)</f>
      </c>
      <c r="N9" s="9">
        <f>_xlfn.STDEV.P('中国汇率&amp;期货（ln）'!N9:N28)</f>
      </c>
      <c r="O9" s="9">
        <f>_xlfn.STDEV.P('中国汇率&amp;期货（ln）'!O9:O28)</f>
      </c>
      <c r="P9" s="9">
        <f>_xlfn.STDEV.P('中国汇率&amp;期货（ln）'!P9:P28)</f>
      </c>
      <c r="Q9" s="9">
        <f>_xlfn.STDEV.P('中国汇率&amp;期货（ln）'!Q9:Q28)</f>
      </c>
      <c r="R9" s="9">
        <f>_xlfn.STDEV.P('中国汇率&amp;期货（ln）'!R9:R28)</f>
      </c>
      <c r="S9" s="9">
        <f>_xlfn.STDEV.P('中国汇率&amp;期货（ln）'!S9:S28)</f>
      </c>
      <c r="T9" s="9">
        <f>_xlfn.STDEV.P('中国汇率&amp;期货（ln）'!T9:T28)</f>
      </c>
      <c r="U9" s="9">
        <f>_xlfn.STDEV.P('中国汇率&amp;期货（ln）'!U9:U28)</f>
      </c>
      <c r="V9" s="9">
        <f>_xlfn.STDEV.P('中国汇率&amp;期货（ln）'!V9:V28)</f>
      </c>
      <c r="W9" s="9">
        <f>_xlfn.STDEV.P('中国汇率&amp;期货（ln）'!W9:W28)</f>
      </c>
      <c r="X9" s="9">
        <f>_xlfn.STDEV.P('中国汇率&amp;期货（ln）'!X9:X28)</f>
      </c>
      <c r="Y9" s="9">
        <f>_xlfn.STDEV.P('中国汇率&amp;期货（ln）'!Y9:Y28)</f>
      </c>
      <c r="Z9" s="9">
        <f>_xlfn.STDEV.P('中国汇率&amp;期货（ln）'!Z9:Z28)</f>
      </c>
      <c r="AA9" s="9">
        <f>_xlfn.STDEV.P('中国汇率&amp;期货（ln）'!AA9:AA28)</f>
      </c>
      <c r="AB9" s="9">
        <f>_xlfn.STDEV.P('中国汇率&amp;期货（ln）'!AB9:AB28)</f>
      </c>
      <c r="AC9" s="9">
        <f>_xlfn.STDEV.P('中国汇率&amp;期货（ln）'!AC9:AC28)</f>
      </c>
      <c r="AD9" s="9">
        <f>_xlfn.STDEV.P('中国汇率&amp;期货（ln）'!AD9:AD28)</f>
      </c>
      <c r="AE9" s="9">
        <f>_xlfn.STDEV.P('中国汇率&amp;期货（ln）'!AE9:AE28)</f>
      </c>
      <c r="AF9" s="9">
        <f>_xlfn.STDEV.P('中国汇率&amp;期货（ln）'!AF9:AF28)</f>
      </c>
      <c r="AG9" s="9">
        <f>_xlfn.STDEV.P('中国汇率&amp;期货（ln）'!AG9:AG28)</f>
      </c>
      <c r="AH9" s="9">
        <f>_xlfn.STDEV.P('中国汇率&amp;期货（ln）'!AH9:AH28)</f>
      </c>
      <c r="AI9" s="9">
        <f>_xlfn.STDEV.P('中国汇率&amp;期货（ln）'!AI9:AI28)</f>
      </c>
      <c r="AJ9" s="9">
        <f>_xlfn.STDEV.P('中国汇率&amp;期货（ln）'!AJ9:AJ28)</f>
      </c>
      <c r="AK9" s="9">
        <f>_xlfn.STDEV.P('中国汇率&amp;期货（ln）'!AK9:AK28)</f>
      </c>
      <c r="AL9" s="9">
        <f>_xlfn.STDEV.P('中国汇率&amp;期货（ln）'!AL9:AL28)</f>
      </c>
      <c r="AM9" s="9">
        <f>_xlfn.STDEV.P('中国汇率&amp;期货（ln）'!AM9:AM28)</f>
      </c>
      <c r="AN9" s="9">
        <f>_xlfn.STDEV.P('中国汇率&amp;期货（ln）'!AN9:AN28)</f>
      </c>
      <c r="AO9" s="9">
        <f>_xlfn.STDEV.P('中国汇率&amp;期货（ln）'!AO9:AO28)</f>
      </c>
      <c r="AP9" s="9">
        <f>_xlfn.STDEV.P('中国汇率&amp;期货（ln）'!AP9:AP28)</f>
      </c>
      <c r="AQ9" s="9">
        <f>_xlfn.STDEV.P('中国汇率&amp;期货（ln）'!AQ9:AQ28)</f>
      </c>
      <c r="AR9" s="9">
        <f>_xlfn.STDEV.P('中国汇率&amp;期货（ln）'!AR9:AR28)</f>
      </c>
      <c r="AS9" s="9">
        <f>_xlfn.STDEV.P('中国汇率&amp;期货（ln）'!AS9:AS28)</f>
      </c>
      <c r="AT9" s="9">
        <f>_xlfn.STDEV.P('中国汇率&amp;期货（ln）'!AT9:AT28)</f>
      </c>
      <c r="AU9" s="9">
        <f>_xlfn.STDEV.P('中国汇率&amp;期货（ln）'!AU9:AU28)</f>
      </c>
      <c r="AV9" s="9">
        <f>_xlfn.STDEV.P('中国汇率&amp;期货（ln）'!AV9:AV28)</f>
      </c>
      <c r="AW9" s="9">
        <f>_xlfn.STDEV.P('中国汇率&amp;期货（ln）'!AW9:AW28)</f>
      </c>
      <c r="AX9" s="9">
        <f>_xlfn.STDEV.P('中国汇率&amp;期货（ln）'!AX9:AX28)</f>
      </c>
      <c r="AY9" s="9">
        <f>_xlfn.STDEV.P('中国汇率&amp;期货（ln）'!AY9:AY28)</f>
      </c>
      <c r="AZ9" s="9">
        <f>_xlfn.STDEV.P('中国汇率&amp;期货（ln）'!AZ9:AZ28)</f>
      </c>
      <c r="BA9" s="9">
        <f>_xlfn.STDEV.P('中国汇率&amp;期货（ln）'!BA9:BA28)</f>
      </c>
      <c r="BB9" s="9">
        <f>_xlfn.STDEV.P('中国汇率&amp;期货（ln）'!BB9:BB28)</f>
      </c>
      <c r="BC9" s="9">
        <f>_xlfn.STDEV.P('中国汇率&amp;期货（ln）'!BC9:BC28)</f>
      </c>
      <c r="BD9" s="9">
        <f>_xlfn.STDEV.P('中国汇率&amp;期货（ln）'!BD9:BD28)</f>
      </c>
      <c r="BE9" s="9">
        <f>_xlfn.STDEV.P('中国汇率&amp;期货（ln）'!BE9:BE28)</f>
      </c>
    </row>
    <row x14ac:dyDescent="0.25" r="10" customHeight="1" ht="18.75">
      <c r="A10" s="1"/>
      <c r="B10" s="9">
        <f>_xlfn.STDEV.P('中国汇率&amp;期货（ln）'!B10:B29)</f>
      </c>
      <c r="C10" s="9">
        <f>_xlfn.STDEV.P('中国汇率&amp;期货（ln）'!C10:C29)</f>
      </c>
      <c r="D10" s="9">
        <f>_xlfn.STDEV.P('中国汇率&amp;期货（ln）'!D10:D29)</f>
      </c>
      <c r="E10" s="9">
        <f>_xlfn.STDEV.P('中国汇率&amp;期货（ln）'!E10:E29)</f>
      </c>
      <c r="F10" s="9">
        <f>_xlfn.STDEV.P('中国汇率&amp;期货（ln）'!F10:F29)</f>
      </c>
      <c r="G10" s="9">
        <f>_xlfn.STDEV.P('中国汇率&amp;期货（ln）'!G10:G29)</f>
      </c>
      <c r="H10" s="9">
        <f>_xlfn.STDEV.P('中国汇率&amp;期货（ln）'!H10:H29)</f>
      </c>
      <c r="I10" s="9">
        <f>_xlfn.STDEV.P('中国汇率&amp;期货（ln）'!I10:I29)</f>
      </c>
      <c r="J10" s="9">
        <f>_xlfn.STDEV.P('中国汇率&amp;期货（ln）'!J10:J29)</f>
      </c>
      <c r="K10" s="9">
        <f>_xlfn.STDEV.P('中国汇率&amp;期货（ln）'!K10:K29)</f>
      </c>
      <c r="L10" s="9">
        <f>_xlfn.STDEV.P('中国汇率&amp;期货（ln）'!L10:L29)</f>
      </c>
      <c r="M10" s="9">
        <f>_xlfn.STDEV.P('中国汇率&amp;期货（ln）'!M10:M29)</f>
      </c>
      <c r="N10" s="9">
        <f>_xlfn.STDEV.P('中国汇率&amp;期货（ln）'!N10:N29)</f>
      </c>
      <c r="O10" s="9">
        <f>_xlfn.STDEV.P('中国汇率&amp;期货（ln）'!O10:O29)</f>
      </c>
      <c r="P10" s="9">
        <f>_xlfn.STDEV.P('中国汇率&amp;期货（ln）'!P10:P29)</f>
      </c>
      <c r="Q10" s="9">
        <f>_xlfn.STDEV.P('中国汇率&amp;期货（ln）'!Q10:Q29)</f>
      </c>
      <c r="R10" s="9">
        <f>_xlfn.STDEV.P('中国汇率&amp;期货（ln）'!R10:R29)</f>
      </c>
      <c r="S10" s="9">
        <f>_xlfn.STDEV.P('中国汇率&amp;期货（ln）'!S10:S29)</f>
      </c>
      <c r="T10" s="9">
        <f>_xlfn.STDEV.P('中国汇率&amp;期货（ln）'!T10:T29)</f>
      </c>
      <c r="U10" s="9">
        <f>_xlfn.STDEV.P('中国汇率&amp;期货（ln）'!U10:U29)</f>
      </c>
      <c r="V10" s="9">
        <f>_xlfn.STDEV.P('中国汇率&amp;期货（ln）'!V10:V29)</f>
      </c>
      <c r="W10" s="9">
        <f>_xlfn.STDEV.P('中国汇率&amp;期货（ln）'!W10:W29)</f>
      </c>
      <c r="X10" s="9">
        <f>_xlfn.STDEV.P('中国汇率&amp;期货（ln）'!X10:X29)</f>
      </c>
      <c r="Y10" s="9">
        <f>_xlfn.STDEV.P('中国汇率&amp;期货（ln）'!Y10:Y29)</f>
      </c>
      <c r="Z10" s="9">
        <f>_xlfn.STDEV.P('中国汇率&amp;期货（ln）'!Z10:Z29)</f>
      </c>
      <c r="AA10" s="9">
        <f>_xlfn.STDEV.P('中国汇率&amp;期货（ln）'!AA10:AA29)</f>
      </c>
      <c r="AB10" s="9">
        <f>_xlfn.STDEV.P('中国汇率&amp;期货（ln）'!AB10:AB29)</f>
      </c>
      <c r="AC10" s="9">
        <f>_xlfn.STDEV.P('中国汇率&amp;期货（ln）'!AC10:AC29)</f>
      </c>
      <c r="AD10" s="9">
        <f>_xlfn.STDEV.P('中国汇率&amp;期货（ln）'!AD10:AD29)</f>
      </c>
      <c r="AE10" s="9">
        <f>_xlfn.STDEV.P('中国汇率&amp;期货（ln）'!AE10:AE29)</f>
      </c>
      <c r="AF10" s="9">
        <f>_xlfn.STDEV.P('中国汇率&amp;期货（ln）'!AF10:AF29)</f>
      </c>
      <c r="AG10" s="9">
        <f>_xlfn.STDEV.P('中国汇率&amp;期货（ln）'!AG10:AG29)</f>
      </c>
      <c r="AH10" s="9">
        <f>_xlfn.STDEV.P('中国汇率&amp;期货（ln）'!AH10:AH29)</f>
      </c>
      <c r="AI10" s="9">
        <f>_xlfn.STDEV.P('中国汇率&amp;期货（ln）'!AI10:AI29)</f>
      </c>
      <c r="AJ10" s="9">
        <f>_xlfn.STDEV.P('中国汇率&amp;期货（ln）'!AJ10:AJ29)</f>
      </c>
      <c r="AK10" s="9">
        <f>_xlfn.STDEV.P('中国汇率&amp;期货（ln）'!AK10:AK29)</f>
      </c>
      <c r="AL10" s="9">
        <f>_xlfn.STDEV.P('中国汇率&amp;期货（ln）'!AL10:AL29)</f>
      </c>
      <c r="AM10" s="9">
        <f>_xlfn.STDEV.P('中国汇率&amp;期货（ln）'!AM10:AM29)</f>
      </c>
      <c r="AN10" s="9">
        <f>_xlfn.STDEV.P('中国汇率&amp;期货（ln）'!AN10:AN29)</f>
      </c>
      <c r="AO10" s="9">
        <f>_xlfn.STDEV.P('中国汇率&amp;期货（ln）'!AO10:AO29)</f>
      </c>
      <c r="AP10" s="9">
        <f>_xlfn.STDEV.P('中国汇率&amp;期货（ln）'!AP10:AP29)</f>
      </c>
      <c r="AQ10" s="9">
        <f>_xlfn.STDEV.P('中国汇率&amp;期货（ln）'!AQ10:AQ29)</f>
      </c>
      <c r="AR10" s="9">
        <f>_xlfn.STDEV.P('中国汇率&amp;期货（ln）'!AR10:AR29)</f>
      </c>
      <c r="AS10" s="9">
        <f>_xlfn.STDEV.P('中国汇率&amp;期货（ln）'!AS10:AS29)</f>
      </c>
      <c r="AT10" s="9">
        <f>_xlfn.STDEV.P('中国汇率&amp;期货（ln）'!AT10:AT29)</f>
      </c>
      <c r="AU10" s="9">
        <f>_xlfn.STDEV.P('中国汇率&amp;期货（ln）'!AU10:AU29)</f>
      </c>
      <c r="AV10" s="9">
        <f>_xlfn.STDEV.P('中国汇率&amp;期货（ln）'!AV10:AV29)</f>
      </c>
      <c r="AW10" s="9">
        <f>_xlfn.STDEV.P('中国汇率&amp;期货（ln）'!AW10:AW29)</f>
      </c>
      <c r="AX10" s="9">
        <f>_xlfn.STDEV.P('中国汇率&amp;期货（ln）'!AX10:AX29)</f>
      </c>
      <c r="AY10" s="9">
        <f>_xlfn.STDEV.P('中国汇率&amp;期货（ln）'!AY10:AY29)</f>
      </c>
      <c r="AZ10" s="9">
        <f>_xlfn.STDEV.P('中国汇率&amp;期货（ln）'!AZ10:AZ29)</f>
      </c>
      <c r="BA10" s="9">
        <f>_xlfn.STDEV.P('中国汇率&amp;期货（ln）'!BA10:BA29)</f>
      </c>
      <c r="BB10" s="9">
        <f>_xlfn.STDEV.P('中国汇率&amp;期货（ln）'!BB10:BB29)</f>
      </c>
      <c r="BC10" s="9">
        <f>_xlfn.STDEV.P('中国汇率&amp;期货（ln）'!BC10:BC29)</f>
      </c>
      <c r="BD10" s="9">
        <f>_xlfn.STDEV.P('中国汇率&amp;期货（ln）'!BD10:BD29)</f>
      </c>
      <c r="BE10" s="9">
        <f>_xlfn.STDEV.P('中国汇率&amp;期货（ln）'!BE10:BE29)</f>
      </c>
    </row>
    <row x14ac:dyDescent="0.25" r="11" customHeight="1" ht="18.75">
      <c r="A11" s="1"/>
      <c r="B11" s="9">
        <f>_xlfn.STDEV.P('中国汇率&amp;期货（ln）'!B11:B30)</f>
      </c>
      <c r="C11" s="9">
        <f>_xlfn.STDEV.P('中国汇率&amp;期货（ln）'!C11:C30)</f>
      </c>
      <c r="D11" s="9">
        <f>_xlfn.STDEV.P('中国汇率&amp;期货（ln）'!D11:D30)</f>
      </c>
      <c r="E11" s="9">
        <f>_xlfn.STDEV.P('中国汇率&amp;期货（ln）'!E11:E30)</f>
      </c>
      <c r="F11" s="9">
        <f>_xlfn.STDEV.P('中国汇率&amp;期货（ln）'!F11:F30)</f>
      </c>
      <c r="G11" s="9">
        <f>_xlfn.STDEV.P('中国汇率&amp;期货（ln）'!G11:G30)</f>
      </c>
      <c r="H11" s="9">
        <f>_xlfn.STDEV.P('中国汇率&amp;期货（ln）'!H11:H30)</f>
      </c>
      <c r="I11" s="9">
        <f>_xlfn.STDEV.P('中国汇率&amp;期货（ln）'!I11:I30)</f>
      </c>
      <c r="J11" s="9">
        <f>_xlfn.STDEV.P('中国汇率&amp;期货（ln）'!J11:J30)</f>
      </c>
      <c r="K11" s="9">
        <f>_xlfn.STDEV.P('中国汇率&amp;期货（ln）'!K11:K30)</f>
      </c>
      <c r="L11" s="9">
        <f>_xlfn.STDEV.P('中国汇率&amp;期货（ln）'!L11:L30)</f>
      </c>
      <c r="M11" s="9">
        <f>_xlfn.STDEV.P('中国汇率&amp;期货（ln）'!M11:M30)</f>
      </c>
      <c r="N11" s="9">
        <f>_xlfn.STDEV.P('中国汇率&amp;期货（ln）'!N11:N30)</f>
      </c>
      <c r="O11" s="9">
        <f>_xlfn.STDEV.P('中国汇率&amp;期货（ln）'!O11:O30)</f>
      </c>
      <c r="P11" s="9">
        <f>_xlfn.STDEV.P('中国汇率&amp;期货（ln）'!P11:P30)</f>
      </c>
      <c r="Q11" s="9">
        <f>_xlfn.STDEV.P('中国汇率&amp;期货（ln）'!Q11:Q30)</f>
      </c>
      <c r="R11" s="9">
        <f>_xlfn.STDEV.P('中国汇率&amp;期货（ln）'!R11:R30)</f>
      </c>
      <c r="S11" s="9">
        <f>_xlfn.STDEV.P('中国汇率&amp;期货（ln）'!S11:S30)</f>
      </c>
      <c r="T11" s="9">
        <f>_xlfn.STDEV.P('中国汇率&amp;期货（ln）'!T11:T30)</f>
      </c>
      <c r="U11" s="9">
        <f>_xlfn.STDEV.P('中国汇率&amp;期货（ln）'!U11:U30)</f>
      </c>
      <c r="V11" s="9">
        <f>_xlfn.STDEV.P('中国汇率&amp;期货（ln）'!V11:V30)</f>
      </c>
      <c r="W11" s="9">
        <f>_xlfn.STDEV.P('中国汇率&amp;期货（ln）'!W11:W30)</f>
      </c>
      <c r="X11" s="9">
        <f>_xlfn.STDEV.P('中国汇率&amp;期货（ln）'!X11:X30)</f>
      </c>
      <c r="Y11" s="9">
        <f>_xlfn.STDEV.P('中国汇率&amp;期货（ln）'!Y11:Y30)</f>
      </c>
      <c r="Z11" s="9">
        <f>_xlfn.STDEV.P('中国汇率&amp;期货（ln）'!Z11:Z30)</f>
      </c>
      <c r="AA11" s="9">
        <f>_xlfn.STDEV.P('中国汇率&amp;期货（ln）'!AA11:AA30)</f>
      </c>
      <c r="AB11" s="9">
        <f>_xlfn.STDEV.P('中国汇率&amp;期货（ln）'!AB11:AB30)</f>
      </c>
      <c r="AC11" s="9">
        <f>_xlfn.STDEV.P('中国汇率&amp;期货（ln）'!AC11:AC30)</f>
      </c>
      <c r="AD11" s="9">
        <f>_xlfn.STDEV.P('中国汇率&amp;期货（ln）'!AD11:AD30)</f>
      </c>
      <c r="AE11" s="9">
        <f>_xlfn.STDEV.P('中国汇率&amp;期货（ln）'!AE11:AE30)</f>
      </c>
      <c r="AF11" s="9">
        <f>_xlfn.STDEV.P('中国汇率&amp;期货（ln）'!AF11:AF30)</f>
      </c>
      <c r="AG11" s="9">
        <f>_xlfn.STDEV.P('中国汇率&amp;期货（ln）'!AG11:AG30)</f>
      </c>
      <c r="AH11" s="9">
        <f>_xlfn.STDEV.P('中国汇率&amp;期货（ln）'!AH11:AH30)</f>
      </c>
      <c r="AI11" s="9">
        <f>_xlfn.STDEV.P('中国汇率&amp;期货（ln）'!AI11:AI30)</f>
      </c>
      <c r="AJ11" s="9">
        <f>_xlfn.STDEV.P('中国汇率&amp;期货（ln）'!AJ11:AJ30)</f>
      </c>
      <c r="AK11" s="9">
        <f>_xlfn.STDEV.P('中国汇率&amp;期货（ln）'!AK11:AK30)</f>
      </c>
      <c r="AL11" s="9">
        <f>_xlfn.STDEV.P('中国汇率&amp;期货（ln）'!AL11:AL30)</f>
      </c>
      <c r="AM11" s="9">
        <f>_xlfn.STDEV.P('中国汇率&amp;期货（ln）'!AM11:AM30)</f>
      </c>
      <c r="AN11" s="9">
        <f>_xlfn.STDEV.P('中国汇率&amp;期货（ln）'!AN11:AN30)</f>
      </c>
      <c r="AO11" s="9">
        <f>_xlfn.STDEV.P('中国汇率&amp;期货（ln）'!AO11:AO30)</f>
      </c>
      <c r="AP11" s="9">
        <f>_xlfn.STDEV.P('中国汇率&amp;期货（ln）'!AP11:AP30)</f>
      </c>
      <c r="AQ11" s="9">
        <f>_xlfn.STDEV.P('中国汇率&amp;期货（ln）'!AQ11:AQ30)</f>
      </c>
      <c r="AR11" s="9">
        <f>_xlfn.STDEV.P('中国汇率&amp;期货（ln）'!AR11:AR30)</f>
      </c>
      <c r="AS11" s="9">
        <f>_xlfn.STDEV.P('中国汇率&amp;期货（ln）'!AS11:AS30)</f>
      </c>
      <c r="AT11" s="9">
        <f>_xlfn.STDEV.P('中国汇率&amp;期货（ln）'!AT11:AT30)</f>
      </c>
      <c r="AU11" s="9">
        <f>_xlfn.STDEV.P('中国汇率&amp;期货（ln）'!AU11:AU30)</f>
      </c>
      <c r="AV11" s="9">
        <f>_xlfn.STDEV.P('中国汇率&amp;期货（ln）'!AV11:AV30)</f>
      </c>
      <c r="AW11" s="9">
        <f>_xlfn.STDEV.P('中国汇率&amp;期货（ln）'!AW11:AW30)</f>
      </c>
      <c r="AX11" s="9">
        <f>_xlfn.STDEV.P('中国汇率&amp;期货（ln）'!AX11:AX30)</f>
      </c>
      <c r="AY11" s="9">
        <f>_xlfn.STDEV.P('中国汇率&amp;期货（ln）'!AY11:AY30)</f>
      </c>
      <c r="AZ11" s="9">
        <f>_xlfn.STDEV.P('中国汇率&amp;期货（ln）'!AZ11:AZ30)</f>
      </c>
      <c r="BA11" s="9">
        <f>_xlfn.STDEV.P('中国汇率&amp;期货（ln）'!BA11:BA30)</f>
      </c>
      <c r="BB11" s="9">
        <f>_xlfn.STDEV.P('中国汇率&amp;期货（ln）'!BB11:BB30)</f>
      </c>
      <c r="BC11" s="9">
        <f>_xlfn.STDEV.P('中国汇率&amp;期货（ln）'!BC11:BC30)</f>
      </c>
      <c r="BD11" s="9">
        <f>_xlfn.STDEV.P('中国汇率&amp;期货（ln）'!BD11:BD30)</f>
      </c>
      <c r="BE11" s="9">
        <f>_xlfn.STDEV.P('中国汇率&amp;期货（ln）'!BE11:BE30)</f>
      </c>
    </row>
    <row x14ac:dyDescent="0.25" r="12" customHeight="1" ht="18.75">
      <c r="A12" s="1"/>
      <c r="B12" s="9">
        <f>_xlfn.STDEV.P('中国汇率&amp;期货（ln）'!B12:B31)</f>
      </c>
      <c r="C12" s="9">
        <f>_xlfn.STDEV.P('中国汇率&amp;期货（ln）'!C12:C31)</f>
      </c>
      <c r="D12" s="9">
        <f>_xlfn.STDEV.P('中国汇率&amp;期货（ln）'!D12:D31)</f>
      </c>
      <c r="E12" s="9">
        <f>_xlfn.STDEV.P('中国汇率&amp;期货（ln）'!E12:E31)</f>
      </c>
      <c r="F12" s="9">
        <f>_xlfn.STDEV.P('中国汇率&amp;期货（ln）'!F12:F31)</f>
      </c>
      <c r="G12" s="9">
        <f>_xlfn.STDEV.P('中国汇率&amp;期货（ln）'!G12:G31)</f>
      </c>
      <c r="H12" s="9">
        <f>_xlfn.STDEV.P('中国汇率&amp;期货（ln）'!H12:H31)</f>
      </c>
      <c r="I12" s="9">
        <f>_xlfn.STDEV.P('中国汇率&amp;期货（ln）'!I12:I31)</f>
      </c>
      <c r="J12" s="9">
        <f>_xlfn.STDEV.P('中国汇率&amp;期货（ln）'!J12:J31)</f>
      </c>
      <c r="K12" s="9">
        <f>_xlfn.STDEV.P('中国汇率&amp;期货（ln）'!K12:K31)</f>
      </c>
      <c r="L12" s="9">
        <f>_xlfn.STDEV.P('中国汇率&amp;期货（ln）'!L12:L31)</f>
      </c>
      <c r="M12" s="9">
        <f>_xlfn.STDEV.P('中国汇率&amp;期货（ln）'!M12:M31)</f>
      </c>
      <c r="N12" s="9">
        <f>_xlfn.STDEV.P('中国汇率&amp;期货（ln）'!N12:N31)</f>
      </c>
      <c r="O12" s="9">
        <f>_xlfn.STDEV.P('中国汇率&amp;期货（ln）'!O12:O31)</f>
      </c>
      <c r="P12" s="9">
        <f>_xlfn.STDEV.P('中国汇率&amp;期货（ln）'!P12:P31)</f>
      </c>
      <c r="Q12" s="9">
        <f>_xlfn.STDEV.P('中国汇率&amp;期货（ln）'!Q12:Q31)</f>
      </c>
      <c r="R12" s="9">
        <f>_xlfn.STDEV.P('中国汇率&amp;期货（ln）'!R12:R31)</f>
      </c>
      <c r="S12" s="9">
        <f>_xlfn.STDEV.P('中国汇率&amp;期货（ln）'!S12:S31)</f>
      </c>
      <c r="T12" s="9">
        <f>_xlfn.STDEV.P('中国汇率&amp;期货（ln）'!T12:T31)</f>
      </c>
      <c r="U12" s="9">
        <f>_xlfn.STDEV.P('中国汇率&amp;期货（ln）'!U12:U31)</f>
      </c>
      <c r="V12" s="9">
        <f>_xlfn.STDEV.P('中国汇率&amp;期货（ln）'!V12:V31)</f>
      </c>
      <c r="W12" s="9">
        <f>_xlfn.STDEV.P('中国汇率&amp;期货（ln）'!W12:W31)</f>
      </c>
      <c r="X12" s="9">
        <f>_xlfn.STDEV.P('中国汇率&amp;期货（ln）'!X12:X31)</f>
      </c>
      <c r="Y12" s="9">
        <f>_xlfn.STDEV.P('中国汇率&amp;期货（ln）'!Y12:Y31)</f>
      </c>
      <c r="Z12" s="9">
        <f>_xlfn.STDEV.P('中国汇率&amp;期货（ln）'!Z12:Z31)</f>
      </c>
      <c r="AA12" s="9">
        <f>_xlfn.STDEV.P('中国汇率&amp;期货（ln）'!AA12:AA31)</f>
      </c>
      <c r="AB12" s="9">
        <f>_xlfn.STDEV.P('中国汇率&amp;期货（ln）'!AB12:AB31)</f>
      </c>
      <c r="AC12" s="9">
        <f>_xlfn.STDEV.P('中国汇率&amp;期货（ln）'!AC12:AC31)</f>
      </c>
      <c r="AD12" s="9">
        <f>_xlfn.STDEV.P('中国汇率&amp;期货（ln）'!AD12:AD31)</f>
      </c>
      <c r="AE12" s="9">
        <f>_xlfn.STDEV.P('中国汇率&amp;期货（ln）'!AE12:AE31)</f>
      </c>
      <c r="AF12" s="9">
        <f>_xlfn.STDEV.P('中国汇率&amp;期货（ln）'!AF12:AF31)</f>
      </c>
      <c r="AG12" s="9">
        <f>_xlfn.STDEV.P('中国汇率&amp;期货（ln）'!AG12:AG31)</f>
      </c>
      <c r="AH12" s="9">
        <f>_xlfn.STDEV.P('中国汇率&amp;期货（ln）'!AH12:AH31)</f>
      </c>
      <c r="AI12" s="9">
        <f>_xlfn.STDEV.P('中国汇率&amp;期货（ln）'!AI12:AI31)</f>
      </c>
      <c r="AJ12" s="9">
        <f>_xlfn.STDEV.P('中国汇率&amp;期货（ln）'!AJ12:AJ31)</f>
      </c>
      <c r="AK12" s="9">
        <f>_xlfn.STDEV.P('中国汇率&amp;期货（ln）'!AK12:AK31)</f>
      </c>
      <c r="AL12" s="9">
        <f>_xlfn.STDEV.P('中国汇率&amp;期货（ln）'!AL12:AL31)</f>
      </c>
      <c r="AM12" s="9">
        <f>_xlfn.STDEV.P('中国汇率&amp;期货（ln）'!AM12:AM31)</f>
      </c>
      <c r="AN12" s="9">
        <f>_xlfn.STDEV.P('中国汇率&amp;期货（ln）'!AN12:AN31)</f>
      </c>
      <c r="AO12" s="9">
        <f>_xlfn.STDEV.P('中国汇率&amp;期货（ln）'!AO12:AO31)</f>
      </c>
      <c r="AP12" s="9">
        <f>_xlfn.STDEV.P('中国汇率&amp;期货（ln）'!AP12:AP31)</f>
      </c>
      <c r="AQ12" s="9">
        <f>_xlfn.STDEV.P('中国汇率&amp;期货（ln）'!AQ12:AQ31)</f>
      </c>
      <c r="AR12" s="9">
        <f>_xlfn.STDEV.P('中国汇率&amp;期货（ln）'!AR12:AR31)</f>
      </c>
      <c r="AS12" s="9">
        <f>_xlfn.STDEV.P('中国汇率&amp;期货（ln）'!AS12:AS31)</f>
      </c>
      <c r="AT12" s="9">
        <f>_xlfn.STDEV.P('中国汇率&amp;期货（ln）'!AT12:AT31)</f>
      </c>
      <c r="AU12" s="9">
        <f>_xlfn.STDEV.P('中国汇率&amp;期货（ln）'!AU12:AU31)</f>
      </c>
      <c r="AV12" s="9">
        <f>_xlfn.STDEV.P('中国汇率&amp;期货（ln）'!AV12:AV31)</f>
      </c>
      <c r="AW12" s="9">
        <f>_xlfn.STDEV.P('中国汇率&amp;期货（ln）'!AW12:AW31)</f>
      </c>
      <c r="AX12" s="9">
        <f>_xlfn.STDEV.P('中国汇率&amp;期货（ln）'!AX12:AX31)</f>
      </c>
      <c r="AY12" s="9">
        <f>_xlfn.STDEV.P('中国汇率&amp;期货（ln）'!AY12:AY31)</f>
      </c>
      <c r="AZ12" s="9">
        <f>_xlfn.STDEV.P('中国汇率&amp;期货（ln）'!AZ12:AZ31)</f>
      </c>
      <c r="BA12" s="9">
        <f>_xlfn.STDEV.P('中国汇率&amp;期货（ln）'!BA12:BA31)</f>
      </c>
      <c r="BB12" s="9">
        <f>_xlfn.STDEV.P('中国汇率&amp;期货（ln）'!BB12:BB31)</f>
      </c>
      <c r="BC12" s="9">
        <f>_xlfn.STDEV.P('中国汇率&amp;期货（ln）'!BC12:BC31)</f>
      </c>
      <c r="BD12" s="9">
        <f>_xlfn.STDEV.P('中国汇率&amp;期货（ln）'!BD12:BD31)</f>
      </c>
      <c r="BE12" s="9">
        <f>_xlfn.STDEV.P('中国汇率&amp;期货（ln）'!BE12:BE31)</f>
      </c>
    </row>
    <row x14ac:dyDescent="0.25" r="13" customHeight="1" ht="18.75">
      <c r="A13" s="1"/>
      <c r="B13" s="9">
        <f>_xlfn.STDEV.P('中国汇率&amp;期货（ln）'!B13:B32)</f>
      </c>
      <c r="C13" s="9">
        <f>_xlfn.STDEV.P('中国汇率&amp;期货（ln）'!C13:C32)</f>
      </c>
      <c r="D13" s="9">
        <f>_xlfn.STDEV.P('中国汇率&amp;期货（ln）'!D13:D32)</f>
      </c>
      <c r="E13" s="9">
        <f>_xlfn.STDEV.P('中国汇率&amp;期货（ln）'!E13:E32)</f>
      </c>
      <c r="F13" s="9">
        <f>_xlfn.STDEV.P('中国汇率&amp;期货（ln）'!F13:F32)</f>
      </c>
      <c r="G13" s="9">
        <f>_xlfn.STDEV.P('中国汇率&amp;期货（ln）'!G13:G32)</f>
      </c>
      <c r="H13" s="9">
        <f>_xlfn.STDEV.P('中国汇率&amp;期货（ln）'!H13:H32)</f>
      </c>
      <c r="I13" s="9">
        <f>_xlfn.STDEV.P('中国汇率&amp;期货（ln）'!I13:I32)</f>
      </c>
      <c r="J13" s="9">
        <f>_xlfn.STDEV.P('中国汇率&amp;期货（ln）'!J13:J32)</f>
      </c>
      <c r="K13" s="9">
        <f>_xlfn.STDEV.P('中国汇率&amp;期货（ln）'!K13:K32)</f>
      </c>
      <c r="L13" s="9">
        <f>_xlfn.STDEV.P('中国汇率&amp;期货（ln）'!L13:L32)</f>
      </c>
      <c r="M13" s="9">
        <f>_xlfn.STDEV.P('中国汇率&amp;期货（ln）'!M13:M32)</f>
      </c>
      <c r="N13" s="9">
        <f>_xlfn.STDEV.P('中国汇率&amp;期货（ln）'!N13:N32)</f>
      </c>
      <c r="O13" s="9">
        <f>_xlfn.STDEV.P('中国汇率&amp;期货（ln）'!O13:O32)</f>
      </c>
      <c r="P13" s="9">
        <f>_xlfn.STDEV.P('中国汇率&amp;期货（ln）'!P13:P32)</f>
      </c>
      <c r="Q13" s="9">
        <f>_xlfn.STDEV.P('中国汇率&amp;期货（ln）'!Q13:Q32)</f>
      </c>
      <c r="R13" s="9">
        <f>_xlfn.STDEV.P('中国汇率&amp;期货（ln）'!R13:R32)</f>
      </c>
      <c r="S13" s="9">
        <f>_xlfn.STDEV.P('中国汇率&amp;期货（ln）'!S13:S32)</f>
      </c>
      <c r="T13" s="9">
        <f>_xlfn.STDEV.P('中国汇率&amp;期货（ln）'!T13:T32)</f>
      </c>
      <c r="U13" s="9">
        <f>_xlfn.STDEV.P('中国汇率&amp;期货（ln）'!U13:U32)</f>
      </c>
      <c r="V13" s="9">
        <f>_xlfn.STDEV.P('中国汇率&amp;期货（ln）'!V13:V32)</f>
      </c>
      <c r="W13" s="9">
        <f>_xlfn.STDEV.P('中国汇率&amp;期货（ln）'!W13:W32)</f>
      </c>
      <c r="X13" s="9">
        <f>_xlfn.STDEV.P('中国汇率&amp;期货（ln）'!X13:X32)</f>
      </c>
      <c r="Y13" s="9">
        <f>_xlfn.STDEV.P('中国汇率&amp;期货（ln）'!Y13:Y32)</f>
      </c>
      <c r="Z13" s="9">
        <f>_xlfn.STDEV.P('中国汇率&amp;期货（ln）'!Z13:Z32)</f>
      </c>
      <c r="AA13" s="9">
        <f>_xlfn.STDEV.P('中国汇率&amp;期货（ln）'!AA13:AA32)</f>
      </c>
      <c r="AB13" s="9">
        <f>_xlfn.STDEV.P('中国汇率&amp;期货（ln）'!AB13:AB32)</f>
      </c>
      <c r="AC13" s="9">
        <f>_xlfn.STDEV.P('中国汇率&amp;期货（ln）'!AC13:AC32)</f>
      </c>
      <c r="AD13" s="9">
        <f>_xlfn.STDEV.P('中国汇率&amp;期货（ln）'!AD13:AD32)</f>
      </c>
      <c r="AE13" s="9">
        <f>_xlfn.STDEV.P('中国汇率&amp;期货（ln）'!AE13:AE32)</f>
      </c>
      <c r="AF13" s="9">
        <f>_xlfn.STDEV.P('中国汇率&amp;期货（ln）'!AF13:AF32)</f>
      </c>
      <c r="AG13" s="9">
        <f>_xlfn.STDEV.P('中国汇率&amp;期货（ln）'!AG13:AG32)</f>
      </c>
      <c r="AH13" s="9">
        <f>_xlfn.STDEV.P('中国汇率&amp;期货（ln）'!AH13:AH32)</f>
      </c>
      <c r="AI13" s="9">
        <f>_xlfn.STDEV.P('中国汇率&amp;期货（ln）'!AI13:AI32)</f>
      </c>
      <c r="AJ13" s="9">
        <f>_xlfn.STDEV.P('中国汇率&amp;期货（ln）'!AJ13:AJ32)</f>
      </c>
      <c r="AK13" s="9">
        <f>_xlfn.STDEV.P('中国汇率&amp;期货（ln）'!AK13:AK32)</f>
      </c>
      <c r="AL13" s="9">
        <f>_xlfn.STDEV.P('中国汇率&amp;期货（ln）'!AL13:AL32)</f>
      </c>
      <c r="AM13" s="9">
        <f>_xlfn.STDEV.P('中国汇率&amp;期货（ln）'!AM13:AM32)</f>
      </c>
      <c r="AN13" s="9">
        <f>_xlfn.STDEV.P('中国汇率&amp;期货（ln）'!AN13:AN32)</f>
      </c>
      <c r="AO13" s="9">
        <f>_xlfn.STDEV.P('中国汇率&amp;期货（ln）'!AO13:AO32)</f>
      </c>
      <c r="AP13" s="9">
        <f>_xlfn.STDEV.P('中国汇率&amp;期货（ln）'!AP13:AP32)</f>
      </c>
      <c r="AQ13" s="9">
        <f>_xlfn.STDEV.P('中国汇率&amp;期货（ln）'!AQ13:AQ32)</f>
      </c>
      <c r="AR13" s="9">
        <f>_xlfn.STDEV.P('中国汇率&amp;期货（ln）'!AR13:AR32)</f>
      </c>
      <c r="AS13" s="9">
        <f>_xlfn.STDEV.P('中国汇率&amp;期货（ln）'!AS13:AS32)</f>
      </c>
      <c r="AT13" s="9">
        <f>_xlfn.STDEV.P('中国汇率&amp;期货（ln）'!AT13:AT32)</f>
      </c>
      <c r="AU13" s="9">
        <f>_xlfn.STDEV.P('中国汇率&amp;期货（ln）'!AU13:AU32)</f>
      </c>
      <c r="AV13" s="9">
        <f>_xlfn.STDEV.P('中国汇率&amp;期货（ln）'!AV13:AV32)</f>
      </c>
      <c r="AW13" s="9">
        <f>_xlfn.STDEV.P('中国汇率&amp;期货（ln）'!AW13:AW32)</f>
      </c>
      <c r="AX13" s="9">
        <f>_xlfn.STDEV.P('中国汇率&amp;期货（ln）'!AX13:AX32)</f>
      </c>
      <c r="AY13" s="9">
        <f>_xlfn.STDEV.P('中国汇率&amp;期货（ln）'!AY13:AY32)</f>
      </c>
      <c r="AZ13" s="9">
        <f>_xlfn.STDEV.P('中国汇率&amp;期货（ln）'!AZ13:AZ32)</f>
      </c>
      <c r="BA13" s="9">
        <f>_xlfn.STDEV.P('中国汇率&amp;期货（ln）'!BA13:BA32)</f>
      </c>
      <c r="BB13" s="9">
        <f>_xlfn.STDEV.P('中国汇率&amp;期货（ln）'!BB13:BB32)</f>
      </c>
      <c r="BC13" s="9">
        <f>_xlfn.STDEV.P('中国汇率&amp;期货（ln）'!BC13:BC32)</f>
      </c>
      <c r="BD13" s="9">
        <f>_xlfn.STDEV.P('中国汇率&amp;期货（ln）'!BD13:BD32)</f>
      </c>
      <c r="BE13" s="9">
        <f>_xlfn.STDEV.P('中国汇率&amp;期货（ln）'!BE13:BE32)</f>
      </c>
    </row>
    <row x14ac:dyDescent="0.25" r="14" customHeight="1" ht="18.75">
      <c r="A14" s="1"/>
      <c r="B14" s="9">
        <f>_xlfn.STDEV.P('中国汇率&amp;期货（ln）'!B14:B33)</f>
      </c>
      <c r="C14" s="9">
        <f>_xlfn.STDEV.P('中国汇率&amp;期货（ln）'!C14:C33)</f>
      </c>
      <c r="D14" s="9">
        <f>_xlfn.STDEV.P('中国汇率&amp;期货（ln）'!D14:D33)</f>
      </c>
      <c r="E14" s="9">
        <f>_xlfn.STDEV.P('中国汇率&amp;期货（ln）'!E14:E33)</f>
      </c>
      <c r="F14" s="9">
        <f>_xlfn.STDEV.P('中国汇率&amp;期货（ln）'!F14:F33)</f>
      </c>
      <c r="G14" s="9">
        <f>_xlfn.STDEV.P('中国汇率&amp;期货（ln）'!G14:G33)</f>
      </c>
      <c r="H14" s="9">
        <f>_xlfn.STDEV.P('中国汇率&amp;期货（ln）'!H14:H33)</f>
      </c>
      <c r="I14" s="9">
        <f>_xlfn.STDEV.P('中国汇率&amp;期货（ln）'!I14:I33)</f>
      </c>
      <c r="J14" s="9">
        <f>_xlfn.STDEV.P('中国汇率&amp;期货（ln）'!J14:J33)</f>
      </c>
      <c r="K14" s="9">
        <f>_xlfn.STDEV.P('中国汇率&amp;期货（ln）'!K14:K33)</f>
      </c>
      <c r="L14" s="9">
        <f>_xlfn.STDEV.P('中国汇率&amp;期货（ln）'!L14:L33)</f>
      </c>
      <c r="M14" s="9">
        <f>_xlfn.STDEV.P('中国汇率&amp;期货（ln）'!M14:M33)</f>
      </c>
      <c r="N14" s="9">
        <f>_xlfn.STDEV.P('中国汇率&amp;期货（ln）'!N14:N33)</f>
      </c>
      <c r="O14" s="9">
        <f>_xlfn.STDEV.P('中国汇率&amp;期货（ln）'!O14:O33)</f>
      </c>
      <c r="P14" s="9">
        <f>_xlfn.STDEV.P('中国汇率&amp;期货（ln）'!P14:P33)</f>
      </c>
      <c r="Q14" s="9">
        <f>_xlfn.STDEV.P('中国汇率&amp;期货（ln）'!Q14:Q33)</f>
      </c>
      <c r="R14" s="9">
        <f>_xlfn.STDEV.P('中国汇率&amp;期货（ln）'!R14:R33)</f>
      </c>
      <c r="S14" s="9">
        <f>_xlfn.STDEV.P('中国汇率&amp;期货（ln）'!S14:S33)</f>
      </c>
      <c r="T14" s="9">
        <f>_xlfn.STDEV.P('中国汇率&amp;期货（ln）'!T14:T33)</f>
      </c>
      <c r="U14" s="9">
        <f>_xlfn.STDEV.P('中国汇率&amp;期货（ln）'!U14:U33)</f>
      </c>
      <c r="V14" s="9">
        <f>_xlfn.STDEV.P('中国汇率&amp;期货（ln）'!V14:V33)</f>
      </c>
      <c r="W14" s="9">
        <f>_xlfn.STDEV.P('中国汇率&amp;期货（ln）'!W14:W33)</f>
      </c>
      <c r="X14" s="9">
        <f>_xlfn.STDEV.P('中国汇率&amp;期货（ln）'!X14:X33)</f>
      </c>
      <c r="Y14" s="9">
        <f>_xlfn.STDEV.P('中国汇率&amp;期货（ln）'!Y14:Y33)</f>
      </c>
      <c r="Z14" s="9">
        <f>_xlfn.STDEV.P('中国汇率&amp;期货（ln）'!Z14:Z33)</f>
      </c>
      <c r="AA14" s="9">
        <f>_xlfn.STDEV.P('中国汇率&amp;期货（ln）'!AA14:AA33)</f>
      </c>
      <c r="AB14" s="9">
        <f>_xlfn.STDEV.P('中国汇率&amp;期货（ln）'!AB14:AB33)</f>
      </c>
      <c r="AC14" s="9">
        <f>_xlfn.STDEV.P('中国汇率&amp;期货（ln）'!AC14:AC33)</f>
      </c>
      <c r="AD14" s="9">
        <f>_xlfn.STDEV.P('中国汇率&amp;期货（ln）'!AD14:AD33)</f>
      </c>
      <c r="AE14" s="9">
        <f>_xlfn.STDEV.P('中国汇率&amp;期货（ln）'!AE14:AE33)</f>
      </c>
      <c r="AF14" s="9">
        <f>_xlfn.STDEV.P('中国汇率&amp;期货（ln）'!AF14:AF33)</f>
      </c>
      <c r="AG14" s="9">
        <f>_xlfn.STDEV.P('中国汇率&amp;期货（ln）'!AG14:AG33)</f>
      </c>
      <c r="AH14" s="9">
        <f>_xlfn.STDEV.P('中国汇率&amp;期货（ln）'!AH14:AH33)</f>
      </c>
      <c r="AI14" s="9">
        <f>_xlfn.STDEV.P('中国汇率&amp;期货（ln）'!AI14:AI33)</f>
      </c>
      <c r="AJ14" s="9">
        <f>_xlfn.STDEV.P('中国汇率&amp;期货（ln）'!AJ14:AJ33)</f>
      </c>
      <c r="AK14" s="9">
        <f>_xlfn.STDEV.P('中国汇率&amp;期货（ln）'!AK14:AK33)</f>
      </c>
      <c r="AL14" s="9">
        <f>_xlfn.STDEV.P('中国汇率&amp;期货（ln）'!AL14:AL33)</f>
      </c>
      <c r="AM14" s="9">
        <f>_xlfn.STDEV.P('中国汇率&amp;期货（ln）'!AM14:AM33)</f>
      </c>
      <c r="AN14" s="9">
        <f>_xlfn.STDEV.P('中国汇率&amp;期货（ln）'!AN14:AN33)</f>
      </c>
      <c r="AO14" s="9">
        <f>_xlfn.STDEV.P('中国汇率&amp;期货（ln）'!AO14:AO33)</f>
      </c>
      <c r="AP14" s="9">
        <f>_xlfn.STDEV.P('中国汇率&amp;期货（ln）'!AP14:AP33)</f>
      </c>
      <c r="AQ14" s="9">
        <f>_xlfn.STDEV.P('中国汇率&amp;期货（ln）'!AQ14:AQ33)</f>
      </c>
      <c r="AR14" s="9">
        <f>_xlfn.STDEV.P('中国汇率&amp;期货（ln）'!AR14:AR33)</f>
      </c>
      <c r="AS14" s="9">
        <f>_xlfn.STDEV.P('中国汇率&amp;期货（ln）'!AS14:AS33)</f>
      </c>
      <c r="AT14" s="9">
        <f>_xlfn.STDEV.P('中国汇率&amp;期货（ln）'!AT14:AT33)</f>
      </c>
      <c r="AU14" s="9">
        <f>_xlfn.STDEV.P('中国汇率&amp;期货（ln）'!AU14:AU33)</f>
      </c>
      <c r="AV14" s="9">
        <f>_xlfn.STDEV.P('中国汇率&amp;期货（ln）'!AV14:AV33)</f>
      </c>
      <c r="AW14" s="9">
        <f>_xlfn.STDEV.P('中国汇率&amp;期货（ln）'!AW14:AW33)</f>
      </c>
      <c r="AX14" s="9">
        <f>_xlfn.STDEV.P('中国汇率&amp;期货（ln）'!AX14:AX33)</f>
      </c>
      <c r="AY14" s="9">
        <f>_xlfn.STDEV.P('中国汇率&amp;期货（ln）'!AY14:AY33)</f>
      </c>
      <c r="AZ14" s="9">
        <f>_xlfn.STDEV.P('中国汇率&amp;期货（ln）'!AZ14:AZ33)</f>
      </c>
      <c r="BA14" s="9">
        <f>_xlfn.STDEV.P('中国汇率&amp;期货（ln）'!BA14:BA33)</f>
      </c>
      <c r="BB14" s="9">
        <f>_xlfn.STDEV.P('中国汇率&amp;期货（ln）'!BB14:BB33)</f>
      </c>
      <c r="BC14" s="9">
        <f>_xlfn.STDEV.P('中国汇率&amp;期货（ln）'!BC14:BC33)</f>
      </c>
      <c r="BD14" s="9">
        <f>_xlfn.STDEV.P('中国汇率&amp;期货（ln）'!BD14:BD33)</f>
      </c>
      <c r="BE14" s="9">
        <f>_xlfn.STDEV.P('中国汇率&amp;期货（ln）'!BE14:BE33)</f>
      </c>
    </row>
    <row x14ac:dyDescent="0.25" r="15" customHeight="1" ht="18.75">
      <c r="A15" s="1"/>
      <c r="B15" s="9">
        <f>_xlfn.STDEV.P('中国汇率&amp;期货（ln）'!B15:B34)</f>
      </c>
      <c r="C15" s="9">
        <f>_xlfn.STDEV.P('中国汇率&amp;期货（ln）'!C15:C34)</f>
      </c>
      <c r="D15" s="9">
        <f>_xlfn.STDEV.P('中国汇率&amp;期货（ln）'!D15:D34)</f>
      </c>
      <c r="E15" s="9">
        <f>_xlfn.STDEV.P('中国汇率&amp;期货（ln）'!E15:E34)</f>
      </c>
      <c r="F15" s="9">
        <f>_xlfn.STDEV.P('中国汇率&amp;期货（ln）'!F15:F34)</f>
      </c>
      <c r="G15" s="9">
        <f>_xlfn.STDEV.P('中国汇率&amp;期货（ln）'!G15:G34)</f>
      </c>
      <c r="H15" s="9">
        <f>_xlfn.STDEV.P('中国汇率&amp;期货（ln）'!H15:H34)</f>
      </c>
      <c r="I15" s="9">
        <f>_xlfn.STDEV.P('中国汇率&amp;期货（ln）'!I15:I34)</f>
      </c>
      <c r="J15" s="9">
        <f>_xlfn.STDEV.P('中国汇率&amp;期货（ln）'!J15:J34)</f>
      </c>
      <c r="K15" s="9">
        <f>_xlfn.STDEV.P('中国汇率&amp;期货（ln）'!K15:K34)</f>
      </c>
      <c r="L15" s="9">
        <f>_xlfn.STDEV.P('中国汇率&amp;期货（ln）'!L15:L34)</f>
      </c>
      <c r="M15" s="9">
        <f>_xlfn.STDEV.P('中国汇率&amp;期货（ln）'!M15:M34)</f>
      </c>
      <c r="N15" s="9">
        <f>_xlfn.STDEV.P('中国汇率&amp;期货（ln）'!N15:N34)</f>
      </c>
      <c r="O15" s="9">
        <f>_xlfn.STDEV.P('中国汇率&amp;期货（ln）'!O15:O34)</f>
      </c>
      <c r="P15" s="9">
        <f>_xlfn.STDEV.P('中国汇率&amp;期货（ln）'!P15:P34)</f>
      </c>
      <c r="Q15" s="9">
        <f>_xlfn.STDEV.P('中国汇率&amp;期货（ln）'!Q15:Q34)</f>
      </c>
      <c r="R15" s="9">
        <f>_xlfn.STDEV.P('中国汇率&amp;期货（ln）'!R15:R34)</f>
      </c>
      <c r="S15" s="9">
        <f>_xlfn.STDEV.P('中国汇率&amp;期货（ln）'!S15:S34)</f>
      </c>
      <c r="T15" s="9">
        <f>_xlfn.STDEV.P('中国汇率&amp;期货（ln）'!T15:T34)</f>
      </c>
      <c r="U15" s="9">
        <f>_xlfn.STDEV.P('中国汇率&amp;期货（ln）'!U15:U34)</f>
      </c>
      <c r="V15" s="9">
        <f>_xlfn.STDEV.P('中国汇率&amp;期货（ln）'!V15:V34)</f>
      </c>
      <c r="W15" s="9">
        <f>_xlfn.STDEV.P('中国汇率&amp;期货（ln）'!W15:W34)</f>
      </c>
      <c r="X15" s="9">
        <f>_xlfn.STDEV.P('中国汇率&amp;期货（ln）'!X15:X34)</f>
      </c>
      <c r="Y15" s="9">
        <f>_xlfn.STDEV.P('中国汇率&amp;期货（ln）'!Y15:Y34)</f>
      </c>
      <c r="Z15" s="9">
        <f>_xlfn.STDEV.P('中国汇率&amp;期货（ln）'!Z15:Z34)</f>
      </c>
      <c r="AA15" s="9">
        <f>_xlfn.STDEV.P('中国汇率&amp;期货（ln）'!AA15:AA34)</f>
      </c>
      <c r="AB15" s="9">
        <f>_xlfn.STDEV.P('中国汇率&amp;期货（ln）'!AB15:AB34)</f>
      </c>
      <c r="AC15" s="9">
        <f>_xlfn.STDEV.P('中国汇率&amp;期货（ln）'!AC15:AC34)</f>
      </c>
      <c r="AD15" s="9">
        <f>_xlfn.STDEV.P('中国汇率&amp;期货（ln）'!AD15:AD34)</f>
      </c>
      <c r="AE15" s="9">
        <f>_xlfn.STDEV.P('中国汇率&amp;期货（ln）'!AE15:AE34)</f>
      </c>
      <c r="AF15" s="9">
        <f>_xlfn.STDEV.P('中国汇率&amp;期货（ln）'!AF15:AF34)</f>
      </c>
      <c r="AG15" s="9">
        <f>_xlfn.STDEV.P('中国汇率&amp;期货（ln）'!AG15:AG34)</f>
      </c>
      <c r="AH15" s="9">
        <f>_xlfn.STDEV.P('中国汇率&amp;期货（ln）'!AH15:AH34)</f>
      </c>
      <c r="AI15" s="9">
        <f>_xlfn.STDEV.P('中国汇率&amp;期货（ln）'!AI15:AI34)</f>
      </c>
      <c r="AJ15" s="9">
        <f>_xlfn.STDEV.P('中国汇率&amp;期货（ln）'!AJ15:AJ34)</f>
      </c>
      <c r="AK15" s="9">
        <f>_xlfn.STDEV.P('中国汇率&amp;期货（ln）'!AK15:AK34)</f>
      </c>
      <c r="AL15" s="9">
        <f>_xlfn.STDEV.P('中国汇率&amp;期货（ln）'!AL15:AL34)</f>
      </c>
      <c r="AM15" s="9">
        <f>_xlfn.STDEV.P('中国汇率&amp;期货（ln）'!AM15:AM34)</f>
      </c>
      <c r="AN15" s="9">
        <f>_xlfn.STDEV.P('中国汇率&amp;期货（ln）'!AN15:AN34)</f>
      </c>
      <c r="AO15" s="9">
        <f>_xlfn.STDEV.P('中国汇率&amp;期货（ln）'!AO15:AO34)</f>
      </c>
      <c r="AP15" s="9">
        <f>_xlfn.STDEV.P('中国汇率&amp;期货（ln）'!AP15:AP34)</f>
      </c>
      <c r="AQ15" s="9">
        <f>_xlfn.STDEV.P('中国汇率&amp;期货（ln）'!AQ15:AQ34)</f>
      </c>
      <c r="AR15" s="9">
        <f>_xlfn.STDEV.P('中国汇率&amp;期货（ln）'!AR15:AR34)</f>
      </c>
      <c r="AS15" s="9">
        <f>_xlfn.STDEV.P('中国汇率&amp;期货（ln）'!AS15:AS34)</f>
      </c>
      <c r="AT15" s="9">
        <f>_xlfn.STDEV.P('中国汇率&amp;期货（ln）'!AT15:AT34)</f>
      </c>
      <c r="AU15" s="9">
        <f>_xlfn.STDEV.P('中国汇率&amp;期货（ln）'!AU15:AU34)</f>
      </c>
      <c r="AV15" s="9">
        <f>_xlfn.STDEV.P('中国汇率&amp;期货（ln）'!AV15:AV34)</f>
      </c>
      <c r="AW15" s="9">
        <f>_xlfn.STDEV.P('中国汇率&amp;期货（ln）'!AW15:AW34)</f>
      </c>
      <c r="AX15" s="9">
        <f>_xlfn.STDEV.P('中国汇率&amp;期货（ln）'!AX15:AX34)</f>
      </c>
      <c r="AY15" s="9">
        <f>_xlfn.STDEV.P('中国汇率&amp;期货（ln）'!AY15:AY34)</f>
      </c>
      <c r="AZ15" s="9">
        <f>_xlfn.STDEV.P('中国汇率&amp;期货（ln）'!AZ15:AZ34)</f>
      </c>
      <c r="BA15" s="9">
        <f>_xlfn.STDEV.P('中国汇率&amp;期货（ln）'!BA15:BA34)</f>
      </c>
      <c r="BB15" s="9">
        <f>_xlfn.STDEV.P('中国汇率&amp;期货（ln）'!BB15:BB34)</f>
      </c>
      <c r="BC15" s="9">
        <f>_xlfn.STDEV.P('中国汇率&amp;期货（ln）'!BC15:BC34)</f>
      </c>
      <c r="BD15" s="9">
        <f>_xlfn.STDEV.P('中国汇率&amp;期货（ln）'!BD15:BD34)</f>
      </c>
      <c r="BE15" s="9">
        <f>_xlfn.STDEV.P('中国汇率&amp;期货（ln）'!BE15:BE34)</f>
      </c>
    </row>
    <row x14ac:dyDescent="0.25" r="16" customHeight="1" ht="18.75">
      <c r="A16" s="1"/>
      <c r="B16" s="9">
        <f>_xlfn.STDEV.P('中国汇率&amp;期货（ln）'!B16:B35)</f>
      </c>
      <c r="C16" s="9">
        <f>_xlfn.STDEV.P('中国汇率&amp;期货（ln）'!C16:C35)</f>
      </c>
      <c r="D16" s="9">
        <f>_xlfn.STDEV.P('中国汇率&amp;期货（ln）'!D16:D35)</f>
      </c>
      <c r="E16" s="9">
        <f>_xlfn.STDEV.P('中国汇率&amp;期货（ln）'!E16:E35)</f>
      </c>
      <c r="F16" s="9">
        <f>_xlfn.STDEV.P('中国汇率&amp;期货（ln）'!F16:F35)</f>
      </c>
      <c r="G16" s="9">
        <f>_xlfn.STDEV.P('中国汇率&amp;期货（ln）'!G16:G35)</f>
      </c>
      <c r="H16" s="9">
        <f>_xlfn.STDEV.P('中国汇率&amp;期货（ln）'!H16:H35)</f>
      </c>
      <c r="I16" s="9">
        <f>_xlfn.STDEV.P('中国汇率&amp;期货（ln）'!I16:I35)</f>
      </c>
      <c r="J16" s="9">
        <f>_xlfn.STDEV.P('中国汇率&amp;期货（ln）'!J16:J35)</f>
      </c>
      <c r="K16" s="9">
        <f>_xlfn.STDEV.P('中国汇率&amp;期货（ln）'!K16:K35)</f>
      </c>
      <c r="L16" s="9">
        <f>_xlfn.STDEV.P('中国汇率&amp;期货（ln）'!L16:L35)</f>
      </c>
      <c r="M16" s="9">
        <f>_xlfn.STDEV.P('中国汇率&amp;期货（ln）'!M16:M35)</f>
      </c>
      <c r="N16" s="9">
        <f>_xlfn.STDEV.P('中国汇率&amp;期货（ln）'!N16:N35)</f>
      </c>
      <c r="O16" s="9">
        <f>_xlfn.STDEV.P('中国汇率&amp;期货（ln）'!O16:O35)</f>
      </c>
      <c r="P16" s="9">
        <f>_xlfn.STDEV.P('中国汇率&amp;期货（ln）'!P16:P35)</f>
      </c>
      <c r="Q16" s="9">
        <f>_xlfn.STDEV.P('中国汇率&amp;期货（ln）'!Q16:Q35)</f>
      </c>
      <c r="R16" s="9">
        <f>_xlfn.STDEV.P('中国汇率&amp;期货（ln）'!R16:R35)</f>
      </c>
      <c r="S16" s="9">
        <f>_xlfn.STDEV.P('中国汇率&amp;期货（ln）'!S16:S35)</f>
      </c>
      <c r="T16" s="9">
        <f>_xlfn.STDEV.P('中国汇率&amp;期货（ln）'!T16:T35)</f>
      </c>
      <c r="U16" s="9">
        <f>_xlfn.STDEV.P('中国汇率&amp;期货（ln）'!U16:U35)</f>
      </c>
      <c r="V16" s="9">
        <f>_xlfn.STDEV.P('中国汇率&amp;期货（ln）'!V16:V35)</f>
      </c>
      <c r="W16" s="9">
        <f>_xlfn.STDEV.P('中国汇率&amp;期货（ln）'!W16:W35)</f>
      </c>
      <c r="X16" s="9">
        <f>_xlfn.STDEV.P('中国汇率&amp;期货（ln）'!X16:X35)</f>
      </c>
      <c r="Y16" s="9">
        <f>_xlfn.STDEV.P('中国汇率&amp;期货（ln）'!Y16:Y35)</f>
      </c>
      <c r="Z16" s="9">
        <f>_xlfn.STDEV.P('中国汇率&amp;期货（ln）'!Z16:Z35)</f>
      </c>
      <c r="AA16" s="9">
        <f>_xlfn.STDEV.P('中国汇率&amp;期货（ln）'!AA16:AA35)</f>
      </c>
      <c r="AB16" s="9">
        <f>_xlfn.STDEV.P('中国汇率&amp;期货（ln）'!AB16:AB35)</f>
      </c>
      <c r="AC16" s="9">
        <f>_xlfn.STDEV.P('中国汇率&amp;期货（ln）'!AC16:AC35)</f>
      </c>
      <c r="AD16" s="9">
        <f>_xlfn.STDEV.P('中国汇率&amp;期货（ln）'!AD16:AD35)</f>
      </c>
      <c r="AE16" s="9">
        <f>_xlfn.STDEV.P('中国汇率&amp;期货（ln）'!AE16:AE35)</f>
      </c>
      <c r="AF16" s="9">
        <f>_xlfn.STDEV.P('中国汇率&amp;期货（ln）'!AF16:AF35)</f>
      </c>
      <c r="AG16" s="9">
        <f>_xlfn.STDEV.P('中国汇率&amp;期货（ln）'!AG16:AG35)</f>
      </c>
      <c r="AH16" s="9">
        <f>_xlfn.STDEV.P('中国汇率&amp;期货（ln）'!AH16:AH35)</f>
      </c>
      <c r="AI16" s="9">
        <f>_xlfn.STDEV.P('中国汇率&amp;期货（ln）'!AI16:AI35)</f>
      </c>
      <c r="AJ16" s="9">
        <f>_xlfn.STDEV.P('中国汇率&amp;期货（ln）'!AJ16:AJ35)</f>
      </c>
      <c r="AK16" s="9">
        <f>_xlfn.STDEV.P('中国汇率&amp;期货（ln）'!AK16:AK35)</f>
      </c>
      <c r="AL16" s="9">
        <f>_xlfn.STDEV.P('中国汇率&amp;期货（ln）'!AL16:AL35)</f>
      </c>
      <c r="AM16" s="9">
        <f>_xlfn.STDEV.P('中国汇率&amp;期货（ln）'!AM16:AM35)</f>
      </c>
      <c r="AN16" s="9">
        <f>_xlfn.STDEV.P('中国汇率&amp;期货（ln）'!AN16:AN35)</f>
      </c>
      <c r="AO16" s="9">
        <f>_xlfn.STDEV.P('中国汇率&amp;期货（ln）'!AO16:AO35)</f>
      </c>
      <c r="AP16" s="9">
        <f>_xlfn.STDEV.P('中国汇率&amp;期货（ln）'!AP16:AP35)</f>
      </c>
      <c r="AQ16" s="9">
        <f>_xlfn.STDEV.P('中国汇率&amp;期货（ln）'!AQ16:AQ35)</f>
      </c>
      <c r="AR16" s="9">
        <f>_xlfn.STDEV.P('中国汇率&amp;期货（ln）'!AR16:AR35)</f>
      </c>
      <c r="AS16" s="9">
        <f>_xlfn.STDEV.P('中国汇率&amp;期货（ln）'!AS16:AS35)</f>
      </c>
      <c r="AT16" s="9">
        <f>_xlfn.STDEV.P('中国汇率&amp;期货（ln）'!AT16:AT35)</f>
      </c>
      <c r="AU16" s="9">
        <f>_xlfn.STDEV.P('中国汇率&amp;期货（ln）'!AU16:AU35)</f>
      </c>
      <c r="AV16" s="9">
        <f>_xlfn.STDEV.P('中国汇率&amp;期货（ln）'!AV16:AV35)</f>
      </c>
      <c r="AW16" s="9">
        <f>_xlfn.STDEV.P('中国汇率&amp;期货（ln）'!AW16:AW35)</f>
      </c>
      <c r="AX16" s="9">
        <f>_xlfn.STDEV.P('中国汇率&amp;期货（ln）'!AX16:AX35)</f>
      </c>
      <c r="AY16" s="9">
        <f>_xlfn.STDEV.P('中国汇率&amp;期货（ln）'!AY16:AY35)</f>
      </c>
      <c r="AZ16" s="9">
        <f>_xlfn.STDEV.P('中国汇率&amp;期货（ln）'!AZ16:AZ35)</f>
      </c>
      <c r="BA16" s="9">
        <f>_xlfn.STDEV.P('中国汇率&amp;期货（ln）'!BA16:BA35)</f>
      </c>
      <c r="BB16" s="9">
        <f>_xlfn.STDEV.P('中国汇率&amp;期货（ln）'!BB16:BB35)</f>
      </c>
      <c r="BC16" s="9">
        <f>_xlfn.STDEV.P('中国汇率&amp;期货（ln）'!BC16:BC35)</f>
      </c>
      <c r="BD16" s="9">
        <f>_xlfn.STDEV.P('中国汇率&amp;期货（ln）'!BD16:BD35)</f>
      </c>
      <c r="BE16" s="9">
        <f>_xlfn.STDEV.P('中国汇率&amp;期货（ln）'!BE16:BE35)</f>
      </c>
    </row>
    <row x14ac:dyDescent="0.25" r="17" customHeight="1" ht="18.75">
      <c r="A17" s="1"/>
      <c r="B17" s="9">
        <f>_xlfn.STDEV.P('中国汇率&amp;期货（ln）'!B17:B36)</f>
      </c>
      <c r="C17" s="9">
        <f>_xlfn.STDEV.P('中国汇率&amp;期货（ln）'!C17:C36)</f>
      </c>
      <c r="D17" s="9">
        <f>_xlfn.STDEV.P('中国汇率&amp;期货（ln）'!D17:D36)</f>
      </c>
      <c r="E17" s="9">
        <f>_xlfn.STDEV.P('中国汇率&amp;期货（ln）'!E17:E36)</f>
      </c>
      <c r="F17" s="9">
        <f>_xlfn.STDEV.P('中国汇率&amp;期货（ln）'!F17:F36)</f>
      </c>
      <c r="G17" s="9">
        <f>_xlfn.STDEV.P('中国汇率&amp;期货（ln）'!G17:G36)</f>
      </c>
      <c r="H17" s="9">
        <f>_xlfn.STDEV.P('中国汇率&amp;期货（ln）'!H17:H36)</f>
      </c>
      <c r="I17" s="9">
        <f>_xlfn.STDEV.P('中国汇率&amp;期货（ln）'!I17:I36)</f>
      </c>
      <c r="J17" s="9">
        <f>_xlfn.STDEV.P('中国汇率&amp;期货（ln）'!J17:J36)</f>
      </c>
      <c r="K17" s="9">
        <f>_xlfn.STDEV.P('中国汇率&amp;期货（ln）'!K17:K36)</f>
      </c>
      <c r="L17" s="9">
        <f>_xlfn.STDEV.P('中国汇率&amp;期货（ln）'!L17:L36)</f>
      </c>
      <c r="M17" s="9">
        <f>_xlfn.STDEV.P('中国汇率&amp;期货（ln）'!M17:M36)</f>
      </c>
      <c r="N17" s="9">
        <f>_xlfn.STDEV.P('中国汇率&amp;期货（ln）'!N17:N36)</f>
      </c>
      <c r="O17" s="9">
        <f>_xlfn.STDEV.P('中国汇率&amp;期货（ln）'!O17:O36)</f>
      </c>
      <c r="P17" s="9">
        <f>_xlfn.STDEV.P('中国汇率&amp;期货（ln）'!P17:P36)</f>
      </c>
      <c r="Q17" s="9">
        <f>_xlfn.STDEV.P('中国汇率&amp;期货（ln）'!Q17:Q36)</f>
      </c>
      <c r="R17" s="9">
        <f>_xlfn.STDEV.P('中国汇率&amp;期货（ln）'!R17:R36)</f>
      </c>
      <c r="S17" s="9">
        <f>_xlfn.STDEV.P('中国汇率&amp;期货（ln）'!S17:S36)</f>
      </c>
      <c r="T17" s="9">
        <f>_xlfn.STDEV.P('中国汇率&amp;期货（ln）'!T17:T36)</f>
      </c>
      <c r="U17" s="9">
        <f>_xlfn.STDEV.P('中国汇率&amp;期货（ln）'!U17:U36)</f>
      </c>
      <c r="V17" s="9">
        <f>_xlfn.STDEV.P('中国汇率&amp;期货（ln）'!V17:V36)</f>
      </c>
      <c r="W17" s="9">
        <f>_xlfn.STDEV.P('中国汇率&amp;期货（ln）'!W17:W36)</f>
      </c>
      <c r="X17" s="9">
        <f>_xlfn.STDEV.P('中国汇率&amp;期货（ln）'!X17:X36)</f>
      </c>
      <c r="Y17" s="9">
        <f>_xlfn.STDEV.P('中国汇率&amp;期货（ln）'!Y17:Y36)</f>
      </c>
      <c r="Z17" s="9">
        <f>_xlfn.STDEV.P('中国汇率&amp;期货（ln）'!Z17:Z36)</f>
      </c>
      <c r="AA17" s="9">
        <f>_xlfn.STDEV.P('中国汇率&amp;期货（ln）'!AA17:AA36)</f>
      </c>
      <c r="AB17" s="9">
        <f>_xlfn.STDEV.P('中国汇率&amp;期货（ln）'!AB17:AB36)</f>
      </c>
      <c r="AC17" s="9">
        <f>_xlfn.STDEV.P('中国汇率&amp;期货（ln）'!AC17:AC36)</f>
      </c>
      <c r="AD17" s="9">
        <f>_xlfn.STDEV.P('中国汇率&amp;期货（ln）'!AD17:AD36)</f>
      </c>
      <c r="AE17" s="9">
        <f>_xlfn.STDEV.P('中国汇率&amp;期货（ln）'!AE17:AE36)</f>
      </c>
      <c r="AF17" s="9">
        <f>_xlfn.STDEV.P('中国汇率&amp;期货（ln）'!AF17:AF36)</f>
      </c>
      <c r="AG17" s="9">
        <f>_xlfn.STDEV.P('中国汇率&amp;期货（ln）'!AG17:AG36)</f>
      </c>
      <c r="AH17" s="9">
        <f>_xlfn.STDEV.P('中国汇率&amp;期货（ln）'!AH17:AH36)</f>
      </c>
      <c r="AI17" s="9">
        <f>_xlfn.STDEV.P('中国汇率&amp;期货（ln）'!AI17:AI36)</f>
      </c>
      <c r="AJ17" s="9">
        <f>_xlfn.STDEV.P('中国汇率&amp;期货（ln）'!AJ17:AJ36)</f>
      </c>
      <c r="AK17" s="9">
        <f>_xlfn.STDEV.P('中国汇率&amp;期货（ln）'!AK17:AK36)</f>
      </c>
      <c r="AL17" s="9">
        <f>_xlfn.STDEV.P('中国汇率&amp;期货（ln）'!AL17:AL36)</f>
      </c>
      <c r="AM17" s="9">
        <f>_xlfn.STDEV.P('中国汇率&amp;期货（ln）'!AM17:AM36)</f>
      </c>
      <c r="AN17" s="9">
        <f>_xlfn.STDEV.P('中国汇率&amp;期货（ln）'!AN17:AN36)</f>
      </c>
      <c r="AO17" s="9">
        <f>_xlfn.STDEV.P('中国汇率&amp;期货（ln）'!AO17:AO36)</f>
      </c>
      <c r="AP17" s="9">
        <f>_xlfn.STDEV.P('中国汇率&amp;期货（ln）'!AP17:AP36)</f>
      </c>
      <c r="AQ17" s="9">
        <f>_xlfn.STDEV.P('中国汇率&amp;期货（ln）'!AQ17:AQ36)</f>
      </c>
      <c r="AR17" s="9">
        <f>_xlfn.STDEV.P('中国汇率&amp;期货（ln）'!AR17:AR36)</f>
      </c>
      <c r="AS17" s="9">
        <f>_xlfn.STDEV.P('中国汇率&amp;期货（ln）'!AS17:AS36)</f>
      </c>
      <c r="AT17" s="9">
        <f>_xlfn.STDEV.P('中国汇率&amp;期货（ln）'!AT17:AT36)</f>
      </c>
      <c r="AU17" s="9">
        <f>_xlfn.STDEV.P('中国汇率&amp;期货（ln）'!AU17:AU36)</f>
      </c>
      <c r="AV17" s="9">
        <f>_xlfn.STDEV.P('中国汇率&amp;期货（ln）'!AV17:AV36)</f>
      </c>
      <c r="AW17" s="9">
        <f>_xlfn.STDEV.P('中国汇率&amp;期货（ln）'!AW17:AW36)</f>
      </c>
      <c r="AX17" s="9">
        <f>_xlfn.STDEV.P('中国汇率&amp;期货（ln）'!AX17:AX36)</f>
      </c>
      <c r="AY17" s="9">
        <f>_xlfn.STDEV.P('中国汇率&amp;期货（ln）'!AY17:AY36)</f>
      </c>
      <c r="AZ17" s="9">
        <f>_xlfn.STDEV.P('中国汇率&amp;期货（ln）'!AZ17:AZ36)</f>
      </c>
      <c r="BA17" s="9">
        <f>_xlfn.STDEV.P('中国汇率&amp;期货（ln）'!BA17:BA36)</f>
      </c>
      <c r="BB17" s="9">
        <f>_xlfn.STDEV.P('中国汇率&amp;期货（ln）'!BB17:BB36)</f>
      </c>
      <c r="BC17" s="9">
        <f>_xlfn.STDEV.P('中国汇率&amp;期货（ln）'!BC17:BC36)</f>
      </c>
      <c r="BD17" s="9">
        <f>_xlfn.STDEV.P('中国汇率&amp;期货（ln）'!BD17:BD36)</f>
      </c>
      <c r="BE17" s="9">
        <f>_xlfn.STDEV.P('中国汇率&amp;期货（ln）'!BE17:BE36)</f>
      </c>
    </row>
    <row x14ac:dyDescent="0.25" r="18" customHeight="1" ht="18.75">
      <c r="A18" s="1"/>
      <c r="B18" s="9">
        <f>_xlfn.STDEV.P('中国汇率&amp;期货（ln）'!B18:B37)</f>
      </c>
      <c r="C18" s="9">
        <f>_xlfn.STDEV.P('中国汇率&amp;期货（ln）'!C18:C37)</f>
      </c>
      <c r="D18" s="9">
        <f>_xlfn.STDEV.P('中国汇率&amp;期货（ln）'!D18:D37)</f>
      </c>
      <c r="E18" s="9">
        <f>_xlfn.STDEV.P('中国汇率&amp;期货（ln）'!E18:E37)</f>
      </c>
      <c r="F18" s="9">
        <f>_xlfn.STDEV.P('中国汇率&amp;期货（ln）'!F18:F37)</f>
      </c>
      <c r="G18" s="9">
        <f>_xlfn.STDEV.P('中国汇率&amp;期货（ln）'!G18:G37)</f>
      </c>
      <c r="H18" s="9">
        <f>_xlfn.STDEV.P('中国汇率&amp;期货（ln）'!H18:H37)</f>
      </c>
      <c r="I18" s="9">
        <f>_xlfn.STDEV.P('中国汇率&amp;期货（ln）'!I18:I37)</f>
      </c>
      <c r="J18" s="9">
        <f>_xlfn.STDEV.P('中国汇率&amp;期货（ln）'!J18:J37)</f>
      </c>
      <c r="K18" s="9">
        <f>_xlfn.STDEV.P('中国汇率&amp;期货（ln）'!K18:K37)</f>
      </c>
      <c r="L18" s="9">
        <f>_xlfn.STDEV.P('中国汇率&amp;期货（ln）'!L18:L37)</f>
      </c>
      <c r="M18" s="9">
        <f>_xlfn.STDEV.P('中国汇率&amp;期货（ln）'!M18:M37)</f>
      </c>
      <c r="N18" s="9">
        <f>_xlfn.STDEV.P('中国汇率&amp;期货（ln）'!N18:N37)</f>
      </c>
      <c r="O18" s="9">
        <f>_xlfn.STDEV.P('中国汇率&amp;期货（ln）'!O18:O37)</f>
      </c>
      <c r="P18" s="9">
        <f>_xlfn.STDEV.P('中国汇率&amp;期货（ln）'!P18:P37)</f>
      </c>
      <c r="Q18" s="9">
        <f>_xlfn.STDEV.P('中国汇率&amp;期货（ln）'!Q18:Q37)</f>
      </c>
      <c r="R18" s="9">
        <f>_xlfn.STDEV.P('中国汇率&amp;期货（ln）'!R18:R37)</f>
      </c>
      <c r="S18" s="9">
        <f>_xlfn.STDEV.P('中国汇率&amp;期货（ln）'!S18:S37)</f>
      </c>
      <c r="T18" s="9">
        <f>_xlfn.STDEV.P('中国汇率&amp;期货（ln）'!T18:T37)</f>
      </c>
      <c r="U18" s="9">
        <f>_xlfn.STDEV.P('中国汇率&amp;期货（ln）'!U18:U37)</f>
      </c>
      <c r="V18" s="9">
        <f>_xlfn.STDEV.P('中国汇率&amp;期货（ln）'!V18:V37)</f>
      </c>
      <c r="W18" s="9">
        <f>_xlfn.STDEV.P('中国汇率&amp;期货（ln）'!W18:W37)</f>
      </c>
      <c r="X18" s="9">
        <f>_xlfn.STDEV.P('中国汇率&amp;期货（ln）'!X18:X37)</f>
      </c>
      <c r="Y18" s="9">
        <f>_xlfn.STDEV.P('中国汇率&amp;期货（ln）'!Y18:Y37)</f>
      </c>
      <c r="Z18" s="9">
        <f>_xlfn.STDEV.P('中国汇率&amp;期货（ln）'!Z18:Z37)</f>
      </c>
      <c r="AA18" s="9">
        <f>_xlfn.STDEV.P('中国汇率&amp;期货（ln）'!AA18:AA37)</f>
      </c>
      <c r="AB18" s="9">
        <f>_xlfn.STDEV.P('中国汇率&amp;期货（ln）'!AB18:AB37)</f>
      </c>
      <c r="AC18" s="9">
        <f>_xlfn.STDEV.P('中国汇率&amp;期货（ln）'!AC18:AC37)</f>
      </c>
      <c r="AD18" s="9">
        <f>_xlfn.STDEV.P('中国汇率&amp;期货（ln）'!AD18:AD37)</f>
      </c>
      <c r="AE18" s="9">
        <f>_xlfn.STDEV.P('中国汇率&amp;期货（ln）'!AE18:AE37)</f>
      </c>
      <c r="AF18" s="9">
        <f>_xlfn.STDEV.P('中国汇率&amp;期货（ln）'!AF18:AF37)</f>
      </c>
      <c r="AG18" s="9">
        <f>_xlfn.STDEV.P('中国汇率&amp;期货（ln）'!AG18:AG37)</f>
      </c>
      <c r="AH18" s="9">
        <f>_xlfn.STDEV.P('中国汇率&amp;期货（ln）'!AH18:AH37)</f>
      </c>
      <c r="AI18" s="9">
        <f>_xlfn.STDEV.P('中国汇率&amp;期货（ln）'!AI18:AI37)</f>
      </c>
      <c r="AJ18" s="9">
        <f>_xlfn.STDEV.P('中国汇率&amp;期货（ln）'!AJ18:AJ37)</f>
      </c>
      <c r="AK18" s="9">
        <f>_xlfn.STDEV.P('中国汇率&amp;期货（ln）'!AK18:AK37)</f>
      </c>
      <c r="AL18" s="9">
        <f>_xlfn.STDEV.P('中国汇率&amp;期货（ln）'!AL18:AL37)</f>
      </c>
      <c r="AM18" s="9">
        <f>_xlfn.STDEV.P('中国汇率&amp;期货（ln）'!AM18:AM37)</f>
      </c>
      <c r="AN18" s="9">
        <f>_xlfn.STDEV.P('中国汇率&amp;期货（ln）'!AN18:AN37)</f>
      </c>
      <c r="AO18" s="9">
        <f>_xlfn.STDEV.P('中国汇率&amp;期货（ln）'!AO18:AO37)</f>
      </c>
      <c r="AP18" s="9">
        <f>_xlfn.STDEV.P('中国汇率&amp;期货（ln）'!AP18:AP37)</f>
      </c>
      <c r="AQ18" s="9">
        <f>_xlfn.STDEV.P('中国汇率&amp;期货（ln）'!AQ18:AQ37)</f>
      </c>
      <c r="AR18" s="9">
        <f>_xlfn.STDEV.P('中国汇率&amp;期货（ln）'!AR18:AR37)</f>
      </c>
      <c r="AS18" s="9">
        <f>_xlfn.STDEV.P('中国汇率&amp;期货（ln）'!AS18:AS37)</f>
      </c>
      <c r="AT18" s="9">
        <f>_xlfn.STDEV.P('中国汇率&amp;期货（ln）'!AT18:AT37)</f>
      </c>
      <c r="AU18" s="9">
        <f>_xlfn.STDEV.P('中国汇率&amp;期货（ln）'!AU18:AU37)</f>
      </c>
      <c r="AV18" s="9">
        <f>_xlfn.STDEV.P('中国汇率&amp;期货（ln）'!AV18:AV37)</f>
      </c>
      <c r="AW18" s="9">
        <f>_xlfn.STDEV.P('中国汇率&amp;期货（ln）'!AW18:AW37)</f>
      </c>
      <c r="AX18" s="9">
        <f>_xlfn.STDEV.P('中国汇率&amp;期货（ln）'!AX18:AX37)</f>
      </c>
      <c r="AY18" s="9">
        <f>_xlfn.STDEV.P('中国汇率&amp;期货（ln）'!AY18:AY37)</f>
      </c>
      <c r="AZ18" s="9">
        <f>_xlfn.STDEV.P('中国汇率&amp;期货（ln）'!AZ18:AZ37)</f>
      </c>
      <c r="BA18" s="9">
        <f>_xlfn.STDEV.P('中国汇率&amp;期货（ln）'!BA18:BA37)</f>
      </c>
      <c r="BB18" s="9">
        <f>_xlfn.STDEV.P('中国汇率&amp;期货（ln）'!BB18:BB37)</f>
      </c>
      <c r="BC18" s="9">
        <f>_xlfn.STDEV.P('中国汇率&amp;期货（ln）'!BC18:BC37)</f>
      </c>
      <c r="BD18" s="9">
        <f>_xlfn.STDEV.P('中国汇率&amp;期货（ln）'!BD18:BD37)</f>
      </c>
      <c r="BE18" s="9">
        <f>_xlfn.STDEV.P('中国汇率&amp;期货（ln）'!BE18:BE37)</f>
      </c>
    </row>
    <row x14ac:dyDescent="0.25" r="19" customHeight="1" ht="18.75">
      <c r="A19" s="1"/>
      <c r="B19" s="9">
        <f>_xlfn.STDEV.P('中国汇率&amp;期货（ln）'!B19:B38)</f>
      </c>
      <c r="C19" s="9">
        <f>_xlfn.STDEV.P('中国汇率&amp;期货（ln）'!C19:C38)</f>
      </c>
      <c r="D19" s="9">
        <f>_xlfn.STDEV.P('中国汇率&amp;期货（ln）'!D19:D38)</f>
      </c>
      <c r="E19" s="9">
        <f>_xlfn.STDEV.P('中国汇率&amp;期货（ln）'!E19:E38)</f>
      </c>
      <c r="F19" s="9">
        <f>_xlfn.STDEV.P('中国汇率&amp;期货（ln）'!F19:F38)</f>
      </c>
      <c r="G19" s="9">
        <f>_xlfn.STDEV.P('中国汇率&amp;期货（ln）'!G19:G38)</f>
      </c>
      <c r="H19" s="9">
        <f>_xlfn.STDEV.P('中国汇率&amp;期货（ln）'!H19:H38)</f>
      </c>
      <c r="I19" s="9">
        <f>_xlfn.STDEV.P('中国汇率&amp;期货（ln）'!I19:I38)</f>
      </c>
      <c r="J19" s="9">
        <f>_xlfn.STDEV.P('中国汇率&amp;期货（ln）'!J19:J38)</f>
      </c>
      <c r="K19" s="9">
        <f>_xlfn.STDEV.P('中国汇率&amp;期货（ln）'!K19:K38)</f>
      </c>
      <c r="L19" s="9">
        <f>_xlfn.STDEV.P('中国汇率&amp;期货（ln）'!L19:L38)</f>
      </c>
      <c r="M19" s="9">
        <f>_xlfn.STDEV.P('中国汇率&amp;期货（ln）'!M19:M38)</f>
      </c>
      <c r="N19" s="9">
        <f>_xlfn.STDEV.P('中国汇率&amp;期货（ln）'!N19:N38)</f>
      </c>
      <c r="O19" s="9">
        <f>_xlfn.STDEV.P('中国汇率&amp;期货（ln）'!O19:O38)</f>
      </c>
      <c r="P19" s="9">
        <f>_xlfn.STDEV.P('中国汇率&amp;期货（ln）'!P19:P38)</f>
      </c>
      <c r="Q19" s="9">
        <f>_xlfn.STDEV.P('中国汇率&amp;期货（ln）'!Q19:Q38)</f>
      </c>
      <c r="R19" s="9">
        <f>_xlfn.STDEV.P('中国汇率&amp;期货（ln）'!R19:R38)</f>
      </c>
      <c r="S19" s="9">
        <f>_xlfn.STDEV.P('中国汇率&amp;期货（ln）'!S19:S38)</f>
      </c>
      <c r="T19" s="9">
        <f>_xlfn.STDEV.P('中国汇率&amp;期货（ln）'!T19:T38)</f>
      </c>
      <c r="U19" s="9">
        <f>_xlfn.STDEV.P('中国汇率&amp;期货（ln）'!U19:U38)</f>
      </c>
      <c r="V19" s="9">
        <f>_xlfn.STDEV.P('中国汇率&amp;期货（ln）'!V19:V38)</f>
      </c>
      <c r="W19" s="9">
        <f>_xlfn.STDEV.P('中国汇率&amp;期货（ln）'!W19:W38)</f>
      </c>
      <c r="X19" s="9">
        <f>_xlfn.STDEV.P('中国汇率&amp;期货（ln）'!X19:X38)</f>
      </c>
      <c r="Y19" s="9">
        <f>_xlfn.STDEV.P('中国汇率&amp;期货（ln）'!Y19:Y38)</f>
      </c>
      <c r="Z19" s="9">
        <f>_xlfn.STDEV.P('中国汇率&amp;期货（ln）'!Z19:Z38)</f>
      </c>
      <c r="AA19" s="9">
        <f>_xlfn.STDEV.P('中国汇率&amp;期货（ln）'!AA19:AA38)</f>
      </c>
      <c r="AB19" s="9">
        <f>_xlfn.STDEV.P('中国汇率&amp;期货（ln）'!AB19:AB38)</f>
      </c>
      <c r="AC19" s="9">
        <f>_xlfn.STDEV.P('中国汇率&amp;期货（ln）'!AC19:AC38)</f>
      </c>
      <c r="AD19" s="9">
        <f>_xlfn.STDEV.P('中国汇率&amp;期货（ln）'!AD19:AD38)</f>
      </c>
      <c r="AE19" s="9">
        <f>_xlfn.STDEV.P('中国汇率&amp;期货（ln）'!AE19:AE38)</f>
      </c>
      <c r="AF19" s="9">
        <f>_xlfn.STDEV.P('中国汇率&amp;期货（ln）'!AF19:AF38)</f>
      </c>
      <c r="AG19" s="9">
        <f>_xlfn.STDEV.P('中国汇率&amp;期货（ln）'!AG19:AG38)</f>
      </c>
      <c r="AH19" s="9">
        <f>_xlfn.STDEV.P('中国汇率&amp;期货（ln）'!AH19:AH38)</f>
      </c>
      <c r="AI19" s="9">
        <f>_xlfn.STDEV.P('中国汇率&amp;期货（ln）'!AI19:AI38)</f>
      </c>
      <c r="AJ19" s="9">
        <f>_xlfn.STDEV.P('中国汇率&amp;期货（ln）'!AJ19:AJ38)</f>
      </c>
      <c r="AK19" s="9">
        <f>_xlfn.STDEV.P('中国汇率&amp;期货（ln）'!AK19:AK38)</f>
      </c>
      <c r="AL19" s="9">
        <f>_xlfn.STDEV.P('中国汇率&amp;期货（ln）'!AL19:AL38)</f>
      </c>
      <c r="AM19" s="9">
        <f>_xlfn.STDEV.P('中国汇率&amp;期货（ln）'!AM19:AM38)</f>
      </c>
      <c r="AN19" s="9">
        <f>_xlfn.STDEV.P('中国汇率&amp;期货（ln）'!AN19:AN38)</f>
      </c>
      <c r="AO19" s="9">
        <f>_xlfn.STDEV.P('中国汇率&amp;期货（ln）'!AO19:AO38)</f>
      </c>
      <c r="AP19" s="9">
        <f>_xlfn.STDEV.P('中国汇率&amp;期货（ln）'!AP19:AP38)</f>
      </c>
      <c r="AQ19" s="9">
        <f>_xlfn.STDEV.P('中国汇率&amp;期货（ln）'!AQ19:AQ38)</f>
      </c>
      <c r="AR19" s="9">
        <f>_xlfn.STDEV.P('中国汇率&amp;期货（ln）'!AR19:AR38)</f>
      </c>
      <c r="AS19" s="9">
        <f>_xlfn.STDEV.P('中国汇率&amp;期货（ln）'!AS19:AS38)</f>
      </c>
      <c r="AT19" s="9">
        <f>_xlfn.STDEV.P('中国汇率&amp;期货（ln）'!AT19:AT38)</f>
      </c>
      <c r="AU19" s="9">
        <f>_xlfn.STDEV.P('中国汇率&amp;期货（ln）'!AU19:AU38)</f>
      </c>
      <c r="AV19" s="9">
        <f>_xlfn.STDEV.P('中国汇率&amp;期货（ln）'!AV19:AV38)</f>
      </c>
      <c r="AW19" s="9">
        <f>_xlfn.STDEV.P('中国汇率&amp;期货（ln）'!AW19:AW38)</f>
      </c>
      <c r="AX19" s="9">
        <f>_xlfn.STDEV.P('中国汇率&amp;期货（ln）'!AX19:AX38)</f>
      </c>
      <c r="AY19" s="9">
        <f>_xlfn.STDEV.P('中国汇率&amp;期货（ln）'!AY19:AY38)</f>
      </c>
      <c r="AZ19" s="9">
        <f>_xlfn.STDEV.P('中国汇率&amp;期货（ln）'!AZ19:AZ38)</f>
      </c>
      <c r="BA19" s="9">
        <f>_xlfn.STDEV.P('中国汇率&amp;期货（ln）'!BA19:BA38)</f>
      </c>
      <c r="BB19" s="9">
        <f>_xlfn.STDEV.P('中国汇率&amp;期货（ln）'!BB19:BB38)</f>
      </c>
      <c r="BC19" s="9">
        <f>_xlfn.STDEV.P('中国汇率&amp;期货（ln）'!BC19:BC38)</f>
      </c>
      <c r="BD19" s="9">
        <f>_xlfn.STDEV.P('中国汇率&amp;期货（ln）'!BD19:BD38)</f>
      </c>
      <c r="BE19" s="9">
        <f>_xlfn.STDEV.P('中国汇率&amp;期货（ln）'!BE19:BE38)</f>
      </c>
    </row>
    <row x14ac:dyDescent="0.25" r="20" customHeight="1" ht="18.75">
      <c r="A20" s="1"/>
      <c r="B20" s="9">
        <f>_xlfn.STDEV.P('中国汇率&amp;期货（ln）'!B20:B39)</f>
      </c>
      <c r="C20" s="9">
        <f>_xlfn.STDEV.P('中国汇率&amp;期货（ln）'!C20:C39)</f>
      </c>
      <c r="D20" s="9">
        <f>_xlfn.STDEV.P('中国汇率&amp;期货（ln）'!D20:D39)</f>
      </c>
      <c r="E20" s="9">
        <f>_xlfn.STDEV.P('中国汇率&amp;期货（ln）'!E20:E39)</f>
      </c>
      <c r="F20" s="9">
        <f>_xlfn.STDEV.P('中国汇率&amp;期货（ln）'!F20:F39)</f>
      </c>
      <c r="G20" s="9">
        <f>_xlfn.STDEV.P('中国汇率&amp;期货（ln）'!G20:G39)</f>
      </c>
      <c r="H20" s="9">
        <f>_xlfn.STDEV.P('中国汇率&amp;期货（ln）'!H20:H39)</f>
      </c>
      <c r="I20" s="9">
        <f>_xlfn.STDEV.P('中国汇率&amp;期货（ln）'!I20:I39)</f>
      </c>
      <c r="J20" s="9">
        <f>_xlfn.STDEV.P('中国汇率&amp;期货（ln）'!J20:J39)</f>
      </c>
      <c r="K20" s="9">
        <f>_xlfn.STDEV.P('中国汇率&amp;期货（ln）'!K20:K39)</f>
      </c>
      <c r="L20" s="9">
        <f>_xlfn.STDEV.P('中国汇率&amp;期货（ln）'!L20:L39)</f>
      </c>
      <c r="M20" s="9">
        <f>_xlfn.STDEV.P('中国汇率&amp;期货（ln）'!M20:M39)</f>
      </c>
      <c r="N20" s="9">
        <f>_xlfn.STDEV.P('中国汇率&amp;期货（ln）'!N20:N39)</f>
      </c>
      <c r="O20" s="9">
        <f>_xlfn.STDEV.P('中国汇率&amp;期货（ln）'!O20:O39)</f>
      </c>
      <c r="P20" s="9">
        <f>_xlfn.STDEV.P('中国汇率&amp;期货（ln）'!P20:P39)</f>
      </c>
      <c r="Q20" s="9">
        <f>_xlfn.STDEV.P('中国汇率&amp;期货（ln）'!Q20:Q39)</f>
      </c>
      <c r="R20" s="9">
        <f>_xlfn.STDEV.P('中国汇率&amp;期货（ln）'!R20:R39)</f>
      </c>
      <c r="S20" s="9">
        <f>_xlfn.STDEV.P('中国汇率&amp;期货（ln）'!S20:S39)</f>
      </c>
      <c r="T20" s="9">
        <f>_xlfn.STDEV.P('中国汇率&amp;期货（ln）'!T20:T39)</f>
      </c>
      <c r="U20" s="9">
        <f>_xlfn.STDEV.P('中国汇率&amp;期货（ln）'!U20:U39)</f>
      </c>
      <c r="V20" s="9">
        <f>_xlfn.STDEV.P('中国汇率&amp;期货（ln）'!V20:V39)</f>
      </c>
      <c r="W20" s="9">
        <f>_xlfn.STDEV.P('中国汇率&amp;期货（ln）'!W20:W39)</f>
      </c>
      <c r="X20" s="9">
        <f>_xlfn.STDEV.P('中国汇率&amp;期货（ln）'!X20:X39)</f>
      </c>
      <c r="Y20" s="9">
        <f>_xlfn.STDEV.P('中国汇率&amp;期货（ln）'!Y20:Y39)</f>
      </c>
      <c r="Z20" s="9">
        <f>_xlfn.STDEV.P('中国汇率&amp;期货（ln）'!Z20:Z39)</f>
      </c>
      <c r="AA20" s="9">
        <f>_xlfn.STDEV.P('中国汇率&amp;期货（ln）'!AA20:AA39)</f>
      </c>
      <c r="AB20" s="9">
        <f>_xlfn.STDEV.P('中国汇率&amp;期货（ln）'!AB20:AB39)</f>
      </c>
      <c r="AC20" s="9">
        <f>_xlfn.STDEV.P('中国汇率&amp;期货（ln）'!AC20:AC39)</f>
      </c>
      <c r="AD20" s="9">
        <f>_xlfn.STDEV.P('中国汇率&amp;期货（ln）'!AD20:AD39)</f>
      </c>
      <c r="AE20" s="9">
        <f>_xlfn.STDEV.P('中国汇率&amp;期货（ln）'!AE20:AE39)</f>
      </c>
      <c r="AF20" s="9">
        <f>_xlfn.STDEV.P('中国汇率&amp;期货（ln）'!AF20:AF39)</f>
      </c>
      <c r="AG20" s="9">
        <f>_xlfn.STDEV.P('中国汇率&amp;期货（ln）'!AG20:AG39)</f>
      </c>
      <c r="AH20" s="9">
        <f>_xlfn.STDEV.P('中国汇率&amp;期货（ln）'!AH20:AH39)</f>
      </c>
      <c r="AI20" s="9">
        <f>_xlfn.STDEV.P('中国汇率&amp;期货（ln）'!AI20:AI39)</f>
      </c>
      <c r="AJ20" s="9">
        <f>_xlfn.STDEV.P('中国汇率&amp;期货（ln）'!AJ20:AJ39)</f>
      </c>
      <c r="AK20" s="9">
        <f>_xlfn.STDEV.P('中国汇率&amp;期货（ln）'!AK20:AK39)</f>
      </c>
      <c r="AL20" s="9">
        <f>_xlfn.STDEV.P('中国汇率&amp;期货（ln）'!AL20:AL39)</f>
      </c>
      <c r="AM20" s="9">
        <f>_xlfn.STDEV.P('中国汇率&amp;期货（ln）'!AM20:AM39)</f>
      </c>
      <c r="AN20" s="9">
        <f>_xlfn.STDEV.P('中国汇率&amp;期货（ln）'!AN20:AN39)</f>
      </c>
      <c r="AO20" s="9">
        <f>_xlfn.STDEV.P('中国汇率&amp;期货（ln）'!AO20:AO39)</f>
      </c>
      <c r="AP20" s="9">
        <f>_xlfn.STDEV.P('中国汇率&amp;期货（ln）'!AP20:AP39)</f>
      </c>
      <c r="AQ20" s="9">
        <f>_xlfn.STDEV.P('中国汇率&amp;期货（ln）'!AQ20:AQ39)</f>
      </c>
      <c r="AR20" s="9">
        <f>_xlfn.STDEV.P('中国汇率&amp;期货（ln）'!AR20:AR39)</f>
      </c>
      <c r="AS20" s="9">
        <f>_xlfn.STDEV.P('中国汇率&amp;期货（ln）'!AS20:AS39)</f>
      </c>
      <c r="AT20" s="9">
        <f>_xlfn.STDEV.P('中国汇率&amp;期货（ln）'!AT20:AT39)</f>
      </c>
      <c r="AU20" s="9">
        <f>_xlfn.STDEV.P('中国汇率&amp;期货（ln）'!AU20:AU39)</f>
      </c>
      <c r="AV20" s="9">
        <f>_xlfn.STDEV.P('中国汇率&amp;期货（ln）'!AV20:AV39)</f>
      </c>
      <c r="AW20" s="9">
        <f>_xlfn.STDEV.P('中国汇率&amp;期货（ln）'!AW20:AW39)</f>
      </c>
      <c r="AX20" s="9">
        <f>_xlfn.STDEV.P('中国汇率&amp;期货（ln）'!AX20:AX39)</f>
      </c>
      <c r="AY20" s="9">
        <f>_xlfn.STDEV.P('中国汇率&amp;期货（ln）'!AY20:AY39)</f>
      </c>
      <c r="AZ20" s="9">
        <f>_xlfn.STDEV.P('中国汇率&amp;期货（ln）'!AZ20:AZ39)</f>
      </c>
      <c r="BA20" s="9">
        <f>_xlfn.STDEV.P('中国汇率&amp;期货（ln）'!BA20:BA39)</f>
      </c>
      <c r="BB20" s="9">
        <f>_xlfn.STDEV.P('中国汇率&amp;期货（ln）'!BB20:BB39)</f>
      </c>
      <c r="BC20" s="9">
        <f>_xlfn.STDEV.P('中国汇率&amp;期货（ln）'!BC20:BC39)</f>
      </c>
      <c r="BD20" s="9">
        <f>_xlfn.STDEV.P('中国汇率&amp;期货（ln）'!BD20:BD39)</f>
      </c>
      <c r="BE20" s="9">
        <f>_xlfn.STDEV.P('中国汇率&amp;期货（ln）'!BE20:BE39)</f>
      </c>
    </row>
    <row x14ac:dyDescent="0.25" r="21" customHeight="1" ht="18.75">
      <c r="A21" s="1"/>
      <c r="B21" s="9">
        <f>_xlfn.STDEV.P('中国汇率&amp;期货（ln）'!B21:B40)</f>
      </c>
      <c r="C21" s="9">
        <f>_xlfn.STDEV.P('中国汇率&amp;期货（ln）'!C21:C40)</f>
      </c>
      <c r="D21" s="9">
        <f>_xlfn.STDEV.P('中国汇率&amp;期货（ln）'!D21:D40)</f>
      </c>
      <c r="E21" s="9">
        <f>_xlfn.STDEV.P('中国汇率&amp;期货（ln）'!E21:E40)</f>
      </c>
      <c r="F21" s="9">
        <f>_xlfn.STDEV.P('中国汇率&amp;期货（ln）'!F21:F40)</f>
      </c>
      <c r="G21" s="9">
        <f>_xlfn.STDEV.P('中国汇率&amp;期货（ln）'!G21:G40)</f>
      </c>
      <c r="H21" s="9">
        <f>_xlfn.STDEV.P('中国汇率&amp;期货（ln）'!H21:H40)</f>
      </c>
      <c r="I21" s="9">
        <f>_xlfn.STDEV.P('中国汇率&amp;期货（ln）'!I21:I40)</f>
      </c>
      <c r="J21" s="9">
        <f>_xlfn.STDEV.P('中国汇率&amp;期货（ln）'!J21:J40)</f>
      </c>
      <c r="K21" s="9">
        <f>_xlfn.STDEV.P('中国汇率&amp;期货（ln）'!K21:K40)</f>
      </c>
      <c r="L21" s="9">
        <f>_xlfn.STDEV.P('中国汇率&amp;期货（ln）'!L21:L40)</f>
      </c>
      <c r="M21" s="9">
        <f>_xlfn.STDEV.P('中国汇率&amp;期货（ln）'!M21:M40)</f>
      </c>
      <c r="N21" s="9">
        <f>_xlfn.STDEV.P('中国汇率&amp;期货（ln）'!N21:N40)</f>
      </c>
      <c r="O21" s="9">
        <f>_xlfn.STDEV.P('中国汇率&amp;期货（ln）'!O21:O40)</f>
      </c>
      <c r="P21" s="9">
        <f>_xlfn.STDEV.P('中国汇率&amp;期货（ln）'!P21:P40)</f>
      </c>
      <c r="Q21" s="9">
        <f>_xlfn.STDEV.P('中国汇率&amp;期货（ln）'!Q21:Q40)</f>
      </c>
      <c r="R21" s="9">
        <f>_xlfn.STDEV.P('中国汇率&amp;期货（ln）'!R21:R40)</f>
      </c>
      <c r="S21" s="9">
        <f>_xlfn.STDEV.P('中国汇率&amp;期货（ln）'!S21:S40)</f>
      </c>
      <c r="T21" s="9">
        <f>_xlfn.STDEV.P('中国汇率&amp;期货（ln）'!T21:T40)</f>
      </c>
      <c r="U21" s="9">
        <f>_xlfn.STDEV.P('中国汇率&amp;期货（ln）'!U21:U40)</f>
      </c>
      <c r="V21" s="9">
        <f>_xlfn.STDEV.P('中国汇率&amp;期货（ln）'!V21:V40)</f>
      </c>
      <c r="W21" s="9">
        <f>_xlfn.STDEV.P('中国汇率&amp;期货（ln）'!W21:W40)</f>
      </c>
      <c r="X21" s="9">
        <f>_xlfn.STDEV.P('中国汇率&amp;期货（ln）'!X21:X40)</f>
      </c>
      <c r="Y21" s="9">
        <f>_xlfn.STDEV.P('中国汇率&amp;期货（ln）'!Y21:Y40)</f>
      </c>
      <c r="Z21" s="9">
        <f>_xlfn.STDEV.P('中国汇率&amp;期货（ln）'!Z21:Z40)</f>
      </c>
      <c r="AA21" s="9">
        <f>_xlfn.STDEV.P('中国汇率&amp;期货（ln）'!AA21:AA40)</f>
      </c>
      <c r="AB21" s="9">
        <f>_xlfn.STDEV.P('中国汇率&amp;期货（ln）'!AB21:AB40)</f>
      </c>
      <c r="AC21" s="9">
        <f>_xlfn.STDEV.P('中国汇率&amp;期货（ln）'!AC21:AC40)</f>
      </c>
      <c r="AD21" s="9">
        <f>_xlfn.STDEV.P('中国汇率&amp;期货（ln）'!AD21:AD40)</f>
      </c>
      <c r="AE21" s="9">
        <f>_xlfn.STDEV.P('中国汇率&amp;期货（ln）'!AE21:AE40)</f>
      </c>
      <c r="AF21" s="9">
        <f>_xlfn.STDEV.P('中国汇率&amp;期货（ln）'!AF21:AF40)</f>
      </c>
      <c r="AG21" s="9">
        <f>_xlfn.STDEV.P('中国汇率&amp;期货（ln）'!AG21:AG40)</f>
      </c>
      <c r="AH21" s="9">
        <f>_xlfn.STDEV.P('中国汇率&amp;期货（ln）'!AH21:AH40)</f>
      </c>
      <c r="AI21" s="9">
        <f>_xlfn.STDEV.P('中国汇率&amp;期货（ln）'!AI21:AI40)</f>
      </c>
      <c r="AJ21" s="9">
        <f>_xlfn.STDEV.P('中国汇率&amp;期货（ln）'!AJ21:AJ40)</f>
      </c>
      <c r="AK21" s="9">
        <f>_xlfn.STDEV.P('中国汇率&amp;期货（ln）'!AK21:AK40)</f>
      </c>
      <c r="AL21" s="9">
        <f>_xlfn.STDEV.P('中国汇率&amp;期货（ln）'!AL21:AL40)</f>
      </c>
      <c r="AM21" s="9">
        <f>_xlfn.STDEV.P('中国汇率&amp;期货（ln）'!AM21:AM40)</f>
      </c>
      <c r="AN21" s="9">
        <f>_xlfn.STDEV.P('中国汇率&amp;期货（ln）'!AN21:AN40)</f>
      </c>
      <c r="AO21" s="9">
        <f>_xlfn.STDEV.P('中国汇率&amp;期货（ln）'!AO21:AO40)</f>
      </c>
      <c r="AP21" s="9">
        <f>_xlfn.STDEV.P('中国汇率&amp;期货（ln）'!AP21:AP40)</f>
      </c>
      <c r="AQ21" s="9">
        <f>_xlfn.STDEV.P('中国汇率&amp;期货（ln）'!AQ21:AQ40)</f>
      </c>
      <c r="AR21" s="9">
        <f>_xlfn.STDEV.P('中国汇率&amp;期货（ln）'!AR21:AR40)</f>
      </c>
      <c r="AS21" s="9">
        <f>_xlfn.STDEV.P('中国汇率&amp;期货（ln）'!AS21:AS40)</f>
      </c>
      <c r="AT21" s="9">
        <f>_xlfn.STDEV.P('中国汇率&amp;期货（ln）'!AT21:AT40)</f>
      </c>
      <c r="AU21" s="9">
        <f>_xlfn.STDEV.P('中国汇率&amp;期货（ln）'!AU21:AU40)</f>
      </c>
      <c r="AV21" s="9">
        <f>_xlfn.STDEV.P('中国汇率&amp;期货（ln）'!AV21:AV40)</f>
      </c>
      <c r="AW21" s="9">
        <f>_xlfn.STDEV.P('中国汇率&amp;期货（ln）'!AW21:AW40)</f>
      </c>
      <c r="AX21" s="9">
        <f>_xlfn.STDEV.P('中国汇率&amp;期货（ln）'!AX21:AX40)</f>
      </c>
      <c r="AY21" s="9">
        <f>_xlfn.STDEV.P('中国汇率&amp;期货（ln）'!AY21:AY40)</f>
      </c>
      <c r="AZ21" s="9">
        <f>_xlfn.STDEV.P('中国汇率&amp;期货（ln）'!AZ21:AZ40)</f>
      </c>
      <c r="BA21" s="9">
        <f>_xlfn.STDEV.P('中国汇率&amp;期货（ln）'!BA21:BA40)</f>
      </c>
      <c r="BB21" s="9">
        <f>_xlfn.STDEV.P('中国汇率&amp;期货（ln）'!BB21:BB40)</f>
      </c>
      <c r="BC21" s="9">
        <f>_xlfn.STDEV.P('中国汇率&amp;期货（ln）'!BC21:BC40)</f>
      </c>
      <c r="BD21" s="9">
        <f>_xlfn.STDEV.P('中国汇率&amp;期货（ln）'!BD21:BD40)</f>
      </c>
      <c r="BE21" s="9">
        <f>_xlfn.STDEV.P('中国汇率&amp;期货（ln）'!BE21:BE40)</f>
      </c>
    </row>
    <row x14ac:dyDescent="0.25" r="22" customHeight="1" ht="18.75">
      <c r="A22" s="1"/>
      <c r="B22" s="9">
        <f>_xlfn.STDEV.P('中国汇率&amp;期货（ln）'!B22:B41)</f>
      </c>
      <c r="C22" s="9">
        <f>_xlfn.STDEV.P('中国汇率&amp;期货（ln）'!C22:C41)</f>
      </c>
      <c r="D22" s="9">
        <f>_xlfn.STDEV.P('中国汇率&amp;期货（ln）'!D22:D41)</f>
      </c>
      <c r="E22" s="9">
        <f>_xlfn.STDEV.P('中国汇率&amp;期货（ln）'!E22:E41)</f>
      </c>
      <c r="F22" s="9">
        <f>_xlfn.STDEV.P('中国汇率&amp;期货（ln）'!F22:F41)</f>
      </c>
      <c r="G22" s="9">
        <f>_xlfn.STDEV.P('中国汇率&amp;期货（ln）'!G22:G41)</f>
      </c>
      <c r="H22" s="9">
        <f>_xlfn.STDEV.P('中国汇率&amp;期货（ln）'!H22:H41)</f>
      </c>
      <c r="I22" s="9">
        <f>_xlfn.STDEV.P('中国汇率&amp;期货（ln）'!I22:I41)</f>
      </c>
      <c r="J22" s="9">
        <f>_xlfn.STDEV.P('中国汇率&amp;期货（ln）'!J22:J41)</f>
      </c>
      <c r="K22" s="9">
        <f>_xlfn.STDEV.P('中国汇率&amp;期货（ln）'!K22:K41)</f>
      </c>
      <c r="L22" s="9">
        <f>_xlfn.STDEV.P('中国汇率&amp;期货（ln）'!L22:L41)</f>
      </c>
      <c r="M22" s="9">
        <f>_xlfn.STDEV.P('中国汇率&amp;期货（ln）'!M22:M41)</f>
      </c>
      <c r="N22" s="9">
        <f>_xlfn.STDEV.P('中国汇率&amp;期货（ln）'!N22:N41)</f>
      </c>
      <c r="O22" s="9">
        <f>_xlfn.STDEV.P('中国汇率&amp;期货（ln）'!O22:O41)</f>
      </c>
      <c r="P22" s="9">
        <f>_xlfn.STDEV.P('中国汇率&amp;期货（ln）'!P22:P41)</f>
      </c>
      <c r="Q22" s="9">
        <f>_xlfn.STDEV.P('中国汇率&amp;期货（ln）'!Q22:Q41)</f>
      </c>
      <c r="R22" s="9">
        <f>_xlfn.STDEV.P('中国汇率&amp;期货（ln）'!R22:R41)</f>
      </c>
      <c r="S22" s="9">
        <f>_xlfn.STDEV.P('中国汇率&amp;期货（ln）'!S22:S41)</f>
      </c>
      <c r="T22" s="9">
        <f>_xlfn.STDEV.P('中国汇率&amp;期货（ln）'!T22:T41)</f>
      </c>
      <c r="U22" s="9">
        <f>_xlfn.STDEV.P('中国汇率&amp;期货（ln）'!U22:U41)</f>
      </c>
      <c r="V22" s="9">
        <f>_xlfn.STDEV.P('中国汇率&amp;期货（ln）'!V22:V41)</f>
      </c>
      <c r="W22" s="9">
        <f>_xlfn.STDEV.P('中国汇率&amp;期货（ln）'!W22:W41)</f>
      </c>
      <c r="X22" s="9">
        <f>_xlfn.STDEV.P('中国汇率&amp;期货（ln）'!X22:X41)</f>
      </c>
      <c r="Y22" s="9">
        <f>_xlfn.STDEV.P('中国汇率&amp;期货（ln）'!Y22:Y41)</f>
      </c>
      <c r="Z22" s="9">
        <f>_xlfn.STDEV.P('中国汇率&amp;期货（ln）'!Z22:Z41)</f>
      </c>
      <c r="AA22" s="9">
        <f>_xlfn.STDEV.P('中国汇率&amp;期货（ln）'!AA22:AA41)</f>
      </c>
      <c r="AB22" s="9">
        <f>_xlfn.STDEV.P('中国汇率&amp;期货（ln）'!AB22:AB41)</f>
      </c>
      <c r="AC22" s="9">
        <f>_xlfn.STDEV.P('中国汇率&amp;期货（ln）'!AC22:AC41)</f>
      </c>
      <c r="AD22" s="9">
        <f>_xlfn.STDEV.P('中国汇率&amp;期货（ln）'!AD22:AD41)</f>
      </c>
      <c r="AE22" s="9">
        <f>_xlfn.STDEV.P('中国汇率&amp;期货（ln）'!AE22:AE41)</f>
      </c>
      <c r="AF22" s="9">
        <f>_xlfn.STDEV.P('中国汇率&amp;期货（ln）'!AF22:AF41)</f>
      </c>
      <c r="AG22" s="9">
        <f>_xlfn.STDEV.P('中国汇率&amp;期货（ln）'!AG22:AG41)</f>
      </c>
      <c r="AH22" s="9">
        <f>_xlfn.STDEV.P('中国汇率&amp;期货（ln）'!AH22:AH41)</f>
      </c>
      <c r="AI22" s="9">
        <f>_xlfn.STDEV.P('中国汇率&amp;期货（ln）'!AI22:AI41)</f>
      </c>
      <c r="AJ22" s="9">
        <f>_xlfn.STDEV.P('中国汇率&amp;期货（ln）'!AJ22:AJ41)</f>
      </c>
      <c r="AK22" s="9">
        <f>_xlfn.STDEV.P('中国汇率&amp;期货（ln）'!AK22:AK41)</f>
      </c>
      <c r="AL22" s="9">
        <f>_xlfn.STDEV.P('中国汇率&amp;期货（ln）'!AL22:AL41)</f>
      </c>
      <c r="AM22" s="9">
        <f>_xlfn.STDEV.P('中国汇率&amp;期货（ln）'!AM22:AM41)</f>
      </c>
      <c r="AN22" s="9">
        <f>_xlfn.STDEV.P('中国汇率&amp;期货（ln）'!AN22:AN41)</f>
      </c>
      <c r="AO22" s="9">
        <f>_xlfn.STDEV.P('中国汇率&amp;期货（ln）'!AO22:AO41)</f>
      </c>
      <c r="AP22" s="9">
        <f>_xlfn.STDEV.P('中国汇率&amp;期货（ln）'!AP22:AP41)</f>
      </c>
      <c r="AQ22" s="9">
        <f>_xlfn.STDEV.P('中国汇率&amp;期货（ln）'!AQ22:AQ41)</f>
      </c>
      <c r="AR22" s="9">
        <f>_xlfn.STDEV.P('中国汇率&amp;期货（ln）'!AR22:AR41)</f>
      </c>
      <c r="AS22" s="9">
        <f>_xlfn.STDEV.P('中国汇率&amp;期货（ln）'!AS22:AS41)</f>
      </c>
      <c r="AT22" s="9">
        <f>_xlfn.STDEV.P('中国汇率&amp;期货（ln）'!AT22:AT41)</f>
      </c>
      <c r="AU22" s="9">
        <f>_xlfn.STDEV.P('中国汇率&amp;期货（ln）'!AU22:AU41)</f>
      </c>
      <c r="AV22" s="9">
        <f>_xlfn.STDEV.P('中国汇率&amp;期货（ln）'!AV22:AV41)</f>
      </c>
      <c r="AW22" s="9">
        <f>_xlfn.STDEV.P('中国汇率&amp;期货（ln）'!AW22:AW41)</f>
      </c>
      <c r="AX22" s="9">
        <f>_xlfn.STDEV.P('中国汇率&amp;期货（ln）'!AX22:AX41)</f>
      </c>
      <c r="AY22" s="9">
        <f>_xlfn.STDEV.P('中国汇率&amp;期货（ln）'!AY22:AY41)</f>
      </c>
      <c r="AZ22" s="9">
        <f>_xlfn.STDEV.P('中国汇率&amp;期货（ln）'!AZ22:AZ41)</f>
      </c>
      <c r="BA22" s="9">
        <f>_xlfn.STDEV.P('中国汇率&amp;期货（ln）'!BA22:BA41)</f>
      </c>
      <c r="BB22" s="9">
        <f>_xlfn.STDEV.P('中国汇率&amp;期货（ln）'!BB22:BB41)</f>
      </c>
      <c r="BC22" s="9">
        <f>_xlfn.STDEV.P('中国汇率&amp;期货（ln）'!BC22:BC41)</f>
      </c>
      <c r="BD22" s="9">
        <f>_xlfn.STDEV.P('中国汇率&amp;期货（ln）'!BD22:BD41)</f>
      </c>
      <c r="BE22" s="9">
        <f>_xlfn.STDEV.P('中国汇率&amp;期货（ln）'!BE22:BE41)</f>
      </c>
    </row>
    <row x14ac:dyDescent="0.25" r="23" customHeight="1" ht="18.75">
      <c r="A23" s="1"/>
      <c r="B23" s="9">
        <f>_xlfn.STDEV.P('中国汇率&amp;期货（ln）'!B23:B42)</f>
      </c>
      <c r="C23" s="9">
        <f>_xlfn.STDEV.P('中国汇率&amp;期货（ln）'!C23:C42)</f>
      </c>
      <c r="D23" s="9">
        <f>_xlfn.STDEV.P('中国汇率&amp;期货（ln）'!D23:D42)</f>
      </c>
      <c r="E23" s="9">
        <f>_xlfn.STDEV.P('中国汇率&amp;期货（ln）'!E23:E42)</f>
      </c>
      <c r="F23" s="9">
        <f>_xlfn.STDEV.P('中国汇率&amp;期货（ln）'!F23:F42)</f>
      </c>
      <c r="G23" s="9">
        <f>_xlfn.STDEV.P('中国汇率&amp;期货（ln）'!G23:G42)</f>
      </c>
      <c r="H23" s="9">
        <f>_xlfn.STDEV.P('中国汇率&amp;期货（ln）'!H23:H42)</f>
      </c>
      <c r="I23" s="9">
        <f>_xlfn.STDEV.P('中国汇率&amp;期货（ln）'!I23:I42)</f>
      </c>
      <c r="J23" s="9">
        <f>_xlfn.STDEV.P('中国汇率&amp;期货（ln）'!J23:J42)</f>
      </c>
      <c r="K23" s="9">
        <f>_xlfn.STDEV.P('中国汇率&amp;期货（ln）'!K23:K42)</f>
      </c>
      <c r="L23" s="9">
        <f>_xlfn.STDEV.P('中国汇率&amp;期货（ln）'!L23:L42)</f>
      </c>
      <c r="M23" s="9">
        <f>_xlfn.STDEV.P('中国汇率&amp;期货（ln）'!M23:M42)</f>
      </c>
      <c r="N23" s="9">
        <f>_xlfn.STDEV.P('中国汇率&amp;期货（ln）'!N23:N42)</f>
      </c>
      <c r="O23" s="9">
        <f>_xlfn.STDEV.P('中国汇率&amp;期货（ln）'!O23:O42)</f>
      </c>
      <c r="P23" s="9">
        <f>_xlfn.STDEV.P('中国汇率&amp;期货（ln）'!P23:P42)</f>
      </c>
      <c r="Q23" s="9">
        <f>_xlfn.STDEV.P('中国汇率&amp;期货（ln）'!Q23:Q42)</f>
      </c>
      <c r="R23" s="9">
        <f>_xlfn.STDEV.P('中国汇率&amp;期货（ln）'!R23:R42)</f>
      </c>
      <c r="S23" s="9">
        <f>_xlfn.STDEV.P('中国汇率&amp;期货（ln）'!S23:S42)</f>
      </c>
      <c r="T23" s="9">
        <f>_xlfn.STDEV.P('中国汇率&amp;期货（ln）'!T23:T42)</f>
      </c>
      <c r="U23" s="9">
        <f>_xlfn.STDEV.P('中国汇率&amp;期货（ln）'!U23:U42)</f>
      </c>
      <c r="V23" s="9">
        <f>_xlfn.STDEV.P('中国汇率&amp;期货（ln）'!V23:V42)</f>
      </c>
      <c r="W23" s="9">
        <f>_xlfn.STDEV.P('中国汇率&amp;期货（ln）'!W23:W42)</f>
      </c>
      <c r="X23" s="9">
        <f>_xlfn.STDEV.P('中国汇率&amp;期货（ln）'!X23:X42)</f>
      </c>
      <c r="Y23" s="9">
        <f>_xlfn.STDEV.P('中国汇率&amp;期货（ln）'!Y23:Y42)</f>
      </c>
      <c r="Z23" s="9">
        <f>_xlfn.STDEV.P('中国汇率&amp;期货（ln）'!Z23:Z42)</f>
      </c>
      <c r="AA23" s="9">
        <f>_xlfn.STDEV.P('中国汇率&amp;期货（ln）'!AA23:AA42)</f>
      </c>
      <c r="AB23" s="9">
        <f>_xlfn.STDEV.P('中国汇率&amp;期货（ln）'!AB23:AB42)</f>
      </c>
      <c r="AC23" s="9">
        <f>_xlfn.STDEV.P('中国汇率&amp;期货（ln）'!AC23:AC42)</f>
      </c>
      <c r="AD23" s="9">
        <f>_xlfn.STDEV.P('中国汇率&amp;期货（ln）'!AD23:AD42)</f>
      </c>
      <c r="AE23" s="9">
        <f>_xlfn.STDEV.P('中国汇率&amp;期货（ln）'!AE23:AE42)</f>
      </c>
      <c r="AF23" s="9">
        <f>_xlfn.STDEV.P('中国汇率&amp;期货（ln）'!AF23:AF42)</f>
      </c>
      <c r="AG23" s="9">
        <f>_xlfn.STDEV.P('中国汇率&amp;期货（ln）'!AG23:AG42)</f>
      </c>
      <c r="AH23" s="9">
        <f>_xlfn.STDEV.P('中国汇率&amp;期货（ln）'!AH23:AH42)</f>
      </c>
      <c r="AI23" s="9">
        <f>_xlfn.STDEV.P('中国汇率&amp;期货（ln）'!AI23:AI42)</f>
      </c>
      <c r="AJ23" s="9">
        <f>_xlfn.STDEV.P('中国汇率&amp;期货（ln）'!AJ23:AJ42)</f>
      </c>
      <c r="AK23" s="9">
        <f>_xlfn.STDEV.P('中国汇率&amp;期货（ln）'!AK23:AK42)</f>
      </c>
      <c r="AL23" s="9">
        <f>_xlfn.STDEV.P('中国汇率&amp;期货（ln）'!AL23:AL42)</f>
      </c>
      <c r="AM23" s="9">
        <f>_xlfn.STDEV.P('中国汇率&amp;期货（ln）'!AM23:AM42)</f>
      </c>
      <c r="AN23" s="9">
        <f>_xlfn.STDEV.P('中国汇率&amp;期货（ln）'!AN23:AN42)</f>
      </c>
      <c r="AO23" s="9">
        <f>_xlfn.STDEV.P('中国汇率&amp;期货（ln）'!AO23:AO42)</f>
      </c>
      <c r="AP23" s="9">
        <f>_xlfn.STDEV.P('中国汇率&amp;期货（ln）'!AP23:AP42)</f>
      </c>
      <c r="AQ23" s="9">
        <f>_xlfn.STDEV.P('中国汇率&amp;期货（ln）'!AQ23:AQ42)</f>
      </c>
      <c r="AR23" s="9">
        <f>_xlfn.STDEV.P('中国汇率&amp;期货（ln）'!AR23:AR42)</f>
      </c>
      <c r="AS23" s="9">
        <f>_xlfn.STDEV.P('中国汇率&amp;期货（ln）'!AS23:AS42)</f>
      </c>
      <c r="AT23" s="9">
        <f>_xlfn.STDEV.P('中国汇率&amp;期货（ln）'!AT23:AT42)</f>
      </c>
      <c r="AU23" s="9">
        <f>_xlfn.STDEV.P('中国汇率&amp;期货（ln）'!AU23:AU42)</f>
      </c>
      <c r="AV23" s="9">
        <f>_xlfn.STDEV.P('中国汇率&amp;期货（ln）'!AV23:AV42)</f>
      </c>
      <c r="AW23" s="9">
        <f>_xlfn.STDEV.P('中国汇率&amp;期货（ln）'!AW23:AW42)</f>
      </c>
      <c r="AX23" s="9">
        <f>_xlfn.STDEV.P('中国汇率&amp;期货（ln）'!AX23:AX42)</f>
      </c>
      <c r="AY23" s="9">
        <f>_xlfn.STDEV.P('中国汇率&amp;期货（ln）'!AY23:AY42)</f>
      </c>
      <c r="AZ23" s="9">
        <f>_xlfn.STDEV.P('中国汇率&amp;期货（ln）'!AZ23:AZ42)</f>
      </c>
      <c r="BA23" s="9">
        <f>_xlfn.STDEV.P('中国汇率&amp;期货（ln）'!BA23:BA42)</f>
      </c>
      <c r="BB23" s="9">
        <f>_xlfn.STDEV.P('中国汇率&amp;期货（ln）'!BB23:BB42)</f>
      </c>
      <c r="BC23" s="9">
        <f>_xlfn.STDEV.P('中国汇率&amp;期货（ln）'!BC23:BC42)</f>
      </c>
      <c r="BD23" s="9">
        <f>_xlfn.STDEV.P('中国汇率&amp;期货（ln）'!BD23:BD42)</f>
      </c>
      <c r="BE23" s="9">
        <f>_xlfn.STDEV.P('中国汇率&amp;期货（ln）'!BE23:BE42)</f>
      </c>
    </row>
    <row x14ac:dyDescent="0.25" r="24" customHeight="1" ht="18.75">
      <c r="A24" s="1"/>
      <c r="B24" s="9">
        <f>_xlfn.STDEV.P('中国汇率&amp;期货（ln）'!B24:B43)</f>
      </c>
      <c r="C24" s="9">
        <f>_xlfn.STDEV.P('中国汇率&amp;期货（ln）'!C24:C43)</f>
      </c>
      <c r="D24" s="9">
        <f>_xlfn.STDEV.P('中国汇率&amp;期货（ln）'!D24:D43)</f>
      </c>
      <c r="E24" s="9">
        <f>_xlfn.STDEV.P('中国汇率&amp;期货（ln）'!E24:E43)</f>
      </c>
      <c r="F24" s="9">
        <f>_xlfn.STDEV.P('中国汇率&amp;期货（ln）'!F24:F43)</f>
      </c>
      <c r="G24" s="9">
        <f>_xlfn.STDEV.P('中国汇率&amp;期货（ln）'!G24:G43)</f>
      </c>
      <c r="H24" s="9">
        <f>_xlfn.STDEV.P('中国汇率&amp;期货（ln）'!H24:H43)</f>
      </c>
      <c r="I24" s="9">
        <f>_xlfn.STDEV.P('中国汇率&amp;期货（ln）'!I24:I43)</f>
      </c>
      <c r="J24" s="9">
        <f>_xlfn.STDEV.P('中国汇率&amp;期货（ln）'!J24:J43)</f>
      </c>
      <c r="K24" s="9">
        <f>_xlfn.STDEV.P('中国汇率&amp;期货（ln）'!K24:K43)</f>
      </c>
      <c r="L24" s="9">
        <f>_xlfn.STDEV.P('中国汇率&amp;期货（ln）'!L24:L43)</f>
      </c>
      <c r="M24" s="9">
        <f>_xlfn.STDEV.P('中国汇率&amp;期货（ln）'!M24:M43)</f>
      </c>
      <c r="N24" s="9">
        <f>_xlfn.STDEV.P('中国汇率&amp;期货（ln）'!N24:N43)</f>
      </c>
      <c r="O24" s="9">
        <f>_xlfn.STDEV.P('中国汇率&amp;期货（ln）'!O24:O43)</f>
      </c>
      <c r="P24" s="9">
        <f>_xlfn.STDEV.P('中国汇率&amp;期货（ln）'!P24:P43)</f>
      </c>
      <c r="Q24" s="9">
        <f>_xlfn.STDEV.P('中国汇率&amp;期货（ln）'!Q24:Q43)</f>
      </c>
      <c r="R24" s="9">
        <f>_xlfn.STDEV.P('中国汇率&amp;期货（ln）'!R24:R43)</f>
      </c>
      <c r="S24" s="9">
        <f>_xlfn.STDEV.P('中国汇率&amp;期货（ln）'!S24:S43)</f>
      </c>
      <c r="T24" s="9">
        <f>_xlfn.STDEV.P('中国汇率&amp;期货（ln）'!T24:T43)</f>
      </c>
      <c r="U24" s="9">
        <f>_xlfn.STDEV.P('中国汇率&amp;期货（ln）'!U24:U43)</f>
      </c>
      <c r="V24" s="9">
        <f>_xlfn.STDEV.P('中国汇率&amp;期货（ln）'!V24:V43)</f>
      </c>
      <c r="W24" s="9">
        <f>_xlfn.STDEV.P('中国汇率&amp;期货（ln）'!W24:W43)</f>
      </c>
      <c r="X24" s="9">
        <f>_xlfn.STDEV.P('中国汇率&amp;期货（ln）'!X24:X43)</f>
      </c>
      <c r="Y24" s="9">
        <f>_xlfn.STDEV.P('中国汇率&amp;期货（ln）'!Y24:Y43)</f>
      </c>
      <c r="Z24" s="9">
        <f>_xlfn.STDEV.P('中国汇率&amp;期货（ln）'!Z24:Z43)</f>
      </c>
      <c r="AA24" s="9">
        <f>_xlfn.STDEV.P('中国汇率&amp;期货（ln）'!AA24:AA43)</f>
      </c>
      <c r="AB24" s="9">
        <f>_xlfn.STDEV.P('中国汇率&amp;期货（ln）'!AB24:AB43)</f>
      </c>
      <c r="AC24" s="9">
        <f>_xlfn.STDEV.P('中国汇率&amp;期货（ln）'!AC24:AC43)</f>
      </c>
      <c r="AD24" s="9">
        <f>_xlfn.STDEV.P('中国汇率&amp;期货（ln）'!AD24:AD43)</f>
      </c>
      <c r="AE24" s="9">
        <f>_xlfn.STDEV.P('中国汇率&amp;期货（ln）'!AE24:AE43)</f>
      </c>
      <c r="AF24" s="9">
        <f>_xlfn.STDEV.P('中国汇率&amp;期货（ln）'!AF24:AF43)</f>
      </c>
      <c r="AG24" s="9">
        <f>_xlfn.STDEV.P('中国汇率&amp;期货（ln）'!AG24:AG43)</f>
      </c>
      <c r="AH24" s="9">
        <f>_xlfn.STDEV.P('中国汇率&amp;期货（ln）'!AH24:AH43)</f>
      </c>
      <c r="AI24" s="9">
        <f>_xlfn.STDEV.P('中国汇率&amp;期货（ln）'!AI24:AI43)</f>
      </c>
      <c r="AJ24" s="9">
        <f>_xlfn.STDEV.P('中国汇率&amp;期货（ln）'!AJ24:AJ43)</f>
      </c>
      <c r="AK24" s="9">
        <f>_xlfn.STDEV.P('中国汇率&amp;期货（ln）'!AK24:AK43)</f>
      </c>
      <c r="AL24" s="9">
        <f>_xlfn.STDEV.P('中国汇率&amp;期货（ln）'!AL24:AL43)</f>
      </c>
      <c r="AM24" s="9">
        <f>_xlfn.STDEV.P('中国汇率&amp;期货（ln）'!AM24:AM43)</f>
      </c>
      <c r="AN24" s="9">
        <f>_xlfn.STDEV.P('中国汇率&amp;期货（ln）'!AN24:AN43)</f>
      </c>
      <c r="AO24" s="9">
        <f>_xlfn.STDEV.P('中国汇率&amp;期货（ln）'!AO24:AO43)</f>
      </c>
      <c r="AP24" s="9">
        <f>_xlfn.STDEV.P('中国汇率&amp;期货（ln）'!AP24:AP43)</f>
      </c>
      <c r="AQ24" s="9">
        <f>_xlfn.STDEV.P('中国汇率&amp;期货（ln）'!AQ24:AQ43)</f>
      </c>
      <c r="AR24" s="9">
        <f>_xlfn.STDEV.P('中国汇率&amp;期货（ln）'!AR24:AR43)</f>
      </c>
      <c r="AS24" s="9">
        <f>_xlfn.STDEV.P('中国汇率&amp;期货（ln）'!AS24:AS43)</f>
      </c>
      <c r="AT24" s="9">
        <f>_xlfn.STDEV.P('中国汇率&amp;期货（ln）'!AT24:AT43)</f>
      </c>
      <c r="AU24" s="9">
        <f>_xlfn.STDEV.P('中国汇率&amp;期货（ln）'!AU24:AU43)</f>
      </c>
      <c r="AV24" s="9">
        <f>_xlfn.STDEV.P('中国汇率&amp;期货（ln）'!AV24:AV43)</f>
      </c>
      <c r="AW24" s="9">
        <f>_xlfn.STDEV.P('中国汇率&amp;期货（ln）'!AW24:AW43)</f>
      </c>
      <c r="AX24" s="9">
        <f>_xlfn.STDEV.P('中国汇率&amp;期货（ln）'!AX24:AX43)</f>
      </c>
      <c r="AY24" s="9">
        <f>_xlfn.STDEV.P('中国汇率&amp;期货（ln）'!AY24:AY43)</f>
      </c>
      <c r="AZ24" s="9">
        <f>_xlfn.STDEV.P('中国汇率&amp;期货（ln）'!AZ24:AZ43)</f>
      </c>
      <c r="BA24" s="9">
        <f>_xlfn.STDEV.P('中国汇率&amp;期货（ln）'!BA24:BA43)</f>
      </c>
      <c r="BB24" s="9">
        <f>_xlfn.STDEV.P('中国汇率&amp;期货（ln）'!BB24:BB43)</f>
      </c>
      <c r="BC24" s="9">
        <f>_xlfn.STDEV.P('中国汇率&amp;期货（ln）'!BC24:BC43)</f>
      </c>
      <c r="BD24" s="9">
        <f>_xlfn.STDEV.P('中国汇率&amp;期货（ln）'!BD24:BD43)</f>
      </c>
      <c r="BE24" s="9">
        <f>_xlfn.STDEV.P('中国汇率&amp;期货（ln）'!BE24:BE43)</f>
      </c>
    </row>
    <row x14ac:dyDescent="0.25" r="25" customHeight="1" ht="18.75">
      <c r="A25" s="1"/>
      <c r="B25" s="9">
        <f>_xlfn.STDEV.P('中国汇率&amp;期货（ln）'!B25:B44)</f>
      </c>
      <c r="C25" s="9">
        <f>_xlfn.STDEV.P('中国汇率&amp;期货（ln）'!C25:C44)</f>
      </c>
      <c r="D25" s="9">
        <f>_xlfn.STDEV.P('中国汇率&amp;期货（ln）'!D25:D44)</f>
      </c>
      <c r="E25" s="9">
        <f>_xlfn.STDEV.P('中国汇率&amp;期货（ln）'!E25:E44)</f>
      </c>
      <c r="F25" s="9">
        <f>_xlfn.STDEV.P('中国汇率&amp;期货（ln）'!F25:F44)</f>
      </c>
      <c r="G25" s="9">
        <f>_xlfn.STDEV.P('中国汇率&amp;期货（ln）'!G25:G44)</f>
      </c>
      <c r="H25" s="9">
        <f>_xlfn.STDEV.P('中国汇率&amp;期货（ln）'!H25:H44)</f>
      </c>
      <c r="I25" s="9">
        <f>_xlfn.STDEV.P('中国汇率&amp;期货（ln）'!I25:I44)</f>
      </c>
      <c r="J25" s="9">
        <f>_xlfn.STDEV.P('中国汇率&amp;期货（ln）'!J25:J44)</f>
      </c>
      <c r="K25" s="9">
        <f>_xlfn.STDEV.P('中国汇率&amp;期货（ln）'!K25:K44)</f>
      </c>
      <c r="L25" s="9">
        <f>_xlfn.STDEV.P('中国汇率&amp;期货（ln）'!L25:L44)</f>
      </c>
      <c r="M25" s="9">
        <f>_xlfn.STDEV.P('中国汇率&amp;期货（ln）'!M25:M44)</f>
      </c>
      <c r="N25" s="9">
        <f>_xlfn.STDEV.P('中国汇率&amp;期货（ln）'!N25:N44)</f>
      </c>
      <c r="O25" s="9">
        <f>_xlfn.STDEV.P('中国汇率&amp;期货（ln）'!O25:O44)</f>
      </c>
      <c r="P25" s="9">
        <f>_xlfn.STDEV.P('中国汇率&amp;期货（ln）'!P25:P44)</f>
      </c>
      <c r="Q25" s="9">
        <f>_xlfn.STDEV.P('中国汇率&amp;期货（ln）'!Q25:Q44)</f>
      </c>
      <c r="R25" s="9">
        <f>_xlfn.STDEV.P('中国汇率&amp;期货（ln）'!R25:R44)</f>
      </c>
      <c r="S25" s="9">
        <f>_xlfn.STDEV.P('中国汇率&amp;期货（ln）'!S25:S44)</f>
      </c>
      <c r="T25" s="9">
        <f>_xlfn.STDEV.P('中国汇率&amp;期货（ln）'!T25:T44)</f>
      </c>
      <c r="U25" s="9">
        <f>_xlfn.STDEV.P('中国汇率&amp;期货（ln）'!U25:U44)</f>
      </c>
      <c r="V25" s="9">
        <f>_xlfn.STDEV.P('中国汇率&amp;期货（ln）'!V25:V44)</f>
      </c>
      <c r="W25" s="9">
        <f>_xlfn.STDEV.P('中国汇率&amp;期货（ln）'!W25:W44)</f>
      </c>
      <c r="X25" s="9">
        <f>_xlfn.STDEV.P('中国汇率&amp;期货（ln）'!X25:X44)</f>
      </c>
      <c r="Y25" s="9">
        <f>_xlfn.STDEV.P('中国汇率&amp;期货（ln）'!Y25:Y44)</f>
      </c>
      <c r="Z25" s="9">
        <f>_xlfn.STDEV.P('中国汇率&amp;期货（ln）'!Z25:Z44)</f>
      </c>
      <c r="AA25" s="9">
        <f>_xlfn.STDEV.P('中国汇率&amp;期货（ln）'!AA25:AA44)</f>
      </c>
      <c r="AB25" s="9">
        <f>_xlfn.STDEV.P('中国汇率&amp;期货（ln）'!AB25:AB44)</f>
      </c>
      <c r="AC25" s="9">
        <f>_xlfn.STDEV.P('中国汇率&amp;期货（ln）'!AC25:AC44)</f>
      </c>
      <c r="AD25" s="9">
        <f>_xlfn.STDEV.P('中国汇率&amp;期货（ln）'!AD25:AD44)</f>
      </c>
      <c r="AE25" s="9">
        <f>_xlfn.STDEV.P('中国汇率&amp;期货（ln）'!AE25:AE44)</f>
      </c>
      <c r="AF25" s="9">
        <f>_xlfn.STDEV.P('中国汇率&amp;期货（ln）'!AF25:AF44)</f>
      </c>
      <c r="AG25" s="9">
        <f>_xlfn.STDEV.P('中国汇率&amp;期货（ln）'!AG25:AG44)</f>
      </c>
      <c r="AH25" s="9">
        <f>_xlfn.STDEV.P('中国汇率&amp;期货（ln）'!AH25:AH44)</f>
      </c>
      <c r="AI25" s="9">
        <f>_xlfn.STDEV.P('中国汇率&amp;期货（ln）'!AI25:AI44)</f>
      </c>
      <c r="AJ25" s="9">
        <f>_xlfn.STDEV.P('中国汇率&amp;期货（ln）'!AJ25:AJ44)</f>
      </c>
      <c r="AK25" s="9">
        <f>_xlfn.STDEV.P('中国汇率&amp;期货（ln）'!AK25:AK44)</f>
      </c>
      <c r="AL25" s="9">
        <f>_xlfn.STDEV.P('中国汇率&amp;期货（ln）'!AL25:AL44)</f>
      </c>
      <c r="AM25" s="9">
        <f>_xlfn.STDEV.P('中国汇率&amp;期货（ln）'!AM25:AM44)</f>
      </c>
      <c r="AN25" s="9">
        <f>_xlfn.STDEV.P('中国汇率&amp;期货（ln）'!AN25:AN44)</f>
      </c>
      <c r="AO25" s="9">
        <f>_xlfn.STDEV.P('中国汇率&amp;期货（ln）'!AO25:AO44)</f>
      </c>
      <c r="AP25" s="9">
        <f>_xlfn.STDEV.P('中国汇率&amp;期货（ln）'!AP25:AP44)</f>
      </c>
      <c r="AQ25" s="9">
        <f>_xlfn.STDEV.P('中国汇率&amp;期货（ln）'!AQ25:AQ44)</f>
      </c>
      <c r="AR25" s="9">
        <f>_xlfn.STDEV.P('中国汇率&amp;期货（ln）'!AR25:AR44)</f>
      </c>
      <c r="AS25" s="9">
        <f>_xlfn.STDEV.P('中国汇率&amp;期货（ln）'!AS25:AS44)</f>
      </c>
      <c r="AT25" s="9">
        <f>_xlfn.STDEV.P('中国汇率&amp;期货（ln）'!AT25:AT44)</f>
      </c>
      <c r="AU25" s="9">
        <f>_xlfn.STDEV.P('中国汇率&amp;期货（ln）'!AU25:AU44)</f>
      </c>
      <c r="AV25" s="9">
        <f>_xlfn.STDEV.P('中国汇率&amp;期货（ln）'!AV25:AV44)</f>
      </c>
      <c r="AW25" s="9">
        <f>_xlfn.STDEV.P('中国汇率&amp;期货（ln）'!AW25:AW44)</f>
      </c>
      <c r="AX25" s="9">
        <f>_xlfn.STDEV.P('中国汇率&amp;期货（ln）'!AX25:AX44)</f>
      </c>
      <c r="AY25" s="9">
        <f>_xlfn.STDEV.P('中国汇率&amp;期货（ln）'!AY25:AY44)</f>
      </c>
      <c r="AZ25" s="9">
        <f>_xlfn.STDEV.P('中国汇率&amp;期货（ln）'!AZ25:AZ44)</f>
      </c>
      <c r="BA25" s="9">
        <f>_xlfn.STDEV.P('中国汇率&amp;期货（ln）'!BA25:BA44)</f>
      </c>
      <c r="BB25" s="9">
        <f>_xlfn.STDEV.P('中国汇率&amp;期货（ln）'!BB25:BB44)</f>
      </c>
      <c r="BC25" s="9">
        <f>_xlfn.STDEV.P('中国汇率&amp;期货（ln）'!BC25:BC44)</f>
      </c>
      <c r="BD25" s="9">
        <f>_xlfn.STDEV.P('中国汇率&amp;期货（ln）'!BD25:BD44)</f>
      </c>
      <c r="BE25" s="9">
        <f>_xlfn.STDEV.P('中国汇率&amp;期货（ln）'!BE25:BE44)</f>
      </c>
    </row>
    <row x14ac:dyDescent="0.25" r="26" customHeight="1" ht="18.75">
      <c r="A26" s="1"/>
      <c r="B26" s="9">
        <f>_xlfn.STDEV.P('中国汇率&amp;期货（ln）'!B26:B45)</f>
      </c>
      <c r="C26" s="9">
        <f>_xlfn.STDEV.P('中国汇率&amp;期货（ln）'!C26:C45)</f>
      </c>
      <c r="D26" s="9">
        <f>_xlfn.STDEV.P('中国汇率&amp;期货（ln）'!D26:D45)</f>
      </c>
      <c r="E26" s="9">
        <f>_xlfn.STDEV.P('中国汇率&amp;期货（ln）'!E26:E45)</f>
      </c>
      <c r="F26" s="9">
        <f>_xlfn.STDEV.P('中国汇率&amp;期货（ln）'!F26:F45)</f>
      </c>
      <c r="G26" s="9">
        <f>_xlfn.STDEV.P('中国汇率&amp;期货（ln）'!G26:G45)</f>
      </c>
      <c r="H26" s="9">
        <f>_xlfn.STDEV.P('中国汇率&amp;期货（ln）'!H26:H45)</f>
      </c>
      <c r="I26" s="9">
        <f>_xlfn.STDEV.P('中国汇率&amp;期货（ln）'!I26:I45)</f>
      </c>
      <c r="J26" s="9">
        <f>_xlfn.STDEV.P('中国汇率&amp;期货（ln）'!J26:J45)</f>
      </c>
      <c r="K26" s="9">
        <f>_xlfn.STDEV.P('中国汇率&amp;期货（ln）'!K26:K45)</f>
      </c>
      <c r="L26" s="9">
        <f>_xlfn.STDEV.P('中国汇率&amp;期货（ln）'!L26:L45)</f>
      </c>
      <c r="M26" s="9">
        <f>_xlfn.STDEV.P('中国汇率&amp;期货（ln）'!M26:M45)</f>
      </c>
      <c r="N26" s="9">
        <f>_xlfn.STDEV.P('中国汇率&amp;期货（ln）'!N26:N45)</f>
      </c>
      <c r="O26" s="9">
        <f>_xlfn.STDEV.P('中国汇率&amp;期货（ln）'!O26:O45)</f>
      </c>
      <c r="P26" s="9">
        <f>_xlfn.STDEV.P('中国汇率&amp;期货（ln）'!P26:P45)</f>
      </c>
      <c r="Q26" s="9">
        <f>_xlfn.STDEV.P('中国汇率&amp;期货（ln）'!Q26:Q45)</f>
      </c>
      <c r="R26" s="9">
        <f>_xlfn.STDEV.P('中国汇率&amp;期货（ln）'!R26:R45)</f>
      </c>
      <c r="S26" s="9">
        <f>_xlfn.STDEV.P('中国汇率&amp;期货（ln）'!S26:S45)</f>
      </c>
      <c r="T26" s="9">
        <f>_xlfn.STDEV.P('中国汇率&amp;期货（ln）'!T26:T45)</f>
      </c>
      <c r="U26" s="9">
        <f>_xlfn.STDEV.P('中国汇率&amp;期货（ln）'!U26:U45)</f>
      </c>
      <c r="V26" s="9">
        <f>_xlfn.STDEV.P('中国汇率&amp;期货（ln）'!V26:V45)</f>
      </c>
      <c r="W26" s="9">
        <f>_xlfn.STDEV.P('中国汇率&amp;期货（ln）'!W26:W45)</f>
      </c>
      <c r="X26" s="9">
        <f>_xlfn.STDEV.P('中国汇率&amp;期货（ln）'!X26:X45)</f>
      </c>
      <c r="Y26" s="9">
        <f>_xlfn.STDEV.P('中国汇率&amp;期货（ln）'!Y26:Y45)</f>
      </c>
      <c r="Z26" s="9">
        <f>_xlfn.STDEV.P('中国汇率&amp;期货（ln）'!Z26:Z45)</f>
      </c>
      <c r="AA26" s="9">
        <f>_xlfn.STDEV.P('中国汇率&amp;期货（ln）'!AA26:AA45)</f>
      </c>
      <c r="AB26" s="9">
        <f>_xlfn.STDEV.P('中国汇率&amp;期货（ln）'!AB26:AB45)</f>
      </c>
      <c r="AC26" s="9">
        <f>_xlfn.STDEV.P('中国汇率&amp;期货（ln）'!AC26:AC45)</f>
      </c>
      <c r="AD26" s="9">
        <f>_xlfn.STDEV.P('中国汇率&amp;期货（ln）'!AD26:AD45)</f>
      </c>
      <c r="AE26" s="9">
        <f>_xlfn.STDEV.P('中国汇率&amp;期货（ln）'!AE26:AE45)</f>
      </c>
      <c r="AF26" s="9">
        <f>_xlfn.STDEV.P('中国汇率&amp;期货（ln）'!AF26:AF45)</f>
      </c>
      <c r="AG26" s="9">
        <f>_xlfn.STDEV.P('中国汇率&amp;期货（ln）'!AG26:AG45)</f>
      </c>
      <c r="AH26" s="9">
        <f>_xlfn.STDEV.P('中国汇率&amp;期货（ln）'!AH26:AH45)</f>
      </c>
      <c r="AI26" s="9">
        <f>_xlfn.STDEV.P('中国汇率&amp;期货（ln）'!AI26:AI45)</f>
      </c>
      <c r="AJ26" s="9">
        <f>_xlfn.STDEV.P('中国汇率&amp;期货（ln）'!AJ26:AJ45)</f>
      </c>
      <c r="AK26" s="9">
        <f>_xlfn.STDEV.P('中国汇率&amp;期货（ln）'!AK26:AK45)</f>
      </c>
      <c r="AL26" s="9">
        <f>_xlfn.STDEV.P('中国汇率&amp;期货（ln）'!AL26:AL45)</f>
      </c>
      <c r="AM26" s="9">
        <f>_xlfn.STDEV.P('中国汇率&amp;期货（ln）'!AM26:AM45)</f>
      </c>
      <c r="AN26" s="9">
        <f>_xlfn.STDEV.P('中国汇率&amp;期货（ln）'!AN26:AN45)</f>
      </c>
      <c r="AO26" s="9">
        <f>_xlfn.STDEV.P('中国汇率&amp;期货（ln）'!AO26:AO45)</f>
      </c>
      <c r="AP26" s="9">
        <f>_xlfn.STDEV.P('中国汇率&amp;期货（ln）'!AP26:AP45)</f>
      </c>
      <c r="AQ26" s="9">
        <f>_xlfn.STDEV.P('中国汇率&amp;期货（ln）'!AQ26:AQ45)</f>
      </c>
      <c r="AR26" s="9">
        <f>_xlfn.STDEV.P('中国汇率&amp;期货（ln）'!AR26:AR45)</f>
      </c>
      <c r="AS26" s="9">
        <f>_xlfn.STDEV.P('中国汇率&amp;期货（ln）'!AS26:AS45)</f>
      </c>
      <c r="AT26" s="9">
        <f>_xlfn.STDEV.P('中国汇率&amp;期货（ln）'!AT26:AT45)</f>
      </c>
      <c r="AU26" s="9">
        <f>_xlfn.STDEV.P('中国汇率&amp;期货（ln）'!AU26:AU45)</f>
      </c>
      <c r="AV26" s="9">
        <f>_xlfn.STDEV.P('中国汇率&amp;期货（ln）'!AV26:AV45)</f>
      </c>
      <c r="AW26" s="9">
        <f>_xlfn.STDEV.P('中国汇率&amp;期货（ln）'!AW26:AW45)</f>
      </c>
      <c r="AX26" s="9">
        <f>_xlfn.STDEV.P('中国汇率&amp;期货（ln）'!AX26:AX45)</f>
      </c>
      <c r="AY26" s="9">
        <f>_xlfn.STDEV.P('中国汇率&amp;期货（ln）'!AY26:AY45)</f>
      </c>
      <c r="AZ26" s="9">
        <f>_xlfn.STDEV.P('中国汇率&amp;期货（ln）'!AZ26:AZ45)</f>
      </c>
      <c r="BA26" s="9">
        <f>_xlfn.STDEV.P('中国汇率&amp;期货（ln）'!BA26:BA45)</f>
      </c>
      <c r="BB26" s="9">
        <f>_xlfn.STDEV.P('中国汇率&amp;期货（ln）'!BB26:BB45)</f>
      </c>
      <c r="BC26" s="9">
        <f>_xlfn.STDEV.P('中国汇率&amp;期货（ln）'!BC26:BC45)</f>
      </c>
      <c r="BD26" s="9">
        <f>_xlfn.STDEV.P('中国汇率&amp;期货（ln）'!BD26:BD45)</f>
      </c>
      <c r="BE26" s="9">
        <f>_xlfn.STDEV.P('中国汇率&amp;期货（ln）'!BE26:BE45)</f>
      </c>
    </row>
    <row x14ac:dyDescent="0.25" r="27" customHeight="1" ht="18.75">
      <c r="A27" s="1"/>
      <c r="B27" s="9">
        <f>_xlfn.STDEV.P('中国汇率&amp;期货（ln）'!B27:B46)</f>
      </c>
      <c r="C27" s="9">
        <f>_xlfn.STDEV.P('中国汇率&amp;期货（ln）'!C27:C46)</f>
      </c>
      <c r="D27" s="9">
        <f>_xlfn.STDEV.P('中国汇率&amp;期货（ln）'!D27:D46)</f>
      </c>
      <c r="E27" s="9">
        <f>_xlfn.STDEV.P('中国汇率&amp;期货（ln）'!E27:E46)</f>
      </c>
      <c r="F27" s="9">
        <f>_xlfn.STDEV.P('中国汇率&amp;期货（ln）'!F27:F46)</f>
      </c>
      <c r="G27" s="9">
        <f>_xlfn.STDEV.P('中国汇率&amp;期货（ln）'!G27:G46)</f>
      </c>
      <c r="H27" s="9">
        <f>_xlfn.STDEV.P('中国汇率&amp;期货（ln）'!H27:H46)</f>
      </c>
      <c r="I27" s="9">
        <f>_xlfn.STDEV.P('中国汇率&amp;期货（ln）'!I27:I46)</f>
      </c>
      <c r="J27" s="9">
        <f>_xlfn.STDEV.P('中国汇率&amp;期货（ln）'!J27:J46)</f>
      </c>
      <c r="K27" s="9">
        <f>_xlfn.STDEV.P('中国汇率&amp;期货（ln）'!K27:K46)</f>
      </c>
      <c r="L27" s="9">
        <f>_xlfn.STDEV.P('中国汇率&amp;期货（ln）'!L27:L46)</f>
      </c>
      <c r="M27" s="9">
        <f>_xlfn.STDEV.P('中国汇率&amp;期货（ln）'!M27:M46)</f>
      </c>
      <c r="N27" s="9">
        <f>_xlfn.STDEV.P('中国汇率&amp;期货（ln）'!N27:N46)</f>
      </c>
      <c r="O27" s="9">
        <f>_xlfn.STDEV.P('中国汇率&amp;期货（ln）'!O27:O46)</f>
      </c>
      <c r="P27" s="9">
        <f>_xlfn.STDEV.P('中国汇率&amp;期货（ln）'!P27:P46)</f>
      </c>
      <c r="Q27" s="9">
        <f>_xlfn.STDEV.P('中国汇率&amp;期货（ln）'!Q27:Q46)</f>
      </c>
      <c r="R27" s="9">
        <f>_xlfn.STDEV.P('中国汇率&amp;期货（ln）'!R27:R46)</f>
      </c>
      <c r="S27" s="9">
        <f>_xlfn.STDEV.P('中国汇率&amp;期货（ln）'!S27:S46)</f>
      </c>
      <c r="T27" s="9">
        <f>_xlfn.STDEV.P('中国汇率&amp;期货（ln）'!T27:T46)</f>
      </c>
      <c r="U27" s="9">
        <f>_xlfn.STDEV.P('中国汇率&amp;期货（ln）'!U27:U46)</f>
      </c>
      <c r="V27" s="9">
        <f>_xlfn.STDEV.P('中国汇率&amp;期货（ln）'!V27:V46)</f>
      </c>
      <c r="W27" s="9">
        <f>_xlfn.STDEV.P('中国汇率&amp;期货（ln）'!W27:W46)</f>
      </c>
      <c r="X27" s="9">
        <f>_xlfn.STDEV.P('中国汇率&amp;期货（ln）'!X27:X46)</f>
      </c>
      <c r="Y27" s="9">
        <f>_xlfn.STDEV.P('中国汇率&amp;期货（ln）'!Y27:Y46)</f>
      </c>
      <c r="Z27" s="9">
        <f>_xlfn.STDEV.P('中国汇率&amp;期货（ln）'!Z27:Z46)</f>
      </c>
      <c r="AA27" s="9">
        <f>_xlfn.STDEV.P('中国汇率&amp;期货（ln）'!AA27:AA46)</f>
      </c>
      <c r="AB27" s="9">
        <f>_xlfn.STDEV.P('中国汇率&amp;期货（ln）'!AB27:AB46)</f>
      </c>
      <c r="AC27" s="9">
        <f>_xlfn.STDEV.P('中国汇率&amp;期货（ln）'!AC27:AC46)</f>
      </c>
      <c r="AD27" s="9">
        <f>_xlfn.STDEV.P('中国汇率&amp;期货（ln）'!AD27:AD46)</f>
      </c>
      <c r="AE27" s="9">
        <f>_xlfn.STDEV.P('中国汇率&amp;期货（ln）'!AE27:AE46)</f>
      </c>
      <c r="AF27" s="9">
        <f>_xlfn.STDEV.P('中国汇率&amp;期货（ln）'!AF27:AF46)</f>
      </c>
      <c r="AG27" s="9">
        <f>_xlfn.STDEV.P('中国汇率&amp;期货（ln）'!AG27:AG46)</f>
      </c>
      <c r="AH27" s="9">
        <f>_xlfn.STDEV.P('中国汇率&amp;期货（ln）'!AH27:AH46)</f>
      </c>
      <c r="AI27" s="9">
        <f>_xlfn.STDEV.P('中国汇率&amp;期货（ln）'!AI27:AI46)</f>
      </c>
      <c r="AJ27" s="9">
        <f>_xlfn.STDEV.P('中国汇率&amp;期货（ln）'!AJ27:AJ46)</f>
      </c>
      <c r="AK27" s="9">
        <f>_xlfn.STDEV.P('中国汇率&amp;期货（ln）'!AK27:AK46)</f>
      </c>
      <c r="AL27" s="9">
        <f>_xlfn.STDEV.P('中国汇率&amp;期货（ln）'!AL27:AL46)</f>
      </c>
      <c r="AM27" s="9">
        <f>_xlfn.STDEV.P('中国汇率&amp;期货（ln）'!AM27:AM46)</f>
      </c>
      <c r="AN27" s="9">
        <f>_xlfn.STDEV.P('中国汇率&amp;期货（ln）'!AN27:AN46)</f>
      </c>
      <c r="AO27" s="9">
        <f>_xlfn.STDEV.P('中国汇率&amp;期货（ln）'!AO27:AO46)</f>
      </c>
      <c r="AP27" s="9">
        <f>_xlfn.STDEV.P('中国汇率&amp;期货（ln）'!AP27:AP46)</f>
      </c>
      <c r="AQ27" s="9">
        <f>_xlfn.STDEV.P('中国汇率&amp;期货（ln）'!AQ27:AQ46)</f>
      </c>
      <c r="AR27" s="9">
        <f>_xlfn.STDEV.P('中国汇率&amp;期货（ln）'!AR27:AR46)</f>
      </c>
      <c r="AS27" s="9">
        <f>_xlfn.STDEV.P('中国汇率&amp;期货（ln）'!AS27:AS46)</f>
      </c>
      <c r="AT27" s="9">
        <f>_xlfn.STDEV.P('中国汇率&amp;期货（ln）'!AT27:AT46)</f>
      </c>
      <c r="AU27" s="9">
        <f>_xlfn.STDEV.P('中国汇率&amp;期货（ln）'!AU27:AU46)</f>
      </c>
      <c r="AV27" s="9">
        <f>_xlfn.STDEV.P('中国汇率&amp;期货（ln）'!AV27:AV46)</f>
      </c>
      <c r="AW27" s="9">
        <f>_xlfn.STDEV.P('中国汇率&amp;期货（ln）'!AW27:AW46)</f>
      </c>
      <c r="AX27" s="9">
        <f>_xlfn.STDEV.P('中国汇率&amp;期货（ln）'!AX27:AX46)</f>
      </c>
      <c r="AY27" s="9">
        <f>_xlfn.STDEV.P('中国汇率&amp;期货（ln）'!AY27:AY46)</f>
      </c>
      <c r="AZ27" s="9">
        <f>_xlfn.STDEV.P('中国汇率&amp;期货（ln）'!AZ27:AZ46)</f>
      </c>
      <c r="BA27" s="9">
        <f>_xlfn.STDEV.P('中国汇率&amp;期货（ln）'!BA27:BA46)</f>
      </c>
      <c r="BB27" s="9">
        <f>_xlfn.STDEV.P('中国汇率&amp;期货（ln）'!BB27:BB46)</f>
      </c>
      <c r="BC27" s="9">
        <f>_xlfn.STDEV.P('中国汇率&amp;期货（ln）'!BC27:BC46)</f>
      </c>
      <c r="BD27" s="9">
        <f>_xlfn.STDEV.P('中国汇率&amp;期货（ln）'!BD27:BD46)</f>
      </c>
      <c r="BE27" s="9">
        <f>_xlfn.STDEV.P('中国汇率&amp;期货（ln）'!BE27:BE46)</f>
      </c>
    </row>
    <row x14ac:dyDescent="0.25" r="28" customHeight="1" ht="18.75">
      <c r="A28" s="1"/>
      <c r="B28" s="9">
        <f>_xlfn.STDEV.P('中国汇率&amp;期货（ln）'!B28:B47)</f>
      </c>
      <c r="C28" s="9">
        <f>_xlfn.STDEV.P('中国汇率&amp;期货（ln）'!C28:C47)</f>
      </c>
      <c r="D28" s="9">
        <f>_xlfn.STDEV.P('中国汇率&amp;期货（ln）'!D28:D47)</f>
      </c>
      <c r="E28" s="9">
        <f>_xlfn.STDEV.P('中国汇率&amp;期货（ln）'!E28:E47)</f>
      </c>
      <c r="F28" s="9">
        <f>_xlfn.STDEV.P('中国汇率&amp;期货（ln）'!F28:F47)</f>
      </c>
      <c r="G28" s="9">
        <f>_xlfn.STDEV.P('中国汇率&amp;期货（ln）'!G28:G47)</f>
      </c>
      <c r="H28" s="9">
        <f>_xlfn.STDEV.P('中国汇率&amp;期货（ln）'!H28:H47)</f>
      </c>
      <c r="I28" s="9">
        <f>_xlfn.STDEV.P('中国汇率&amp;期货（ln）'!I28:I47)</f>
      </c>
      <c r="J28" s="9">
        <f>_xlfn.STDEV.P('中国汇率&amp;期货（ln）'!J28:J47)</f>
      </c>
      <c r="K28" s="9">
        <f>_xlfn.STDEV.P('中国汇率&amp;期货（ln）'!K28:K47)</f>
      </c>
      <c r="L28" s="9">
        <f>_xlfn.STDEV.P('中国汇率&amp;期货（ln）'!L28:L47)</f>
      </c>
      <c r="M28" s="9">
        <f>_xlfn.STDEV.P('中国汇率&amp;期货（ln）'!M28:M47)</f>
      </c>
      <c r="N28" s="9">
        <f>_xlfn.STDEV.P('中国汇率&amp;期货（ln）'!N28:N47)</f>
      </c>
      <c r="O28" s="9">
        <f>_xlfn.STDEV.P('中国汇率&amp;期货（ln）'!O28:O47)</f>
      </c>
      <c r="P28" s="9">
        <f>_xlfn.STDEV.P('中国汇率&amp;期货（ln）'!P28:P47)</f>
      </c>
      <c r="Q28" s="9">
        <f>_xlfn.STDEV.P('中国汇率&amp;期货（ln）'!Q28:Q47)</f>
      </c>
      <c r="R28" s="9">
        <f>_xlfn.STDEV.P('中国汇率&amp;期货（ln）'!R28:R47)</f>
      </c>
      <c r="S28" s="9">
        <f>_xlfn.STDEV.P('中国汇率&amp;期货（ln）'!S28:S47)</f>
      </c>
      <c r="T28" s="9">
        <f>_xlfn.STDEV.P('中国汇率&amp;期货（ln）'!T28:T47)</f>
      </c>
      <c r="U28" s="9">
        <f>_xlfn.STDEV.P('中国汇率&amp;期货（ln）'!U28:U47)</f>
      </c>
      <c r="V28" s="9">
        <f>_xlfn.STDEV.P('中国汇率&amp;期货（ln）'!V28:V47)</f>
      </c>
      <c r="W28" s="9">
        <f>_xlfn.STDEV.P('中国汇率&amp;期货（ln）'!W28:W47)</f>
      </c>
      <c r="X28" s="9">
        <f>_xlfn.STDEV.P('中国汇率&amp;期货（ln）'!X28:X47)</f>
      </c>
      <c r="Y28" s="9">
        <f>_xlfn.STDEV.P('中国汇率&amp;期货（ln）'!Y28:Y47)</f>
      </c>
      <c r="Z28" s="9">
        <f>_xlfn.STDEV.P('中国汇率&amp;期货（ln）'!Z28:Z47)</f>
      </c>
      <c r="AA28" s="9">
        <f>_xlfn.STDEV.P('中国汇率&amp;期货（ln）'!AA28:AA47)</f>
      </c>
      <c r="AB28" s="9">
        <f>_xlfn.STDEV.P('中国汇率&amp;期货（ln）'!AB28:AB47)</f>
      </c>
      <c r="AC28" s="9">
        <f>_xlfn.STDEV.P('中国汇率&amp;期货（ln）'!AC28:AC47)</f>
      </c>
      <c r="AD28" s="9">
        <f>_xlfn.STDEV.P('中国汇率&amp;期货（ln）'!AD28:AD47)</f>
      </c>
      <c r="AE28" s="9">
        <f>_xlfn.STDEV.P('中国汇率&amp;期货（ln）'!AE28:AE47)</f>
      </c>
      <c r="AF28" s="9">
        <f>_xlfn.STDEV.P('中国汇率&amp;期货（ln）'!AF28:AF47)</f>
      </c>
      <c r="AG28" s="9">
        <f>_xlfn.STDEV.P('中国汇率&amp;期货（ln）'!AG28:AG47)</f>
      </c>
      <c r="AH28" s="9">
        <f>_xlfn.STDEV.P('中国汇率&amp;期货（ln）'!AH28:AH47)</f>
      </c>
      <c r="AI28" s="9">
        <f>_xlfn.STDEV.P('中国汇率&amp;期货（ln）'!AI28:AI47)</f>
      </c>
      <c r="AJ28" s="9">
        <f>_xlfn.STDEV.P('中国汇率&amp;期货（ln）'!AJ28:AJ47)</f>
      </c>
      <c r="AK28" s="9">
        <f>_xlfn.STDEV.P('中国汇率&amp;期货（ln）'!AK28:AK47)</f>
      </c>
      <c r="AL28" s="9">
        <f>_xlfn.STDEV.P('中国汇率&amp;期货（ln）'!AL28:AL47)</f>
      </c>
      <c r="AM28" s="9">
        <f>_xlfn.STDEV.P('中国汇率&amp;期货（ln）'!AM28:AM47)</f>
      </c>
      <c r="AN28" s="9">
        <f>_xlfn.STDEV.P('中国汇率&amp;期货（ln）'!AN28:AN47)</f>
      </c>
      <c r="AO28" s="9">
        <f>_xlfn.STDEV.P('中国汇率&amp;期货（ln）'!AO28:AO47)</f>
      </c>
      <c r="AP28" s="9">
        <f>_xlfn.STDEV.P('中国汇率&amp;期货（ln）'!AP28:AP47)</f>
      </c>
      <c r="AQ28" s="9">
        <f>_xlfn.STDEV.P('中国汇率&amp;期货（ln）'!AQ28:AQ47)</f>
      </c>
      <c r="AR28" s="9">
        <f>_xlfn.STDEV.P('中国汇率&amp;期货（ln）'!AR28:AR47)</f>
      </c>
      <c r="AS28" s="9">
        <f>_xlfn.STDEV.P('中国汇率&amp;期货（ln）'!AS28:AS47)</f>
      </c>
      <c r="AT28" s="9">
        <f>_xlfn.STDEV.P('中国汇率&amp;期货（ln）'!AT28:AT47)</f>
      </c>
      <c r="AU28" s="9">
        <f>_xlfn.STDEV.P('中国汇率&amp;期货（ln）'!AU28:AU47)</f>
      </c>
      <c r="AV28" s="9">
        <f>_xlfn.STDEV.P('中国汇率&amp;期货（ln）'!AV28:AV47)</f>
      </c>
      <c r="AW28" s="9">
        <f>_xlfn.STDEV.P('中国汇率&amp;期货（ln）'!AW28:AW47)</f>
      </c>
      <c r="AX28" s="9">
        <f>_xlfn.STDEV.P('中国汇率&amp;期货（ln）'!AX28:AX47)</f>
      </c>
      <c r="AY28" s="9">
        <f>_xlfn.STDEV.P('中国汇率&amp;期货（ln）'!AY28:AY47)</f>
      </c>
      <c r="AZ28" s="9">
        <f>_xlfn.STDEV.P('中国汇率&amp;期货（ln）'!AZ28:AZ47)</f>
      </c>
      <c r="BA28" s="9">
        <f>_xlfn.STDEV.P('中国汇率&amp;期货（ln）'!BA28:BA47)</f>
      </c>
      <c r="BB28" s="9">
        <f>_xlfn.STDEV.P('中国汇率&amp;期货（ln）'!BB28:BB47)</f>
      </c>
      <c r="BC28" s="9">
        <f>_xlfn.STDEV.P('中国汇率&amp;期货（ln）'!BC28:BC47)</f>
      </c>
      <c r="BD28" s="9">
        <f>_xlfn.STDEV.P('中国汇率&amp;期货（ln）'!BD28:BD47)</f>
      </c>
      <c r="BE28" s="9">
        <f>_xlfn.STDEV.P('中国汇率&amp;期货（ln）'!BE28:BE47)</f>
      </c>
    </row>
    <row x14ac:dyDescent="0.25" r="29" customHeight="1" ht="18.75">
      <c r="A29" s="1"/>
      <c r="B29" s="9">
        <f>_xlfn.STDEV.P('中国汇率&amp;期货（ln）'!B29:B48)</f>
      </c>
      <c r="C29" s="9">
        <f>_xlfn.STDEV.P('中国汇率&amp;期货（ln）'!C29:C48)</f>
      </c>
      <c r="D29" s="9">
        <f>_xlfn.STDEV.P('中国汇率&amp;期货（ln）'!D29:D48)</f>
      </c>
      <c r="E29" s="9">
        <f>_xlfn.STDEV.P('中国汇率&amp;期货（ln）'!E29:E48)</f>
      </c>
      <c r="F29" s="9">
        <f>_xlfn.STDEV.P('中国汇率&amp;期货（ln）'!F29:F48)</f>
      </c>
      <c r="G29" s="9">
        <f>_xlfn.STDEV.P('中国汇率&amp;期货（ln）'!G29:G48)</f>
      </c>
      <c r="H29" s="9">
        <f>_xlfn.STDEV.P('中国汇率&amp;期货（ln）'!H29:H48)</f>
      </c>
      <c r="I29" s="9">
        <f>_xlfn.STDEV.P('中国汇率&amp;期货（ln）'!I29:I48)</f>
      </c>
      <c r="J29" s="9">
        <f>_xlfn.STDEV.P('中国汇率&amp;期货（ln）'!J29:J48)</f>
      </c>
      <c r="K29" s="9">
        <f>_xlfn.STDEV.P('中国汇率&amp;期货（ln）'!K29:K48)</f>
      </c>
      <c r="L29" s="9">
        <f>_xlfn.STDEV.P('中国汇率&amp;期货（ln）'!L29:L48)</f>
      </c>
      <c r="M29" s="9">
        <f>_xlfn.STDEV.P('中国汇率&amp;期货（ln）'!M29:M48)</f>
      </c>
      <c r="N29" s="9">
        <f>_xlfn.STDEV.P('中国汇率&amp;期货（ln）'!N29:N48)</f>
      </c>
      <c r="O29" s="9">
        <f>_xlfn.STDEV.P('中国汇率&amp;期货（ln）'!O29:O48)</f>
      </c>
      <c r="P29" s="9">
        <f>_xlfn.STDEV.P('中国汇率&amp;期货（ln）'!P29:P48)</f>
      </c>
      <c r="Q29" s="9">
        <f>_xlfn.STDEV.P('中国汇率&amp;期货（ln）'!Q29:Q48)</f>
      </c>
      <c r="R29" s="9">
        <f>_xlfn.STDEV.P('中国汇率&amp;期货（ln）'!R29:R48)</f>
      </c>
      <c r="S29" s="9">
        <f>_xlfn.STDEV.P('中国汇率&amp;期货（ln）'!S29:S48)</f>
      </c>
      <c r="T29" s="9">
        <f>_xlfn.STDEV.P('中国汇率&amp;期货（ln）'!T29:T48)</f>
      </c>
      <c r="U29" s="9">
        <f>_xlfn.STDEV.P('中国汇率&amp;期货（ln）'!U29:U48)</f>
      </c>
      <c r="V29" s="9">
        <f>_xlfn.STDEV.P('中国汇率&amp;期货（ln）'!V29:V48)</f>
      </c>
      <c r="W29" s="9">
        <f>_xlfn.STDEV.P('中国汇率&amp;期货（ln）'!W29:W48)</f>
      </c>
      <c r="X29" s="9">
        <f>_xlfn.STDEV.P('中国汇率&amp;期货（ln）'!X29:X48)</f>
      </c>
      <c r="Y29" s="9">
        <f>_xlfn.STDEV.P('中国汇率&amp;期货（ln）'!Y29:Y48)</f>
      </c>
      <c r="Z29" s="9">
        <f>_xlfn.STDEV.P('中国汇率&amp;期货（ln）'!Z29:Z48)</f>
      </c>
      <c r="AA29" s="9">
        <f>_xlfn.STDEV.P('中国汇率&amp;期货（ln）'!AA29:AA48)</f>
      </c>
      <c r="AB29" s="9">
        <f>_xlfn.STDEV.P('中国汇率&amp;期货（ln）'!AB29:AB48)</f>
      </c>
      <c r="AC29" s="9">
        <f>_xlfn.STDEV.P('中国汇率&amp;期货（ln）'!AC29:AC48)</f>
      </c>
      <c r="AD29" s="9">
        <f>_xlfn.STDEV.P('中国汇率&amp;期货（ln）'!AD29:AD48)</f>
      </c>
      <c r="AE29" s="9">
        <f>_xlfn.STDEV.P('中国汇率&amp;期货（ln）'!AE29:AE48)</f>
      </c>
      <c r="AF29" s="9">
        <f>_xlfn.STDEV.P('中国汇率&amp;期货（ln）'!AF29:AF48)</f>
      </c>
      <c r="AG29" s="9">
        <f>_xlfn.STDEV.P('中国汇率&amp;期货（ln）'!AG29:AG48)</f>
      </c>
      <c r="AH29" s="9">
        <f>_xlfn.STDEV.P('中国汇率&amp;期货（ln）'!AH29:AH48)</f>
      </c>
      <c r="AI29" s="9">
        <f>_xlfn.STDEV.P('中国汇率&amp;期货（ln）'!AI29:AI48)</f>
      </c>
      <c r="AJ29" s="9">
        <f>_xlfn.STDEV.P('中国汇率&amp;期货（ln）'!AJ29:AJ48)</f>
      </c>
      <c r="AK29" s="9">
        <f>_xlfn.STDEV.P('中国汇率&amp;期货（ln）'!AK29:AK48)</f>
      </c>
      <c r="AL29" s="9">
        <f>_xlfn.STDEV.P('中国汇率&amp;期货（ln）'!AL29:AL48)</f>
      </c>
      <c r="AM29" s="9">
        <f>_xlfn.STDEV.P('中国汇率&amp;期货（ln）'!AM29:AM48)</f>
      </c>
      <c r="AN29" s="9">
        <f>_xlfn.STDEV.P('中国汇率&amp;期货（ln）'!AN29:AN48)</f>
      </c>
      <c r="AO29" s="9">
        <f>_xlfn.STDEV.P('中国汇率&amp;期货（ln）'!AO29:AO48)</f>
      </c>
      <c r="AP29" s="9">
        <f>_xlfn.STDEV.P('中国汇率&amp;期货（ln）'!AP29:AP48)</f>
      </c>
      <c r="AQ29" s="9">
        <f>_xlfn.STDEV.P('中国汇率&amp;期货（ln）'!AQ29:AQ48)</f>
      </c>
      <c r="AR29" s="9">
        <f>_xlfn.STDEV.P('中国汇率&amp;期货（ln）'!AR29:AR48)</f>
      </c>
      <c r="AS29" s="9">
        <f>_xlfn.STDEV.P('中国汇率&amp;期货（ln）'!AS29:AS48)</f>
      </c>
      <c r="AT29" s="9">
        <f>_xlfn.STDEV.P('中国汇率&amp;期货（ln）'!AT29:AT48)</f>
      </c>
      <c r="AU29" s="9">
        <f>_xlfn.STDEV.P('中国汇率&amp;期货（ln）'!AU29:AU48)</f>
      </c>
      <c r="AV29" s="9">
        <f>_xlfn.STDEV.P('中国汇率&amp;期货（ln）'!AV29:AV48)</f>
      </c>
      <c r="AW29" s="9">
        <f>_xlfn.STDEV.P('中国汇率&amp;期货（ln）'!AW29:AW48)</f>
      </c>
      <c r="AX29" s="9">
        <f>_xlfn.STDEV.P('中国汇率&amp;期货（ln）'!AX29:AX48)</f>
      </c>
      <c r="AY29" s="9">
        <f>_xlfn.STDEV.P('中国汇率&amp;期货（ln）'!AY29:AY48)</f>
      </c>
      <c r="AZ29" s="9">
        <f>_xlfn.STDEV.P('中国汇率&amp;期货（ln）'!AZ29:AZ48)</f>
      </c>
      <c r="BA29" s="9">
        <f>_xlfn.STDEV.P('中国汇率&amp;期货（ln）'!BA29:BA48)</f>
      </c>
      <c r="BB29" s="9">
        <f>_xlfn.STDEV.P('中国汇率&amp;期货（ln）'!BB29:BB48)</f>
      </c>
      <c r="BC29" s="9">
        <f>_xlfn.STDEV.P('中国汇率&amp;期货（ln）'!BC29:BC48)</f>
      </c>
      <c r="BD29" s="9">
        <f>_xlfn.STDEV.P('中国汇率&amp;期货（ln）'!BD29:BD48)</f>
      </c>
      <c r="BE29" s="9">
        <f>_xlfn.STDEV.P('中国汇率&amp;期货（ln）'!BE29:BE48)</f>
      </c>
    </row>
    <row x14ac:dyDescent="0.25" r="30" customHeight="1" ht="18.75">
      <c r="A30" s="1"/>
      <c r="B30" s="9">
        <f>_xlfn.STDEV.P('中国汇率&amp;期货（ln）'!B30:B49)</f>
      </c>
      <c r="C30" s="9">
        <f>_xlfn.STDEV.P('中国汇率&amp;期货（ln）'!C30:C49)</f>
      </c>
      <c r="D30" s="9">
        <f>_xlfn.STDEV.P('中国汇率&amp;期货（ln）'!D30:D49)</f>
      </c>
      <c r="E30" s="9">
        <f>_xlfn.STDEV.P('中国汇率&amp;期货（ln）'!E30:E49)</f>
      </c>
      <c r="F30" s="9">
        <f>_xlfn.STDEV.P('中国汇率&amp;期货（ln）'!F30:F49)</f>
      </c>
      <c r="G30" s="9">
        <f>_xlfn.STDEV.P('中国汇率&amp;期货（ln）'!G30:G49)</f>
      </c>
      <c r="H30" s="9">
        <f>_xlfn.STDEV.P('中国汇率&amp;期货（ln）'!H30:H49)</f>
      </c>
      <c r="I30" s="9">
        <f>_xlfn.STDEV.P('中国汇率&amp;期货（ln）'!I30:I49)</f>
      </c>
      <c r="J30" s="9">
        <f>_xlfn.STDEV.P('中国汇率&amp;期货（ln）'!J30:J49)</f>
      </c>
      <c r="K30" s="9">
        <f>_xlfn.STDEV.P('中国汇率&amp;期货（ln）'!K30:K49)</f>
      </c>
      <c r="L30" s="9">
        <f>_xlfn.STDEV.P('中国汇率&amp;期货（ln）'!L30:L49)</f>
      </c>
      <c r="M30" s="9">
        <f>_xlfn.STDEV.P('中国汇率&amp;期货（ln）'!M30:M49)</f>
      </c>
      <c r="N30" s="9">
        <f>_xlfn.STDEV.P('中国汇率&amp;期货（ln）'!N30:N49)</f>
      </c>
      <c r="O30" s="9">
        <f>_xlfn.STDEV.P('中国汇率&amp;期货（ln）'!O30:O49)</f>
      </c>
      <c r="P30" s="9">
        <f>_xlfn.STDEV.P('中国汇率&amp;期货（ln）'!P30:P49)</f>
      </c>
      <c r="Q30" s="9">
        <f>_xlfn.STDEV.P('中国汇率&amp;期货（ln）'!Q30:Q49)</f>
      </c>
      <c r="R30" s="9">
        <f>_xlfn.STDEV.P('中国汇率&amp;期货（ln）'!R30:R49)</f>
      </c>
      <c r="S30" s="9">
        <f>_xlfn.STDEV.P('中国汇率&amp;期货（ln）'!S30:S49)</f>
      </c>
      <c r="T30" s="9">
        <f>_xlfn.STDEV.P('中国汇率&amp;期货（ln）'!T30:T49)</f>
      </c>
      <c r="U30" s="9">
        <f>_xlfn.STDEV.P('中国汇率&amp;期货（ln）'!U30:U49)</f>
      </c>
      <c r="V30" s="9">
        <f>_xlfn.STDEV.P('中国汇率&amp;期货（ln）'!V30:V49)</f>
      </c>
      <c r="W30" s="9">
        <f>_xlfn.STDEV.P('中国汇率&amp;期货（ln）'!W30:W49)</f>
      </c>
      <c r="X30" s="9">
        <f>_xlfn.STDEV.P('中国汇率&amp;期货（ln）'!X30:X49)</f>
      </c>
      <c r="Y30" s="9">
        <f>_xlfn.STDEV.P('中国汇率&amp;期货（ln）'!Y30:Y49)</f>
      </c>
      <c r="Z30" s="9">
        <f>_xlfn.STDEV.P('中国汇率&amp;期货（ln）'!Z30:Z49)</f>
      </c>
      <c r="AA30" s="9">
        <f>_xlfn.STDEV.P('中国汇率&amp;期货（ln）'!AA30:AA49)</f>
      </c>
      <c r="AB30" s="9">
        <f>_xlfn.STDEV.P('中国汇率&amp;期货（ln）'!AB30:AB49)</f>
      </c>
      <c r="AC30" s="9">
        <f>_xlfn.STDEV.P('中国汇率&amp;期货（ln）'!AC30:AC49)</f>
      </c>
      <c r="AD30" s="9">
        <f>_xlfn.STDEV.P('中国汇率&amp;期货（ln）'!AD30:AD49)</f>
      </c>
      <c r="AE30" s="9">
        <f>_xlfn.STDEV.P('中国汇率&amp;期货（ln）'!AE30:AE49)</f>
      </c>
      <c r="AF30" s="9">
        <f>_xlfn.STDEV.P('中国汇率&amp;期货（ln）'!AF30:AF49)</f>
      </c>
      <c r="AG30" s="9">
        <f>_xlfn.STDEV.P('中国汇率&amp;期货（ln）'!AG30:AG49)</f>
      </c>
      <c r="AH30" s="9">
        <f>_xlfn.STDEV.P('中国汇率&amp;期货（ln）'!AH30:AH49)</f>
      </c>
      <c r="AI30" s="9">
        <f>_xlfn.STDEV.P('中国汇率&amp;期货（ln）'!AI30:AI49)</f>
      </c>
      <c r="AJ30" s="9">
        <f>_xlfn.STDEV.P('中国汇率&amp;期货（ln）'!AJ30:AJ49)</f>
      </c>
      <c r="AK30" s="9">
        <f>_xlfn.STDEV.P('中国汇率&amp;期货（ln）'!AK30:AK49)</f>
      </c>
      <c r="AL30" s="9">
        <f>_xlfn.STDEV.P('中国汇率&amp;期货（ln）'!AL30:AL49)</f>
      </c>
      <c r="AM30" s="9">
        <f>_xlfn.STDEV.P('中国汇率&amp;期货（ln）'!AM30:AM49)</f>
      </c>
      <c r="AN30" s="9">
        <f>_xlfn.STDEV.P('中国汇率&amp;期货（ln）'!AN30:AN49)</f>
      </c>
      <c r="AO30" s="9">
        <f>_xlfn.STDEV.P('中国汇率&amp;期货（ln）'!AO30:AO49)</f>
      </c>
      <c r="AP30" s="9">
        <f>_xlfn.STDEV.P('中国汇率&amp;期货（ln）'!AP30:AP49)</f>
      </c>
      <c r="AQ30" s="9">
        <f>_xlfn.STDEV.P('中国汇率&amp;期货（ln）'!AQ30:AQ49)</f>
      </c>
      <c r="AR30" s="9">
        <f>_xlfn.STDEV.P('中国汇率&amp;期货（ln）'!AR30:AR49)</f>
      </c>
      <c r="AS30" s="9">
        <f>_xlfn.STDEV.P('中国汇率&amp;期货（ln）'!AS30:AS49)</f>
      </c>
      <c r="AT30" s="9">
        <f>_xlfn.STDEV.P('中国汇率&amp;期货（ln）'!AT30:AT49)</f>
      </c>
      <c r="AU30" s="9">
        <f>_xlfn.STDEV.P('中国汇率&amp;期货（ln）'!AU30:AU49)</f>
      </c>
      <c r="AV30" s="9">
        <f>_xlfn.STDEV.P('中国汇率&amp;期货（ln）'!AV30:AV49)</f>
      </c>
      <c r="AW30" s="9">
        <f>_xlfn.STDEV.P('中国汇率&amp;期货（ln）'!AW30:AW49)</f>
      </c>
      <c r="AX30" s="9">
        <f>_xlfn.STDEV.P('中国汇率&amp;期货（ln）'!AX30:AX49)</f>
      </c>
      <c r="AY30" s="9">
        <f>_xlfn.STDEV.P('中国汇率&amp;期货（ln）'!AY30:AY49)</f>
      </c>
      <c r="AZ30" s="9">
        <f>_xlfn.STDEV.P('中国汇率&amp;期货（ln）'!AZ30:AZ49)</f>
      </c>
      <c r="BA30" s="9">
        <f>_xlfn.STDEV.P('中国汇率&amp;期货（ln）'!BA30:BA49)</f>
      </c>
      <c r="BB30" s="9">
        <f>_xlfn.STDEV.P('中国汇率&amp;期货（ln）'!BB30:BB49)</f>
      </c>
      <c r="BC30" s="9">
        <f>_xlfn.STDEV.P('中国汇率&amp;期货（ln）'!BC30:BC49)</f>
      </c>
      <c r="BD30" s="9">
        <f>_xlfn.STDEV.P('中国汇率&amp;期货（ln）'!BD30:BD49)</f>
      </c>
      <c r="BE30" s="9">
        <f>_xlfn.STDEV.P('中国汇率&amp;期货（ln）'!BE30:BE49)</f>
      </c>
    </row>
    <row x14ac:dyDescent="0.25" r="31" customHeight="1" ht="18.75">
      <c r="A31" s="1"/>
      <c r="B31" s="9">
        <f>_xlfn.STDEV.P('中国汇率&amp;期货（ln）'!B31:B50)</f>
      </c>
      <c r="C31" s="9">
        <f>_xlfn.STDEV.P('中国汇率&amp;期货（ln）'!C31:C50)</f>
      </c>
      <c r="D31" s="9">
        <f>_xlfn.STDEV.P('中国汇率&amp;期货（ln）'!D31:D50)</f>
      </c>
      <c r="E31" s="9">
        <f>_xlfn.STDEV.P('中国汇率&amp;期货（ln）'!E31:E50)</f>
      </c>
      <c r="F31" s="9">
        <f>_xlfn.STDEV.P('中国汇率&amp;期货（ln）'!F31:F50)</f>
      </c>
      <c r="G31" s="9">
        <f>_xlfn.STDEV.P('中国汇率&amp;期货（ln）'!G31:G50)</f>
      </c>
      <c r="H31" s="9">
        <f>_xlfn.STDEV.P('中国汇率&amp;期货（ln）'!H31:H50)</f>
      </c>
      <c r="I31" s="9">
        <f>_xlfn.STDEV.P('中国汇率&amp;期货（ln）'!I31:I50)</f>
      </c>
      <c r="J31" s="9">
        <f>_xlfn.STDEV.P('中国汇率&amp;期货（ln）'!J31:J50)</f>
      </c>
      <c r="K31" s="9">
        <f>_xlfn.STDEV.P('中国汇率&amp;期货（ln）'!K31:K50)</f>
      </c>
      <c r="L31" s="9">
        <f>_xlfn.STDEV.P('中国汇率&amp;期货（ln）'!L31:L50)</f>
      </c>
      <c r="M31" s="9">
        <f>_xlfn.STDEV.P('中国汇率&amp;期货（ln）'!M31:M50)</f>
      </c>
      <c r="N31" s="9">
        <f>_xlfn.STDEV.P('中国汇率&amp;期货（ln）'!N31:N50)</f>
      </c>
      <c r="O31" s="9">
        <f>_xlfn.STDEV.P('中国汇率&amp;期货（ln）'!O31:O50)</f>
      </c>
      <c r="P31" s="9">
        <f>_xlfn.STDEV.P('中国汇率&amp;期货（ln）'!P31:P50)</f>
      </c>
      <c r="Q31" s="9">
        <f>_xlfn.STDEV.P('中国汇率&amp;期货（ln）'!Q31:Q50)</f>
      </c>
      <c r="R31" s="9">
        <f>_xlfn.STDEV.P('中国汇率&amp;期货（ln）'!R31:R50)</f>
      </c>
      <c r="S31" s="9">
        <f>_xlfn.STDEV.P('中国汇率&amp;期货（ln）'!S31:S50)</f>
      </c>
      <c r="T31" s="9">
        <f>_xlfn.STDEV.P('中国汇率&amp;期货（ln）'!T31:T50)</f>
      </c>
      <c r="U31" s="9">
        <f>_xlfn.STDEV.P('中国汇率&amp;期货（ln）'!U31:U50)</f>
      </c>
      <c r="V31" s="9">
        <f>_xlfn.STDEV.P('中国汇率&amp;期货（ln）'!V31:V50)</f>
      </c>
      <c r="W31" s="9">
        <f>_xlfn.STDEV.P('中国汇率&amp;期货（ln）'!W31:W50)</f>
      </c>
      <c r="X31" s="9">
        <f>_xlfn.STDEV.P('中国汇率&amp;期货（ln）'!X31:X50)</f>
      </c>
      <c r="Y31" s="9">
        <f>_xlfn.STDEV.P('中国汇率&amp;期货（ln）'!Y31:Y50)</f>
      </c>
      <c r="Z31" s="9">
        <f>_xlfn.STDEV.P('中国汇率&amp;期货（ln）'!Z31:Z50)</f>
      </c>
      <c r="AA31" s="9">
        <f>_xlfn.STDEV.P('中国汇率&amp;期货（ln）'!AA31:AA50)</f>
      </c>
      <c r="AB31" s="9">
        <f>_xlfn.STDEV.P('中国汇率&amp;期货（ln）'!AB31:AB50)</f>
      </c>
      <c r="AC31" s="9">
        <f>_xlfn.STDEV.P('中国汇率&amp;期货（ln）'!AC31:AC50)</f>
      </c>
      <c r="AD31" s="9">
        <f>_xlfn.STDEV.P('中国汇率&amp;期货（ln）'!AD31:AD50)</f>
      </c>
      <c r="AE31" s="9">
        <f>_xlfn.STDEV.P('中国汇率&amp;期货（ln）'!AE31:AE50)</f>
      </c>
      <c r="AF31" s="9">
        <f>_xlfn.STDEV.P('中国汇率&amp;期货（ln）'!AF31:AF50)</f>
      </c>
      <c r="AG31" s="9">
        <f>_xlfn.STDEV.P('中国汇率&amp;期货（ln）'!AG31:AG50)</f>
      </c>
      <c r="AH31" s="9">
        <f>_xlfn.STDEV.P('中国汇率&amp;期货（ln）'!AH31:AH50)</f>
      </c>
      <c r="AI31" s="9">
        <f>_xlfn.STDEV.P('中国汇率&amp;期货（ln）'!AI31:AI50)</f>
      </c>
      <c r="AJ31" s="9">
        <f>_xlfn.STDEV.P('中国汇率&amp;期货（ln）'!AJ31:AJ50)</f>
      </c>
      <c r="AK31" s="9">
        <f>_xlfn.STDEV.P('中国汇率&amp;期货（ln）'!AK31:AK50)</f>
      </c>
      <c r="AL31" s="9">
        <f>_xlfn.STDEV.P('中国汇率&amp;期货（ln）'!AL31:AL50)</f>
      </c>
      <c r="AM31" s="9">
        <f>_xlfn.STDEV.P('中国汇率&amp;期货（ln）'!AM31:AM50)</f>
      </c>
      <c r="AN31" s="9">
        <f>_xlfn.STDEV.P('中国汇率&amp;期货（ln）'!AN31:AN50)</f>
      </c>
      <c r="AO31" s="9">
        <f>_xlfn.STDEV.P('中国汇率&amp;期货（ln）'!AO31:AO50)</f>
      </c>
      <c r="AP31" s="9">
        <f>_xlfn.STDEV.P('中国汇率&amp;期货（ln）'!AP31:AP50)</f>
      </c>
      <c r="AQ31" s="9">
        <f>_xlfn.STDEV.P('中国汇率&amp;期货（ln）'!AQ31:AQ50)</f>
      </c>
      <c r="AR31" s="9">
        <f>_xlfn.STDEV.P('中国汇率&amp;期货（ln）'!AR31:AR50)</f>
      </c>
      <c r="AS31" s="9">
        <f>_xlfn.STDEV.P('中国汇率&amp;期货（ln）'!AS31:AS50)</f>
      </c>
      <c r="AT31" s="9">
        <f>_xlfn.STDEV.P('中国汇率&amp;期货（ln）'!AT31:AT50)</f>
      </c>
      <c r="AU31" s="9">
        <f>_xlfn.STDEV.P('中国汇率&amp;期货（ln）'!AU31:AU50)</f>
      </c>
      <c r="AV31" s="9">
        <f>_xlfn.STDEV.P('中国汇率&amp;期货（ln）'!AV31:AV50)</f>
      </c>
      <c r="AW31" s="9">
        <f>_xlfn.STDEV.P('中国汇率&amp;期货（ln）'!AW31:AW50)</f>
      </c>
      <c r="AX31" s="9">
        <f>_xlfn.STDEV.P('中国汇率&amp;期货（ln）'!AX31:AX50)</f>
      </c>
      <c r="AY31" s="9">
        <f>_xlfn.STDEV.P('中国汇率&amp;期货（ln）'!AY31:AY50)</f>
      </c>
      <c r="AZ31" s="9">
        <f>_xlfn.STDEV.P('中国汇率&amp;期货（ln）'!AZ31:AZ50)</f>
      </c>
      <c r="BA31" s="9">
        <f>_xlfn.STDEV.P('中国汇率&amp;期货（ln）'!BA31:BA50)</f>
      </c>
      <c r="BB31" s="9">
        <f>_xlfn.STDEV.P('中国汇率&amp;期货（ln）'!BB31:BB50)</f>
      </c>
      <c r="BC31" s="9">
        <f>_xlfn.STDEV.P('中国汇率&amp;期货（ln）'!BC31:BC50)</f>
      </c>
      <c r="BD31" s="9">
        <f>_xlfn.STDEV.P('中国汇率&amp;期货（ln）'!BD31:BD50)</f>
      </c>
      <c r="BE31" s="9">
        <f>_xlfn.STDEV.P('中国汇率&amp;期货（ln）'!BE31:BE50)</f>
      </c>
    </row>
    <row x14ac:dyDescent="0.25" r="32" customHeight="1" ht="18.75">
      <c r="A32" s="1"/>
      <c r="B32" s="9">
        <f>_xlfn.STDEV.P('中国汇率&amp;期货（ln）'!B32:B51)</f>
      </c>
      <c r="C32" s="9">
        <f>_xlfn.STDEV.P('中国汇率&amp;期货（ln）'!C32:C51)</f>
      </c>
      <c r="D32" s="9">
        <f>_xlfn.STDEV.P('中国汇率&amp;期货（ln）'!D32:D51)</f>
      </c>
      <c r="E32" s="9">
        <f>_xlfn.STDEV.P('中国汇率&amp;期货（ln）'!E32:E51)</f>
      </c>
      <c r="F32" s="9">
        <f>_xlfn.STDEV.P('中国汇率&amp;期货（ln）'!F32:F51)</f>
      </c>
      <c r="G32" s="9">
        <f>_xlfn.STDEV.P('中国汇率&amp;期货（ln）'!G32:G51)</f>
      </c>
      <c r="H32" s="9">
        <f>_xlfn.STDEV.P('中国汇率&amp;期货（ln）'!H32:H51)</f>
      </c>
      <c r="I32" s="9">
        <f>_xlfn.STDEV.P('中国汇率&amp;期货（ln）'!I32:I51)</f>
      </c>
      <c r="J32" s="9">
        <f>_xlfn.STDEV.P('中国汇率&amp;期货（ln）'!J32:J51)</f>
      </c>
      <c r="K32" s="9">
        <f>_xlfn.STDEV.P('中国汇率&amp;期货（ln）'!K32:K51)</f>
      </c>
      <c r="L32" s="9">
        <f>_xlfn.STDEV.P('中国汇率&amp;期货（ln）'!L32:L51)</f>
      </c>
      <c r="M32" s="9">
        <f>_xlfn.STDEV.P('中国汇率&amp;期货（ln）'!M32:M51)</f>
      </c>
      <c r="N32" s="9">
        <f>_xlfn.STDEV.P('中国汇率&amp;期货（ln）'!N32:N51)</f>
      </c>
      <c r="O32" s="9">
        <f>_xlfn.STDEV.P('中国汇率&amp;期货（ln）'!O32:O51)</f>
      </c>
      <c r="P32" s="9">
        <f>_xlfn.STDEV.P('中国汇率&amp;期货（ln）'!P32:P51)</f>
      </c>
      <c r="Q32" s="9">
        <f>_xlfn.STDEV.P('中国汇率&amp;期货（ln）'!Q32:Q51)</f>
      </c>
      <c r="R32" s="9">
        <f>_xlfn.STDEV.P('中国汇率&amp;期货（ln）'!R32:R51)</f>
      </c>
      <c r="S32" s="9">
        <f>_xlfn.STDEV.P('中国汇率&amp;期货（ln）'!S32:S51)</f>
      </c>
      <c r="T32" s="9">
        <f>_xlfn.STDEV.P('中国汇率&amp;期货（ln）'!T32:T51)</f>
      </c>
      <c r="U32" s="9">
        <f>_xlfn.STDEV.P('中国汇率&amp;期货（ln）'!U32:U51)</f>
      </c>
      <c r="V32" s="9">
        <f>_xlfn.STDEV.P('中国汇率&amp;期货（ln）'!V32:V51)</f>
      </c>
      <c r="W32" s="9">
        <f>_xlfn.STDEV.P('中国汇率&amp;期货（ln）'!W32:W51)</f>
      </c>
      <c r="X32" s="9">
        <f>_xlfn.STDEV.P('中国汇率&amp;期货（ln）'!X32:X51)</f>
      </c>
      <c r="Y32" s="9">
        <f>_xlfn.STDEV.P('中国汇率&amp;期货（ln）'!Y32:Y51)</f>
      </c>
      <c r="Z32" s="9">
        <f>_xlfn.STDEV.P('中国汇率&amp;期货（ln）'!Z32:Z51)</f>
      </c>
      <c r="AA32" s="9">
        <f>_xlfn.STDEV.P('中国汇率&amp;期货（ln）'!AA32:AA51)</f>
      </c>
      <c r="AB32" s="9">
        <f>_xlfn.STDEV.P('中国汇率&amp;期货（ln）'!AB32:AB51)</f>
      </c>
      <c r="AC32" s="9">
        <f>_xlfn.STDEV.P('中国汇率&amp;期货（ln）'!AC32:AC51)</f>
      </c>
      <c r="AD32" s="9">
        <f>_xlfn.STDEV.P('中国汇率&amp;期货（ln）'!AD32:AD51)</f>
      </c>
      <c r="AE32" s="9">
        <f>_xlfn.STDEV.P('中国汇率&amp;期货（ln）'!AE32:AE51)</f>
      </c>
      <c r="AF32" s="9">
        <f>_xlfn.STDEV.P('中国汇率&amp;期货（ln）'!AF32:AF51)</f>
      </c>
      <c r="AG32" s="9">
        <f>_xlfn.STDEV.P('中国汇率&amp;期货（ln）'!AG32:AG51)</f>
      </c>
      <c r="AH32" s="9">
        <f>_xlfn.STDEV.P('中国汇率&amp;期货（ln）'!AH32:AH51)</f>
      </c>
      <c r="AI32" s="9">
        <f>_xlfn.STDEV.P('中国汇率&amp;期货（ln）'!AI32:AI51)</f>
      </c>
      <c r="AJ32" s="9">
        <f>_xlfn.STDEV.P('中国汇率&amp;期货（ln）'!AJ32:AJ51)</f>
      </c>
      <c r="AK32" s="9">
        <f>_xlfn.STDEV.P('中国汇率&amp;期货（ln）'!AK32:AK51)</f>
      </c>
      <c r="AL32" s="9">
        <f>_xlfn.STDEV.P('中国汇率&amp;期货（ln）'!AL32:AL51)</f>
      </c>
      <c r="AM32" s="9">
        <f>_xlfn.STDEV.P('中国汇率&amp;期货（ln）'!AM32:AM51)</f>
      </c>
      <c r="AN32" s="9">
        <f>_xlfn.STDEV.P('中国汇率&amp;期货（ln）'!AN32:AN51)</f>
      </c>
      <c r="AO32" s="9">
        <f>_xlfn.STDEV.P('中国汇率&amp;期货（ln）'!AO32:AO51)</f>
      </c>
      <c r="AP32" s="9">
        <f>_xlfn.STDEV.P('中国汇率&amp;期货（ln）'!AP32:AP51)</f>
      </c>
      <c r="AQ32" s="9">
        <f>_xlfn.STDEV.P('中国汇率&amp;期货（ln）'!AQ32:AQ51)</f>
      </c>
      <c r="AR32" s="9">
        <f>_xlfn.STDEV.P('中国汇率&amp;期货（ln）'!AR32:AR51)</f>
      </c>
      <c r="AS32" s="9">
        <f>_xlfn.STDEV.P('中国汇率&amp;期货（ln）'!AS32:AS51)</f>
      </c>
      <c r="AT32" s="9">
        <f>_xlfn.STDEV.P('中国汇率&amp;期货（ln）'!AT32:AT51)</f>
      </c>
      <c r="AU32" s="9">
        <f>_xlfn.STDEV.P('中国汇率&amp;期货（ln）'!AU32:AU51)</f>
      </c>
      <c r="AV32" s="9">
        <f>_xlfn.STDEV.P('中国汇率&amp;期货（ln）'!AV32:AV51)</f>
      </c>
      <c r="AW32" s="9">
        <f>_xlfn.STDEV.P('中国汇率&amp;期货（ln）'!AW32:AW51)</f>
      </c>
      <c r="AX32" s="9">
        <f>_xlfn.STDEV.P('中国汇率&amp;期货（ln）'!AX32:AX51)</f>
      </c>
      <c r="AY32" s="9">
        <f>_xlfn.STDEV.P('中国汇率&amp;期货（ln）'!AY32:AY51)</f>
      </c>
      <c r="AZ32" s="9">
        <f>_xlfn.STDEV.P('中国汇率&amp;期货（ln）'!AZ32:AZ51)</f>
      </c>
      <c r="BA32" s="9">
        <f>_xlfn.STDEV.P('中国汇率&amp;期货（ln）'!BA32:BA51)</f>
      </c>
      <c r="BB32" s="9">
        <f>_xlfn.STDEV.P('中国汇率&amp;期货（ln）'!BB32:BB51)</f>
      </c>
      <c r="BC32" s="9">
        <f>_xlfn.STDEV.P('中国汇率&amp;期货（ln）'!BC32:BC51)</f>
      </c>
      <c r="BD32" s="9">
        <f>_xlfn.STDEV.P('中国汇率&amp;期货（ln）'!BD32:BD51)</f>
      </c>
      <c r="BE32" s="9">
        <f>_xlfn.STDEV.P('中国汇率&amp;期货（ln）'!BE32:BE51)</f>
      </c>
    </row>
    <row x14ac:dyDescent="0.25" r="33" customHeight="1" ht="18.75">
      <c r="A33" s="1"/>
      <c r="B33" s="9">
        <f>_xlfn.STDEV.P('中国汇率&amp;期货（ln）'!B33:B52)</f>
      </c>
      <c r="C33" s="9">
        <f>_xlfn.STDEV.P('中国汇率&amp;期货（ln）'!C33:C52)</f>
      </c>
      <c r="D33" s="9">
        <f>_xlfn.STDEV.P('中国汇率&amp;期货（ln）'!D33:D52)</f>
      </c>
      <c r="E33" s="9">
        <f>_xlfn.STDEV.P('中国汇率&amp;期货（ln）'!E33:E52)</f>
      </c>
      <c r="F33" s="9">
        <f>_xlfn.STDEV.P('中国汇率&amp;期货（ln）'!F33:F52)</f>
      </c>
      <c r="G33" s="9">
        <f>_xlfn.STDEV.P('中国汇率&amp;期货（ln）'!G33:G52)</f>
      </c>
      <c r="H33" s="9">
        <f>_xlfn.STDEV.P('中国汇率&amp;期货（ln）'!H33:H52)</f>
      </c>
      <c r="I33" s="9">
        <f>_xlfn.STDEV.P('中国汇率&amp;期货（ln）'!I33:I52)</f>
      </c>
      <c r="J33" s="9">
        <f>_xlfn.STDEV.P('中国汇率&amp;期货（ln）'!J33:J52)</f>
      </c>
      <c r="K33" s="9">
        <f>_xlfn.STDEV.P('中国汇率&amp;期货（ln）'!K33:K52)</f>
      </c>
      <c r="L33" s="9">
        <f>_xlfn.STDEV.P('中国汇率&amp;期货（ln）'!L33:L52)</f>
      </c>
      <c r="M33" s="9">
        <f>_xlfn.STDEV.P('中国汇率&amp;期货（ln）'!M33:M52)</f>
      </c>
      <c r="N33" s="9">
        <f>_xlfn.STDEV.P('中国汇率&amp;期货（ln）'!N33:N52)</f>
      </c>
      <c r="O33" s="9">
        <f>_xlfn.STDEV.P('中国汇率&amp;期货（ln）'!O33:O52)</f>
      </c>
      <c r="P33" s="9">
        <f>_xlfn.STDEV.P('中国汇率&amp;期货（ln）'!P33:P52)</f>
      </c>
      <c r="Q33" s="9">
        <f>_xlfn.STDEV.P('中国汇率&amp;期货（ln）'!Q33:Q52)</f>
      </c>
      <c r="R33" s="9">
        <f>_xlfn.STDEV.P('中国汇率&amp;期货（ln）'!R33:R52)</f>
      </c>
      <c r="S33" s="9">
        <f>_xlfn.STDEV.P('中国汇率&amp;期货（ln）'!S33:S52)</f>
      </c>
      <c r="T33" s="9">
        <f>_xlfn.STDEV.P('中国汇率&amp;期货（ln）'!T33:T52)</f>
      </c>
      <c r="U33" s="9">
        <f>_xlfn.STDEV.P('中国汇率&amp;期货（ln）'!U33:U52)</f>
      </c>
      <c r="V33" s="9">
        <f>_xlfn.STDEV.P('中国汇率&amp;期货（ln）'!V33:V52)</f>
      </c>
      <c r="W33" s="9">
        <f>_xlfn.STDEV.P('中国汇率&amp;期货（ln）'!W33:W52)</f>
      </c>
      <c r="X33" s="9">
        <f>_xlfn.STDEV.P('中国汇率&amp;期货（ln）'!X33:X52)</f>
      </c>
      <c r="Y33" s="9">
        <f>_xlfn.STDEV.P('中国汇率&amp;期货（ln）'!Y33:Y52)</f>
      </c>
      <c r="Z33" s="9">
        <f>_xlfn.STDEV.P('中国汇率&amp;期货（ln）'!Z33:Z52)</f>
      </c>
      <c r="AA33" s="9">
        <f>_xlfn.STDEV.P('中国汇率&amp;期货（ln）'!AA33:AA52)</f>
      </c>
      <c r="AB33" s="9">
        <f>_xlfn.STDEV.P('中国汇率&amp;期货（ln）'!AB33:AB52)</f>
      </c>
      <c r="AC33" s="9">
        <f>_xlfn.STDEV.P('中国汇率&amp;期货（ln）'!AC33:AC52)</f>
      </c>
      <c r="AD33" s="9">
        <f>_xlfn.STDEV.P('中国汇率&amp;期货（ln）'!AD33:AD52)</f>
      </c>
      <c r="AE33" s="9">
        <f>_xlfn.STDEV.P('中国汇率&amp;期货（ln）'!AE33:AE52)</f>
      </c>
      <c r="AF33" s="9">
        <f>_xlfn.STDEV.P('中国汇率&amp;期货（ln）'!AF33:AF52)</f>
      </c>
      <c r="AG33" s="9">
        <f>_xlfn.STDEV.P('中国汇率&amp;期货（ln）'!AG33:AG52)</f>
      </c>
      <c r="AH33" s="9">
        <f>_xlfn.STDEV.P('中国汇率&amp;期货（ln）'!AH33:AH52)</f>
      </c>
      <c r="AI33" s="9">
        <f>_xlfn.STDEV.P('中国汇率&amp;期货（ln）'!AI33:AI52)</f>
      </c>
      <c r="AJ33" s="9">
        <f>_xlfn.STDEV.P('中国汇率&amp;期货（ln）'!AJ33:AJ52)</f>
      </c>
      <c r="AK33" s="9">
        <f>_xlfn.STDEV.P('中国汇率&amp;期货（ln）'!AK33:AK52)</f>
      </c>
      <c r="AL33" s="9">
        <f>_xlfn.STDEV.P('中国汇率&amp;期货（ln）'!AL33:AL52)</f>
      </c>
      <c r="AM33" s="9">
        <f>_xlfn.STDEV.P('中国汇率&amp;期货（ln）'!AM33:AM52)</f>
      </c>
      <c r="AN33" s="9">
        <f>_xlfn.STDEV.P('中国汇率&amp;期货（ln）'!AN33:AN52)</f>
      </c>
      <c r="AO33" s="9">
        <f>_xlfn.STDEV.P('中国汇率&amp;期货（ln）'!AO33:AO52)</f>
      </c>
      <c r="AP33" s="9">
        <f>_xlfn.STDEV.P('中国汇率&amp;期货（ln）'!AP33:AP52)</f>
      </c>
      <c r="AQ33" s="9">
        <f>_xlfn.STDEV.P('中国汇率&amp;期货（ln）'!AQ33:AQ52)</f>
      </c>
      <c r="AR33" s="9">
        <f>_xlfn.STDEV.P('中国汇率&amp;期货（ln）'!AR33:AR52)</f>
      </c>
      <c r="AS33" s="9">
        <f>_xlfn.STDEV.P('中国汇率&amp;期货（ln）'!AS33:AS52)</f>
      </c>
      <c r="AT33" s="9">
        <f>_xlfn.STDEV.P('中国汇率&amp;期货（ln）'!AT33:AT52)</f>
      </c>
      <c r="AU33" s="9">
        <f>_xlfn.STDEV.P('中国汇率&amp;期货（ln）'!AU33:AU52)</f>
      </c>
      <c r="AV33" s="9">
        <f>_xlfn.STDEV.P('中国汇率&amp;期货（ln）'!AV33:AV52)</f>
      </c>
      <c r="AW33" s="9">
        <f>_xlfn.STDEV.P('中国汇率&amp;期货（ln）'!AW33:AW52)</f>
      </c>
      <c r="AX33" s="9">
        <f>_xlfn.STDEV.P('中国汇率&amp;期货（ln）'!AX33:AX52)</f>
      </c>
      <c r="AY33" s="9">
        <f>_xlfn.STDEV.P('中国汇率&amp;期货（ln）'!AY33:AY52)</f>
      </c>
      <c r="AZ33" s="9">
        <f>_xlfn.STDEV.P('中国汇率&amp;期货（ln）'!AZ33:AZ52)</f>
      </c>
      <c r="BA33" s="9">
        <f>_xlfn.STDEV.P('中国汇率&amp;期货（ln）'!BA33:BA52)</f>
      </c>
      <c r="BB33" s="9">
        <f>_xlfn.STDEV.P('中国汇率&amp;期货（ln）'!BB33:BB52)</f>
      </c>
      <c r="BC33" s="9">
        <f>_xlfn.STDEV.P('中国汇率&amp;期货（ln）'!BC33:BC52)</f>
      </c>
      <c r="BD33" s="9">
        <f>_xlfn.STDEV.P('中国汇率&amp;期货（ln）'!BD33:BD52)</f>
      </c>
      <c r="BE33" s="9">
        <f>_xlfn.STDEV.P('中国汇率&amp;期货（ln）'!BE33:BE52)</f>
      </c>
    </row>
    <row x14ac:dyDescent="0.25" r="34" customHeight="1" ht="18.75">
      <c r="A34" s="1"/>
      <c r="B34" s="9">
        <f>_xlfn.STDEV.P('中国汇率&amp;期货（ln）'!B34:B53)</f>
      </c>
      <c r="C34" s="9">
        <f>_xlfn.STDEV.P('中国汇率&amp;期货（ln）'!C34:C53)</f>
      </c>
      <c r="D34" s="9">
        <f>_xlfn.STDEV.P('中国汇率&amp;期货（ln）'!D34:D53)</f>
      </c>
      <c r="E34" s="9">
        <f>_xlfn.STDEV.P('中国汇率&amp;期货（ln）'!E34:E53)</f>
      </c>
      <c r="F34" s="9">
        <f>_xlfn.STDEV.P('中国汇率&amp;期货（ln）'!F34:F53)</f>
      </c>
      <c r="G34" s="9">
        <f>_xlfn.STDEV.P('中国汇率&amp;期货（ln）'!G34:G53)</f>
      </c>
      <c r="H34" s="9">
        <f>_xlfn.STDEV.P('中国汇率&amp;期货（ln）'!H34:H53)</f>
      </c>
      <c r="I34" s="9">
        <f>_xlfn.STDEV.P('中国汇率&amp;期货（ln）'!I34:I53)</f>
      </c>
      <c r="J34" s="9">
        <f>_xlfn.STDEV.P('中国汇率&amp;期货（ln）'!J34:J53)</f>
      </c>
      <c r="K34" s="9">
        <f>_xlfn.STDEV.P('中国汇率&amp;期货（ln）'!K34:K53)</f>
      </c>
      <c r="L34" s="9">
        <f>_xlfn.STDEV.P('中国汇率&amp;期货（ln）'!L34:L53)</f>
      </c>
      <c r="M34" s="9">
        <f>_xlfn.STDEV.P('中国汇率&amp;期货（ln）'!M34:M53)</f>
      </c>
      <c r="N34" s="9">
        <f>_xlfn.STDEV.P('中国汇率&amp;期货（ln）'!N34:N53)</f>
      </c>
      <c r="O34" s="9">
        <f>_xlfn.STDEV.P('中国汇率&amp;期货（ln）'!O34:O53)</f>
      </c>
      <c r="P34" s="9">
        <f>_xlfn.STDEV.P('中国汇率&amp;期货（ln）'!P34:P53)</f>
      </c>
      <c r="Q34" s="9">
        <f>_xlfn.STDEV.P('中国汇率&amp;期货（ln）'!Q34:Q53)</f>
      </c>
      <c r="R34" s="9">
        <f>_xlfn.STDEV.P('中国汇率&amp;期货（ln）'!R34:R53)</f>
      </c>
      <c r="S34" s="9">
        <f>_xlfn.STDEV.P('中国汇率&amp;期货（ln）'!S34:S53)</f>
      </c>
      <c r="T34" s="9">
        <f>_xlfn.STDEV.P('中国汇率&amp;期货（ln）'!T34:T53)</f>
      </c>
      <c r="U34" s="9">
        <f>_xlfn.STDEV.P('中国汇率&amp;期货（ln）'!U34:U53)</f>
      </c>
      <c r="V34" s="9">
        <f>_xlfn.STDEV.P('中国汇率&amp;期货（ln）'!V34:V53)</f>
      </c>
      <c r="W34" s="9">
        <f>_xlfn.STDEV.P('中国汇率&amp;期货（ln）'!W34:W53)</f>
      </c>
      <c r="X34" s="9">
        <f>_xlfn.STDEV.P('中国汇率&amp;期货（ln）'!X34:X53)</f>
      </c>
      <c r="Y34" s="9">
        <f>_xlfn.STDEV.P('中国汇率&amp;期货（ln）'!Y34:Y53)</f>
      </c>
      <c r="Z34" s="9">
        <f>_xlfn.STDEV.P('中国汇率&amp;期货（ln）'!Z34:Z53)</f>
      </c>
      <c r="AA34" s="9">
        <f>_xlfn.STDEV.P('中国汇率&amp;期货（ln）'!AA34:AA53)</f>
      </c>
      <c r="AB34" s="9">
        <f>_xlfn.STDEV.P('中国汇率&amp;期货（ln）'!AB34:AB53)</f>
      </c>
      <c r="AC34" s="9">
        <f>_xlfn.STDEV.P('中国汇率&amp;期货（ln）'!AC34:AC53)</f>
      </c>
      <c r="AD34" s="9">
        <f>_xlfn.STDEV.P('中国汇率&amp;期货（ln）'!AD34:AD53)</f>
      </c>
      <c r="AE34" s="9">
        <f>_xlfn.STDEV.P('中国汇率&amp;期货（ln）'!AE34:AE53)</f>
      </c>
      <c r="AF34" s="9">
        <f>_xlfn.STDEV.P('中国汇率&amp;期货（ln）'!AF34:AF53)</f>
      </c>
      <c r="AG34" s="9">
        <f>_xlfn.STDEV.P('中国汇率&amp;期货（ln）'!AG34:AG53)</f>
      </c>
      <c r="AH34" s="9">
        <f>_xlfn.STDEV.P('中国汇率&amp;期货（ln）'!AH34:AH53)</f>
      </c>
      <c r="AI34" s="9">
        <f>_xlfn.STDEV.P('中国汇率&amp;期货（ln）'!AI34:AI53)</f>
      </c>
      <c r="AJ34" s="9">
        <f>_xlfn.STDEV.P('中国汇率&amp;期货（ln）'!AJ34:AJ53)</f>
      </c>
      <c r="AK34" s="9">
        <f>_xlfn.STDEV.P('中国汇率&amp;期货（ln）'!AK34:AK53)</f>
      </c>
      <c r="AL34" s="9">
        <f>_xlfn.STDEV.P('中国汇率&amp;期货（ln）'!AL34:AL53)</f>
      </c>
      <c r="AM34" s="9">
        <f>_xlfn.STDEV.P('中国汇率&amp;期货（ln）'!AM34:AM53)</f>
      </c>
      <c r="AN34" s="9">
        <f>_xlfn.STDEV.P('中国汇率&amp;期货（ln）'!AN34:AN53)</f>
      </c>
      <c r="AO34" s="9">
        <f>_xlfn.STDEV.P('中国汇率&amp;期货（ln）'!AO34:AO53)</f>
      </c>
      <c r="AP34" s="9">
        <f>_xlfn.STDEV.P('中国汇率&amp;期货（ln）'!AP34:AP53)</f>
      </c>
      <c r="AQ34" s="9">
        <f>_xlfn.STDEV.P('中国汇率&amp;期货（ln）'!AQ34:AQ53)</f>
      </c>
      <c r="AR34" s="9">
        <f>_xlfn.STDEV.P('中国汇率&amp;期货（ln）'!AR34:AR53)</f>
      </c>
      <c r="AS34" s="9">
        <f>_xlfn.STDEV.P('中国汇率&amp;期货（ln）'!AS34:AS53)</f>
      </c>
      <c r="AT34" s="9">
        <f>_xlfn.STDEV.P('中国汇率&amp;期货（ln）'!AT34:AT53)</f>
      </c>
      <c r="AU34" s="9">
        <f>_xlfn.STDEV.P('中国汇率&amp;期货（ln）'!AU34:AU53)</f>
      </c>
      <c r="AV34" s="9">
        <f>_xlfn.STDEV.P('中国汇率&amp;期货（ln）'!AV34:AV53)</f>
      </c>
      <c r="AW34" s="9">
        <f>_xlfn.STDEV.P('中国汇率&amp;期货（ln）'!AW34:AW53)</f>
      </c>
      <c r="AX34" s="9">
        <f>_xlfn.STDEV.P('中国汇率&amp;期货（ln）'!AX34:AX53)</f>
      </c>
      <c r="AY34" s="9">
        <f>_xlfn.STDEV.P('中国汇率&amp;期货（ln）'!AY34:AY53)</f>
      </c>
      <c r="AZ34" s="9">
        <f>_xlfn.STDEV.P('中国汇率&amp;期货（ln）'!AZ34:AZ53)</f>
      </c>
      <c r="BA34" s="9">
        <f>_xlfn.STDEV.P('中国汇率&amp;期货（ln）'!BA34:BA53)</f>
      </c>
      <c r="BB34" s="9">
        <f>_xlfn.STDEV.P('中国汇率&amp;期货（ln）'!BB34:BB53)</f>
      </c>
      <c r="BC34" s="9">
        <f>_xlfn.STDEV.P('中国汇率&amp;期货（ln）'!BC34:BC53)</f>
      </c>
      <c r="BD34" s="9">
        <f>_xlfn.STDEV.P('中国汇率&amp;期货（ln）'!BD34:BD53)</f>
      </c>
      <c r="BE34" s="9">
        <f>_xlfn.STDEV.P('中国汇率&amp;期货（ln）'!BE34:BE53)</f>
      </c>
    </row>
    <row x14ac:dyDescent="0.25" r="35" customHeight="1" ht="18.75">
      <c r="A35" s="1"/>
      <c r="B35" s="9">
        <f>_xlfn.STDEV.P('中国汇率&amp;期货（ln）'!B35:B54)</f>
      </c>
      <c r="C35" s="9">
        <f>_xlfn.STDEV.P('中国汇率&amp;期货（ln）'!C35:C54)</f>
      </c>
      <c r="D35" s="9">
        <f>_xlfn.STDEV.P('中国汇率&amp;期货（ln）'!D35:D54)</f>
      </c>
      <c r="E35" s="9">
        <f>_xlfn.STDEV.P('中国汇率&amp;期货（ln）'!E35:E54)</f>
      </c>
      <c r="F35" s="9">
        <f>_xlfn.STDEV.P('中国汇率&amp;期货（ln）'!F35:F54)</f>
      </c>
      <c r="G35" s="9">
        <f>_xlfn.STDEV.P('中国汇率&amp;期货（ln）'!G35:G54)</f>
      </c>
      <c r="H35" s="9">
        <f>_xlfn.STDEV.P('中国汇率&amp;期货（ln）'!H35:H54)</f>
      </c>
      <c r="I35" s="9">
        <f>_xlfn.STDEV.P('中国汇率&amp;期货（ln）'!I35:I54)</f>
      </c>
      <c r="J35" s="9">
        <f>_xlfn.STDEV.P('中国汇率&amp;期货（ln）'!J35:J54)</f>
      </c>
      <c r="K35" s="9">
        <f>_xlfn.STDEV.P('中国汇率&amp;期货（ln）'!K35:K54)</f>
      </c>
      <c r="L35" s="9">
        <f>_xlfn.STDEV.P('中国汇率&amp;期货（ln）'!L35:L54)</f>
      </c>
      <c r="M35" s="9">
        <f>_xlfn.STDEV.P('中国汇率&amp;期货（ln）'!M35:M54)</f>
      </c>
      <c r="N35" s="9">
        <f>_xlfn.STDEV.P('中国汇率&amp;期货（ln）'!N35:N54)</f>
      </c>
      <c r="O35" s="9">
        <f>_xlfn.STDEV.P('中国汇率&amp;期货（ln）'!O35:O54)</f>
      </c>
      <c r="P35" s="9">
        <f>_xlfn.STDEV.P('中国汇率&amp;期货（ln）'!P35:P54)</f>
      </c>
      <c r="Q35" s="9">
        <f>_xlfn.STDEV.P('中国汇率&amp;期货（ln）'!Q35:Q54)</f>
      </c>
      <c r="R35" s="9">
        <f>_xlfn.STDEV.P('中国汇率&amp;期货（ln）'!R35:R54)</f>
      </c>
      <c r="S35" s="9">
        <f>_xlfn.STDEV.P('中国汇率&amp;期货（ln）'!S35:S54)</f>
      </c>
      <c r="T35" s="9">
        <f>_xlfn.STDEV.P('中国汇率&amp;期货（ln）'!T35:T54)</f>
      </c>
      <c r="U35" s="9">
        <f>_xlfn.STDEV.P('中国汇率&amp;期货（ln）'!U35:U54)</f>
      </c>
      <c r="V35" s="9">
        <f>_xlfn.STDEV.P('中国汇率&amp;期货（ln）'!V35:V54)</f>
      </c>
      <c r="W35" s="9">
        <f>_xlfn.STDEV.P('中国汇率&amp;期货（ln）'!W35:W54)</f>
      </c>
      <c r="X35" s="9">
        <f>_xlfn.STDEV.P('中国汇率&amp;期货（ln）'!X35:X54)</f>
      </c>
      <c r="Y35" s="9">
        <f>_xlfn.STDEV.P('中国汇率&amp;期货（ln）'!Y35:Y54)</f>
      </c>
      <c r="Z35" s="9">
        <f>_xlfn.STDEV.P('中国汇率&amp;期货（ln）'!Z35:Z54)</f>
      </c>
      <c r="AA35" s="9">
        <f>_xlfn.STDEV.P('中国汇率&amp;期货（ln）'!AA35:AA54)</f>
      </c>
      <c r="AB35" s="9">
        <f>_xlfn.STDEV.P('中国汇率&amp;期货（ln）'!AB35:AB54)</f>
      </c>
      <c r="AC35" s="9">
        <f>_xlfn.STDEV.P('中国汇率&amp;期货（ln）'!AC35:AC54)</f>
      </c>
      <c r="AD35" s="9">
        <f>_xlfn.STDEV.P('中国汇率&amp;期货（ln）'!AD35:AD54)</f>
      </c>
      <c r="AE35" s="9">
        <f>_xlfn.STDEV.P('中国汇率&amp;期货（ln）'!AE35:AE54)</f>
      </c>
      <c r="AF35" s="9">
        <f>_xlfn.STDEV.P('中国汇率&amp;期货（ln）'!AF35:AF54)</f>
      </c>
      <c r="AG35" s="9">
        <f>_xlfn.STDEV.P('中国汇率&amp;期货（ln）'!AG35:AG54)</f>
      </c>
      <c r="AH35" s="9">
        <f>_xlfn.STDEV.P('中国汇率&amp;期货（ln）'!AH35:AH54)</f>
      </c>
      <c r="AI35" s="9">
        <f>_xlfn.STDEV.P('中国汇率&amp;期货（ln）'!AI35:AI54)</f>
      </c>
      <c r="AJ35" s="9">
        <f>_xlfn.STDEV.P('中国汇率&amp;期货（ln）'!AJ35:AJ54)</f>
      </c>
      <c r="AK35" s="9">
        <f>_xlfn.STDEV.P('中国汇率&amp;期货（ln）'!AK35:AK54)</f>
      </c>
      <c r="AL35" s="9">
        <f>_xlfn.STDEV.P('中国汇率&amp;期货（ln）'!AL35:AL54)</f>
      </c>
      <c r="AM35" s="9">
        <f>_xlfn.STDEV.P('中国汇率&amp;期货（ln）'!AM35:AM54)</f>
      </c>
      <c r="AN35" s="9">
        <f>_xlfn.STDEV.P('中国汇率&amp;期货（ln）'!AN35:AN54)</f>
      </c>
      <c r="AO35" s="9">
        <f>_xlfn.STDEV.P('中国汇率&amp;期货（ln）'!AO35:AO54)</f>
      </c>
      <c r="AP35" s="9">
        <f>_xlfn.STDEV.P('中国汇率&amp;期货（ln）'!AP35:AP54)</f>
      </c>
      <c r="AQ35" s="9">
        <f>_xlfn.STDEV.P('中国汇率&amp;期货（ln）'!AQ35:AQ54)</f>
      </c>
      <c r="AR35" s="9">
        <f>_xlfn.STDEV.P('中国汇率&amp;期货（ln）'!AR35:AR54)</f>
      </c>
      <c r="AS35" s="9">
        <f>_xlfn.STDEV.P('中国汇率&amp;期货（ln）'!AS35:AS54)</f>
      </c>
      <c r="AT35" s="9">
        <f>_xlfn.STDEV.P('中国汇率&amp;期货（ln）'!AT35:AT54)</f>
      </c>
      <c r="AU35" s="9">
        <f>_xlfn.STDEV.P('中国汇率&amp;期货（ln）'!AU35:AU54)</f>
      </c>
      <c r="AV35" s="9">
        <f>_xlfn.STDEV.P('中国汇率&amp;期货（ln）'!AV35:AV54)</f>
      </c>
      <c r="AW35" s="9">
        <f>_xlfn.STDEV.P('中国汇率&amp;期货（ln）'!AW35:AW54)</f>
      </c>
      <c r="AX35" s="9">
        <f>_xlfn.STDEV.P('中国汇率&amp;期货（ln）'!AX35:AX54)</f>
      </c>
      <c r="AY35" s="9">
        <f>_xlfn.STDEV.P('中国汇率&amp;期货（ln）'!AY35:AY54)</f>
      </c>
      <c r="AZ35" s="9">
        <f>_xlfn.STDEV.P('中国汇率&amp;期货（ln）'!AZ35:AZ54)</f>
      </c>
      <c r="BA35" s="9">
        <f>_xlfn.STDEV.P('中国汇率&amp;期货（ln）'!BA35:BA54)</f>
      </c>
      <c r="BB35" s="9">
        <f>_xlfn.STDEV.P('中国汇率&amp;期货（ln）'!BB35:BB54)</f>
      </c>
      <c r="BC35" s="9">
        <f>_xlfn.STDEV.P('中国汇率&amp;期货（ln）'!BC35:BC54)</f>
      </c>
      <c r="BD35" s="9">
        <f>_xlfn.STDEV.P('中国汇率&amp;期货（ln）'!BD35:BD54)</f>
      </c>
      <c r="BE35" s="9">
        <f>_xlfn.STDEV.P('中国汇率&amp;期货（ln）'!BE35:BE54)</f>
      </c>
    </row>
    <row x14ac:dyDescent="0.25" r="36" customHeight="1" ht="18.75">
      <c r="A36" s="1"/>
      <c r="B36" s="9">
        <f>_xlfn.STDEV.P('中国汇率&amp;期货（ln）'!B36:B55)</f>
      </c>
      <c r="C36" s="9">
        <f>_xlfn.STDEV.P('中国汇率&amp;期货（ln）'!C36:C55)</f>
      </c>
      <c r="D36" s="9">
        <f>_xlfn.STDEV.P('中国汇率&amp;期货（ln）'!D36:D55)</f>
      </c>
      <c r="E36" s="9">
        <f>_xlfn.STDEV.P('中国汇率&amp;期货（ln）'!E36:E55)</f>
      </c>
      <c r="F36" s="9">
        <f>_xlfn.STDEV.P('中国汇率&amp;期货（ln）'!F36:F55)</f>
      </c>
      <c r="G36" s="9">
        <f>_xlfn.STDEV.P('中国汇率&amp;期货（ln）'!G36:G55)</f>
      </c>
      <c r="H36" s="9">
        <f>_xlfn.STDEV.P('中国汇率&amp;期货（ln）'!H36:H55)</f>
      </c>
      <c r="I36" s="9">
        <f>_xlfn.STDEV.P('中国汇率&amp;期货（ln）'!I36:I55)</f>
      </c>
      <c r="J36" s="9">
        <f>_xlfn.STDEV.P('中国汇率&amp;期货（ln）'!J36:J55)</f>
      </c>
      <c r="K36" s="9">
        <f>_xlfn.STDEV.P('中国汇率&amp;期货（ln）'!K36:K55)</f>
      </c>
      <c r="L36" s="9">
        <f>_xlfn.STDEV.P('中国汇率&amp;期货（ln）'!L36:L55)</f>
      </c>
      <c r="M36" s="9">
        <f>_xlfn.STDEV.P('中国汇率&amp;期货（ln）'!M36:M55)</f>
      </c>
      <c r="N36" s="9">
        <f>_xlfn.STDEV.P('中国汇率&amp;期货（ln）'!N36:N55)</f>
      </c>
      <c r="O36" s="9">
        <f>_xlfn.STDEV.P('中国汇率&amp;期货（ln）'!O36:O55)</f>
      </c>
      <c r="P36" s="9">
        <f>_xlfn.STDEV.P('中国汇率&amp;期货（ln）'!P36:P55)</f>
      </c>
      <c r="Q36" s="9">
        <f>_xlfn.STDEV.P('中国汇率&amp;期货（ln）'!Q36:Q55)</f>
      </c>
      <c r="R36" s="9">
        <f>_xlfn.STDEV.P('中国汇率&amp;期货（ln）'!R36:R55)</f>
      </c>
      <c r="S36" s="9">
        <f>_xlfn.STDEV.P('中国汇率&amp;期货（ln）'!S36:S55)</f>
      </c>
      <c r="T36" s="9">
        <f>_xlfn.STDEV.P('中国汇率&amp;期货（ln）'!T36:T55)</f>
      </c>
      <c r="U36" s="9">
        <f>_xlfn.STDEV.P('中国汇率&amp;期货（ln）'!U36:U55)</f>
      </c>
      <c r="V36" s="9">
        <f>_xlfn.STDEV.P('中国汇率&amp;期货（ln）'!V36:V55)</f>
      </c>
      <c r="W36" s="9">
        <f>_xlfn.STDEV.P('中国汇率&amp;期货（ln）'!W36:W55)</f>
      </c>
      <c r="X36" s="9">
        <f>_xlfn.STDEV.P('中国汇率&amp;期货（ln）'!X36:X55)</f>
      </c>
      <c r="Y36" s="9">
        <f>_xlfn.STDEV.P('中国汇率&amp;期货（ln）'!Y36:Y55)</f>
      </c>
      <c r="Z36" s="9">
        <f>_xlfn.STDEV.P('中国汇率&amp;期货（ln）'!Z36:Z55)</f>
      </c>
      <c r="AA36" s="9">
        <f>_xlfn.STDEV.P('中国汇率&amp;期货（ln）'!AA36:AA55)</f>
      </c>
      <c r="AB36" s="9">
        <f>_xlfn.STDEV.P('中国汇率&amp;期货（ln）'!AB36:AB55)</f>
      </c>
      <c r="AC36" s="9">
        <f>_xlfn.STDEV.P('中国汇率&amp;期货（ln）'!AC36:AC55)</f>
      </c>
      <c r="AD36" s="9">
        <f>_xlfn.STDEV.P('中国汇率&amp;期货（ln）'!AD36:AD55)</f>
      </c>
      <c r="AE36" s="9">
        <f>_xlfn.STDEV.P('中国汇率&amp;期货（ln）'!AE36:AE55)</f>
      </c>
      <c r="AF36" s="9">
        <f>_xlfn.STDEV.P('中国汇率&amp;期货（ln）'!AF36:AF55)</f>
      </c>
      <c r="AG36" s="9">
        <f>_xlfn.STDEV.P('中国汇率&amp;期货（ln）'!AG36:AG55)</f>
      </c>
      <c r="AH36" s="9">
        <f>_xlfn.STDEV.P('中国汇率&amp;期货（ln）'!AH36:AH55)</f>
      </c>
      <c r="AI36" s="9">
        <f>_xlfn.STDEV.P('中国汇率&amp;期货（ln）'!AI36:AI55)</f>
      </c>
      <c r="AJ36" s="9">
        <f>_xlfn.STDEV.P('中国汇率&amp;期货（ln）'!AJ36:AJ55)</f>
      </c>
      <c r="AK36" s="9">
        <f>_xlfn.STDEV.P('中国汇率&amp;期货（ln）'!AK36:AK55)</f>
      </c>
      <c r="AL36" s="9">
        <f>_xlfn.STDEV.P('中国汇率&amp;期货（ln）'!AL36:AL55)</f>
      </c>
      <c r="AM36" s="9">
        <f>_xlfn.STDEV.P('中国汇率&amp;期货（ln）'!AM36:AM55)</f>
      </c>
      <c r="AN36" s="9">
        <f>_xlfn.STDEV.P('中国汇率&amp;期货（ln）'!AN36:AN55)</f>
      </c>
      <c r="AO36" s="9">
        <f>_xlfn.STDEV.P('中国汇率&amp;期货（ln）'!AO36:AO55)</f>
      </c>
      <c r="AP36" s="9">
        <f>_xlfn.STDEV.P('中国汇率&amp;期货（ln）'!AP36:AP55)</f>
      </c>
      <c r="AQ36" s="9">
        <f>_xlfn.STDEV.P('中国汇率&amp;期货（ln）'!AQ36:AQ55)</f>
      </c>
      <c r="AR36" s="9">
        <f>_xlfn.STDEV.P('中国汇率&amp;期货（ln）'!AR36:AR55)</f>
      </c>
      <c r="AS36" s="9">
        <f>_xlfn.STDEV.P('中国汇率&amp;期货（ln）'!AS36:AS55)</f>
      </c>
      <c r="AT36" s="9">
        <f>_xlfn.STDEV.P('中国汇率&amp;期货（ln）'!AT36:AT55)</f>
      </c>
      <c r="AU36" s="9">
        <f>_xlfn.STDEV.P('中国汇率&amp;期货（ln）'!AU36:AU55)</f>
      </c>
      <c r="AV36" s="9">
        <f>_xlfn.STDEV.P('中国汇率&amp;期货（ln）'!AV36:AV55)</f>
      </c>
      <c r="AW36" s="9">
        <f>_xlfn.STDEV.P('中国汇率&amp;期货（ln）'!AW36:AW55)</f>
      </c>
      <c r="AX36" s="9">
        <f>_xlfn.STDEV.P('中国汇率&amp;期货（ln）'!AX36:AX55)</f>
      </c>
      <c r="AY36" s="9">
        <f>_xlfn.STDEV.P('中国汇率&amp;期货（ln）'!AY36:AY55)</f>
      </c>
      <c r="AZ36" s="9">
        <f>_xlfn.STDEV.P('中国汇率&amp;期货（ln）'!AZ36:AZ55)</f>
      </c>
      <c r="BA36" s="9">
        <f>_xlfn.STDEV.P('中国汇率&amp;期货（ln）'!BA36:BA55)</f>
      </c>
      <c r="BB36" s="9">
        <f>_xlfn.STDEV.P('中国汇率&amp;期货（ln）'!BB36:BB55)</f>
      </c>
      <c r="BC36" s="9">
        <f>_xlfn.STDEV.P('中国汇率&amp;期货（ln）'!BC36:BC55)</f>
      </c>
      <c r="BD36" s="9">
        <f>_xlfn.STDEV.P('中国汇率&amp;期货（ln）'!BD36:BD55)</f>
      </c>
      <c r="BE36" s="9">
        <f>_xlfn.STDEV.P('中国汇率&amp;期货（ln）'!BE36:BE55)</f>
      </c>
    </row>
    <row x14ac:dyDescent="0.25" r="37" customHeight="1" ht="18.75">
      <c r="A37" s="1"/>
      <c r="B37" s="9">
        <f>_xlfn.STDEV.P('中国汇率&amp;期货（ln）'!B37:B56)</f>
      </c>
      <c r="C37" s="9">
        <f>_xlfn.STDEV.P('中国汇率&amp;期货（ln）'!C37:C56)</f>
      </c>
      <c r="D37" s="9">
        <f>_xlfn.STDEV.P('中国汇率&amp;期货（ln）'!D37:D56)</f>
      </c>
      <c r="E37" s="9">
        <f>_xlfn.STDEV.P('中国汇率&amp;期货（ln）'!E37:E56)</f>
      </c>
      <c r="F37" s="9">
        <f>_xlfn.STDEV.P('中国汇率&amp;期货（ln）'!F37:F56)</f>
      </c>
      <c r="G37" s="9">
        <f>_xlfn.STDEV.P('中国汇率&amp;期货（ln）'!G37:G56)</f>
      </c>
      <c r="H37" s="9">
        <f>_xlfn.STDEV.P('中国汇率&amp;期货（ln）'!H37:H56)</f>
      </c>
      <c r="I37" s="9">
        <f>_xlfn.STDEV.P('中国汇率&amp;期货（ln）'!I37:I56)</f>
      </c>
      <c r="J37" s="9">
        <f>_xlfn.STDEV.P('中国汇率&amp;期货（ln）'!J37:J56)</f>
      </c>
      <c r="K37" s="9">
        <f>_xlfn.STDEV.P('中国汇率&amp;期货（ln）'!K37:K56)</f>
      </c>
      <c r="L37" s="9">
        <f>_xlfn.STDEV.P('中国汇率&amp;期货（ln）'!L37:L56)</f>
      </c>
      <c r="M37" s="9">
        <f>_xlfn.STDEV.P('中国汇率&amp;期货（ln）'!M37:M56)</f>
      </c>
      <c r="N37" s="9">
        <f>_xlfn.STDEV.P('中国汇率&amp;期货（ln）'!N37:N56)</f>
      </c>
      <c r="O37" s="9">
        <f>_xlfn.STDEV.P('中国汇率&amp;期货（ln）'!O37:O56)</f>
      </c>
      <c r="P37" s="9">
        <f>_xlfn.STDEV.P('中国汇率&amp;期货（ln）'!P37:P56)</f>
      </c>
      <c r="Q37" s="9">
        <f>_xlfn.STDEV.P('中国汇率&amp;期货（ln）'!Q37:Q56)</f>
      </c>
      <c r="R37" s="9">
        <f>_xlfn.STDEV.P('中国汇率&amp;期货（ln）'!R37:R56)</f>
      </c>
      <c r="S37" s="9">
        <f>_xlfn.STDEV.P('中国汇率&amp;期货（ln）'!S37:S56)</f>
      </c>
      <c r="T37" s="9">
        <f>_xlfn.STDEV.P('中国汇率&amp;期货（ln）'!T37:T56)</f>
      </c>
      <c r="U37" s="9">
        <f>_xlfn.STDEV.P('中国汇率&amp;期货（ln）'!U37:U56)</f>
      </c>
      <c r="V37" s="9">
        <f>_xlfn.STDEV.P('中国汇率&amp;期货（ln）'!V37:V56)</f>
      </c>
      <c r="W37" s="9">
        <f>_xlfn.STDEV.P('中国汇率&amp;期货（ln）'!W37:W56)</f>
      </c>
      <c r="X37" s="9">
        <f>_xlfn.STDEV.P('中国汇率&amp;期货（ln）'!X37:X56)</f>
      </c>
      <c r="Y37" s="9">
        <f>_xlfn.STDEV.P('中国汇率&amp;期货（ln）'!Y37:Y56)</f>
      </c>
      <c r="Z37" s="9">
        <f>_xlfn.STDEV.P('中国汇率&amp;期货（ln）'!Z37:Z56)</f>
      </c>
      <c r="AA37" s="9">
        <f>_xlfn.STDEV.P('中国汇率&amp;期货（ln）'!AA37:AA56)</f>
      </c>
      <c r="AB37" s="9">
        <f>_xlfn.STDEV.P('中国汇率&amp;期货（ln）'!AB37:AB56)</f>
      </c>
      <c r="AC37" s="9">
        <f>_xlfn.STDEV.P('中国汇率&amp;期货（ln）'!AC37:AC56)</f>
      </c>
      <c r="AD37" s="9">
        <f>_xlfn.STDEV.P('中国汇率&amp;期货（ln）'!AD37:AD56)</f>
      </c>
      <c r="AE37" s="9">
        <f>_xlfn.STDEV.P('中国汇率&amp;期货（ln）'!AE37:AE56)</f>
      </c>
      <c r="AF37" s="9">
        <f>_xlfn.STDEV.P('中国汇率&amp;期货（ln）'!AF37:AF56)</f>
      </c>
      <c r="AG37" s="9">
        <f>_xlfn.STDEV.P('中国汇率&amp;期货（ln）'!AG37:AG56)</f>
      </c>
      <c r="AH37" s="9">
        <f>_xlfn.STDEV.P('中国汇率&amp;期货（ln）'!AH37:AH56)</f>
      </c>
      <c r="AI37" s="9">
        <f>_xlfn.STDEV.P('中国汇率&amp;期货（ln）'!AI37:AI56)</f>
      </c>
      <c r="AJ37" s="9">
        <f>_xlfn.STDEV.P('中国汇率&amp;期货（ln）'!AJ37:AJ56)</f>
      </c>
      <c r="AK37" s="9">
        <f>_xlfn.STDEV.P('中国汇率&amp;期货（ln）'!AK37:AK56)</f>
      </c>
      <c r="AL37" s="9">
        <f>_xlfn.STDEV.P('中国汇率&amp;期货（ln）'!AL37:AL56)</f>
      </c>
      <c r="AM37" s="9">
        <f>_xlfn.STDEV.P('中国汇率&amp;期货（ln）'!AM37:AM56)</f>
      </c>
      <c r="AN37" s="9">
        <f>_xlfn.STDEV.P('中国汇率&amp;期货（ln）'!AN37:AN56)</f>
      </c>
      <c r="AO37" s="9">
        <f>_xlfn.STDEV.P('中国汇率&amp;期货（ln）'!AO37:AO56)</f>
      </c>
      <c r="AP37" s="9">
        <f>_xlfn.STDEV.P('中国汇率&amp;期货（ln）'!AP37:AP56)</f>
      </c>
      <c r="AQ37" s="9">
        <f>_xlfn.STDEV.P('中国汇率&amp;期货（ln）'!AQ37:AQ56)</f>
      </c>
      <c r="AR37" s="9">
        <f>_xlfn.STDEV.P('中国汇率&amp;期货（ln）'!AR37:AR56)</f>
      </c>
      <c r="AS37" s="9">
        <f>_xlfn.STDEV.P('中国汇率&amp;期货（ln）'!AS37:AS56)</f>
      </c>
      <c r="AT37" s="9">
        <f>_xlfn.STDEV.P('中国汇率&amp;期货（ln）'!AT37:AT56)</f>
      </c>
      <c r="AU37" s="9">
        <f>_xlfn.STDEV.P('中国汇率&amp;期货（ln）'!AU37:AU56)</f>
      </c>
      <c r="AV37" s="9">
        <f>_xlfn.STDEV.P('中国汇率&amp;期货（ln）'!AV37:AV56)</f>
      </c>
      <c r="AW37" s="9">
        <f>_xlfn.STDEV.P('中国汇率&amp;期货（ln）'!AW37:AW56)</f>
      </c>
      <c r="AX37" s="9">
        <f>_xlfn.STDEV.P('中国汇率&amp;期货（ln）'!AX37:AX56)</f>
      </c>
      <c r="AY37" s="9">
        <f>_xlfn.STDEV.P('中国汇率&amp;期货（ln）'!AY37:AY56)</f>
      </c>
      <c r="AZ37" s="9">
        <f>_xlfn.STDEV.P('中国汇率&amp;期货（ln）'!AZ37:AZ56)</f>
      </c>
      <c r="BA37" s="9">
        <f>_xlfn.STDEV.P('中国汇率&amp;期货（ln）'!BA37:BA56)</f>
      </c>
      <c r="BB37" s="9">
        <f>_xlfn.STDEV.P('中国汇率&amp;期货（ln）'!BB37:BB56)</f>
      </c>
      <c r="BC37" s="9">
        <f>_xlfn.STDEV.P('中国汇率&amp;期货（ln）'!BC37:BC56)</f>
      </c>
      <c r="BD37" s="9">
        <f>_xlfn.STDEV.P('中国汇率&amp;期货（ln）'!BD37:BD56)</f>
      </c>
      <c r="BE37" s="9">
        <f>_xlfn.STDEV.P('中国汇率&amp;期货（ln）'!BE37:BE56)</f>
      </c>
    </row>
    <row x14ac:dyDescent="0.25" r="38" customHeight="1" ht="18.75">
      <c r="A38" s="1"/>
      <c r="B38" s="9">
        <f>_xlfn.STDEV.P('中国汇率&amp;期货（ln）'!B38:B57)</f>
      </c>
      <c r="C38" s="9">
        <f>_xlfn.STDEV.P('中国汇率&amp;期货（ln）'!C38:C57)</f>
      </c>
      <c r="D38" s="9">
        <f>_xlfn.STDEV.P('中国汇率&amp;期货（ln）'!D38:D57)</f>
      </c>
      <c r="E38" s="9">
        <f>_xlfn.STDEV.P('中国汇率&amp;期货（ln）'!E38:E57)</f>
      </c>
      <c r="F38" s="9">
        <f>_xlfn.STDEV.P('中国汇率&amp;期货（ln）'!F38:F57)</f>
      </c>
      <c r="G38" s="9">
        <f>_xlfn.STDEV.P('中国汇率&amp;期货（ln）'!G38:G57)</f>
      </c>
      <c r="H38" s="9">
        <f>_xlfn.STDEV.P('中国汇率&amp;期货（ln）'!H38:H57)</f>
      </c>
      <c r="I38" s="9">
        <f>_xlfn.STDEV.P('中国汇率&amp;期货（ln）'!I38:I57)</f>
      </c>
      <c r="J38" s="9">
        <f>_xlfn.STDEV.P('中国汇率&amp;期货（ln）'!J38:J57)</f>
      </c>
      <c r="K38" s="9">
        <f>_xlfn.STDEV.P('中国汇率&amp;期货（ln）'!K38:K57)</f>
      </c>
      <c r="L38" s="9">
        <f>_xlfn.STDEV.P('中国汇率&amp;期货（ln）'!L38:L57)</f>
      </c>
      <c r="M38" s="9">
        <f>_xlfn.STDEV.P('中国汇率&amp;期货（ln）'!M38:M57)</f>
      </c>
      <c r="N38" s="9">
        <f>_xlfn.STDEV.P('中国汇率&amp;期货（ln）'!N38:N57)</f>
      </c>
      <c r="O38" s="9">
        <f>_xlfn.STDEV.P('中国汇率&amp;期货（ln）'!O38:O57)</f>
      </c>
      <c r="P38" s="9">
        <f>_xlfn.STDEV.P('中国汇率&amp;期货（ln）'!P38:P57)</f>
      </c>
      <c r="Q38" s="9">
        <f>_xlfn.STDEV.P('中国汇率&amp;期货（ln）'!Q38:Q57)</f>
      </c>
      <c r="R38" s="9">
        <f>_xlfn.STDEV.P('中国汇率&amp;期货（ln）'!R38:R57)</f>
      </c>
      <c r="S38" s="9">
        <f>_xlfn.STDEV.P('中国汇率&amp;期货（ln）'!S38:S57)</f>
      </c>
      <c r="T38" s="9">
        <f>_xlfn.STDEV.P('中国汇率&amp;期货（ln）'!T38:T57)</f>
      </c>
      <c r="U38" s="9">
        <f>_xlfn.STDEV.P('中国汇率&amp;期货（ln）'!U38:U57)</f>
      </c>
      <c r="V38" s="9">
        <f>_xlfn.STDEV.P('中国汇率&amp;期货（ln）'!V38:V57)</f>
      </c>
      <c r="W38" s="9">
        <f>_xlfn.STDEV.P('中国汇率&amp;期货（ln）'!W38:W57)</f>
      </c>
      <c r="X38" s="9">
        <f>_xlfn.STDEV.P('中国汇率&amp;期货（ln）'!X38:X57)</f>
      </c>
      <c r="Y38" s="9">
        <f>_xlfn.STDEV.P('中国汇率&amp;期货（ln）'!Y38:Y57)</f>
      </c>
      <c r="Z38" s="9">
        <f>_xlfn.STDEV.P('中国汇率&amp;期货（ln）'!Z38:Z57)</f>
      </c>
      <c r="AA38" s="9">
        <f>_xlfn.STDEV.P('中国汇率&amp;期货（ln）'!AA38:AA57)</f>
      </c>
      <c r="AB38" s="9">
        <f>_xlfn.STDEV.P('中国汇率&amp;期货（ln）'!AB38:AB57)</f>
      </c>
      <c r="AC38" s="9">
        <f>_xlfn.STDEV.P('中国汇率&amp;期货（ln）'!AC38:AC57)</f>
      </c>
      <c r="AD38" s="9">
        <f>_xlfn.STDEV.P('中国汇率&amp;期货（ln）'!AD38:AD57)</f>
      </c>
      <c r="AE38" s="9">
        <f>_xlfn.STDEV.P('中国汇率&amp;期货（ln）'!AE38:AE57)</f>
      </c>
      <c r="AF38" s="9">
        <f>_xlfn.STDEV.P('中国汇率&amp;期货（ln）'!AF38:AF57)</f>
      </c>
      <c r="AG38" s="9">
        <f>_xlfn.STDEV.P('中国汇率&amp;期货（ln）'!AG38:AG57)</f>
      </c>
      <c r="AH38" s="9">
        <f>_xlfn.STDEV.P('中国汇率&amp;期货（ln）'!AH38:AH57)</f>
      </c>
      <c r="AI38" s="9">
        <f>_xlfn.STDEV.P('中国汇率&amp;期货（ln）'!AI38:AI57)</f>
      </c>
      <c r="AJ38" s="9">
        <f>_xlfn.STDEV.P('中国汇率&amp;期货（ln）'!AJ38:AJ57)</f>
      </c>
      <c r="AK38" s="9">
        <f>_xlfn.STDEV.P('中国汇率&amp;期货（ln）'!AK38:AK57)</f>
      </c>
      <c r="AL38" s="9">
        <f>_xlfn.STDEV.P('中国汇率&amp;期货（ln）'!AL38:AL57)</f>
      </c>
      <c r="AM38" s="9">
        <f>_xlfn.STDEV.P('中国汇率&amp;期货（ln）'!AM38:AM57)</f>
      </c>
      <c r="AN38" s="9">
        <f>_xlfn.STDEV.P('中国汇率&amp;期货（ln）'!AN38:AN57)</f>
      </c>
      <c r="AO38" s="9">
        <f>_xlfn.STDEV.P('中国汇率&amp;期货（ln）'!AO38:AO57)</f>
      </c>
      <c r="AP38" s="9">
        <f>_xlfn.STDEV.P('中国汇率&amp;期货（ln）'!AP38:AP57)</f>
      </c>
      <c r="AQ38" s="9">
        <f>_xlfn.STDEV.P('中国汇率&amp;期货（ln）'!AQ38:AQ57)</f>
      </c>
      <c r="AR38" s="9">
        <f>_xlfn.STDEV.P('中国汇率&amp;期货（ln）'!AR38:AR57)</f>
      </c>
      <c r="AS38" s="9">
        <f>_xlfn.STDEV.P('中国汇率&amp;期货（ln）'!AS38:AS57)</f>
      </c>
      <c r="AT38" s="9">
        <f>_xlfn.STDEV.P('中国汇率&amp;期货（ln）'!AT38:AT57)</f>
      </c>
      <c r="AU38" s="9">
        <f>_xlfn.STDEV.P('中国汇率&amp;期货（ln）'!AU38:AU57)</f>
      </c>
      <c r="AV38" s="9">
        <f>_xlfn.STDEV.P('中国汇率&amp;期货（ln）'!AV38:AV57)</f>
      </c>
      <c r="AW38" s="9">
        <f>_xlfn.STDEV.P('中国汇率&amp;期货（ln）'!AW38:AW57)</f>
      </c>
      <c r="AX38" s="9">
        <f>_xlfn.STDEV.P('中国汇率&amp;期货（ln）'!AX38:AX57)</f>
      </c>
      <c r="AY38" s="9">
        <f>_xlfn.STDEV.P('中国汇率&amp;期货（ln）'!AY38:AY57)</f>
      </c>
      <c r="AZ38" s="9">
        <f>_xlfn.STDEV.P('中国汇率&amp;期货（ln）'!AZ38:AZ57)</f>
      </c>
      <c r="BA38" s="9">
        <f>_xlfn.STDEV.P('中国汇率&amp;期货（ln）'!BA38:BA57)</f>
      </c>
      <c r="BB38" s="9">
        <f>_xlfn.STDEV.P('中国汇率&amp;期货（ln）'!BB38:BB57)</f>
      </c>
      <c r="BC38" s="9">
        <f>_xlfn.STDEV.P('中国汇率&amp;期货（ln）'!BC38:BC57)</f>
      </c>
      <c r="BD38" s="9">
        <f>_xlfn.STDEV.P('中国汇率&amp;期货（ln）'!BD38:BD57)</f>
      </c>
      <c r="BE38" s="9">
        <f>_xlfn.STDEV.P('中国汇率&amp;期货（ln）'!BE38:BE57)</f>
      </c>
    </row>
    <row x14ac:dyDescent="0.25" r="39" customHeight="1" ht="18.75">
      <c r="A39" s="1"/>
      <c r="B39" s="9">
        <f>_xlfn.STDEV.P('中国汇率&amp;期货（ln）'!B39:B58)</f>
      </c>
      <c r="C39" s="9">
        <f>_xlfn.STDEV.P('中国汇率&amp;期货（ln）'!C39:C58)</f>
      </c>
      <c r="D39" s="9">
        <f>_xlfn.STDEV.P('中国汇率&amp;期货（ln）'!D39:D58)</f>
      </c>
      <c r="E39" s="9">
        <f>_xlfn.STDEV.P('中国汇率&amp;期货（ln）'!E39:E58)</f>
      </c>
      <c r="F39" s="9">
        <f>_xlfn.STDEV.P('中国汇率&amp;期货（ln）'!F39:F58)</f>
      </c>
      <c r="G39" s="9">
        <f>_xlfn.STDEV.P('中国汇率&amp;期货（ln）'!G39:G58)</f>
      </c>
      <c r="H39" s="9">
        <f>_xlfn.STDEV.P('中国汇率&amp;期货（ln）'!H39:H58)</f>
      </c>
      <c r="I39" s="9">
        <f>_xlfn.STDEV.P('中国汇率&amp;期货（ln）'!I39:I58)</f>
      </c>
      <c r="J39" s="9">
        <f>_xlfn.STDEV.P('中国汇率&amp;期货（ln）'!J39:J58)</f>
      </c>
      <c r="K39" s="9">
        <f>_xlfn.STDEV.P('中国汇率&amp;期货（ln）'!K39:K58)</f>
      </c>
      <c r="L39" s="9">
        <f>_xlfn.STDEV.P('中国汇率&amp;期货（ln）'!L39:L58)</f>
      </c>
      <c r="M39" s="9">
        <f>_xlfn.STDEV.P('中国汇率&amp;期货（ln）'!M39:M58)</f>
      </c>
      <c r="N39" s="9">
        <f>_xlfn.STDEV.P('中国汇率&amp;期货（ln）'!N39:N58)</f>
      </c>
      <c r="O39" s="9">
        <f>_xlfn.STDEV.P('中国汇率&amp;期货（ln）'!O39:O58)</f>
      </c>
      <c r="P39" s="9">
        <f>_xlfn.STDEV.P('中国汇率&amp;期货（ln）'!P39:P58)</f>
      </c>
      <c r="Q39" s="9">
        <f>_xlfn.STDEV.P('中国汇率&amp;期货（ln）'!Q39:Q58)</f>
      </c>
      <c r="R39" s="9">
        <f>_xlfn.STDEV.P('中国汇率&amp;期货（ln）'!R39:R58)</f>
      </c>
      <c r="S39" s="9">
        <f>_xlfn.STDEV.P('中国汇率&amp;期货（ln）'!S39:S58)</f>
      </c>
      <c r="T39" s="9">
        <f>_xlfn.STDEV.P('中国汇率&amp;期货（ln）'!T39:T58)</f>
      </c>
      <c r="U39" s="9">
        <f>_xlfn.STDEV.P('中国汇率&amp;期货（ln）'!U39:U58)</f>
      </c>
      <c r="V39" s="9">
        <f>_xlfn.STDEV.P('中国汇率&amp;期货（ln）'!V39:V58)</f>
      </c>
      <c r="W39" s="9">
        <f>_xlfn.STDEV.P('中国汇率&amp;期货（ln）'!W39:W58)</f>
      </c>
      <c r="X39" s="9">
        <f>_xlfn.STDEV.P('中国汇率&amp;期货（ln）'!X39:X58)</f>
      </c>
      <c r="Y39" s="9">
        <f>_xlfn.STDEV.P('中国汇率&amp;期货（ln）'!Y39:Y58)</f>
      </c>
      <c r="Z39" s="9">
        <f>_xlfn.STDEV.P('中国汇率&amp;期货（ln）'!Z39:Z58)</f>
      </c>
      <c r="AA39" s="9">
        <f>_xlfn.STDEV.P('中国汇率&amp;期货（ln）'!AA39:AA58)</f>
      </c>
      <c r="AB39" s="9">
        <f>_xlfn.STDEV.P('中国汇率&amp;期货（ln）'!AB39:AB58)</f>
      </c>
      <c r="AC39" s="9">
        <f>_xlfn.STDEV.P('中国汇率&amp;期货（ln）'!AC39:AC58)</f>
      </c>
      <c r="AD39" s="9">
        <f>_xlfn.STDEV.P('中国汇率&amp;期货（ln）'!AD39:AD58)</f>
      </c>
      <c r="AE39" s="9">
        <f>_xlfn.STDEV.P('中国汇率&amp;期货（ln）'!AE39:AE58)</f>
      </c>
      <c r="AF39" s="9">
        <f>_xlfn.STDEV.P('中国汇率&amp;期货（ln）'!AF39:AF58)</f>
      </c>
      <c r="AG39" s="9">
        <f>_xlfn.STDEV.P('中国汇率&amp;期货（ln）'!AG39:AG58)</f>
      </c>
      <c r="AH39" s="9">
        <f>_xlfn.STDEV.P('中国汇率&amp;期货（ln）'!AH39:AH58)</f>
      </c>
      <c r="AI39" s="9">
        <f>_xlfn.STDEV.P('中国汇率&amp;期货（ln）'!AI39:AI58)</f>
      </c>
      <c r="AJ39" s="9">
        <f>_xlfn.STDEV.P('中国汇率&amp;期货（ln）'!AJ39:AJ58)</f>
      </c>
      <c r="AK39" s="9">
        <f>_xlfn.STDEV.P('中国汇率&amp;期货（ln）'!AK39:AK58)</f>
      </c>
      <c r="AL39" s="9">
        <f>_xlfn.STDEV.P('中国汇率&amp;期货（ln）'!AL39:AL58)</f>
      </c>
      <c r="AM39" s="9">
        <f>_xlfn.STDEV.P('中国汇率&amp;期货（ln）'!AM39:AM58)</f>
      </c>
      <c r="AN39" s="9">
        <f>_xlfn.STDEV.P('中国汇率&amp;期货（ln）'!AN39:AN58)</f>
      </c>
      <c r="AO39" s="9">
        <f>_xlfn.STDEV.P('中国汇率&amp;期货（ln）'!AO39:AO58)</f>
      </c>
      <c r="AP39" s="9">
        <f>_xlfn.STDEV.P('中国汇率&amp;期货（ln）'!AP39:AP58)</f>
      </c>
      <c r="AQ39" s="9">
        <f>_xlfn.STDEV.P('中国汇率&amp;期货（ln）'!AQ39:AQ58)</f>
      </c>
      <c r="AR39" s="9">
        <f>_xlfn.STDEV.P('中国汇率&amp;期货（ln）'!AR39:AR58)</f>
      </c>
      <c r="AS39" s="9">
        <f>_xlfn.STDEV.P('中国汇率&amp;期货（ln）'!AS39:AS58)</f>
      </c>
      <c r="AT39" s="9">
        <f>_xlfn.STDEV.P('中国汇率&amp;期货（ln）'!AT39:AT58)</f>
      </c>
      <c r="AU39" s="9">
        <f>_xlfn.STDEV.P('中国汇率&amp;期货（ln）'!AU39:AU58)</f>
      </c>
      <c r="AV39" s="9">
        <f>_xlfn.STDEV.P('中国汇率&amp;期货（ln）'!AV39:AV58)</f>
      </c>
      <c r="AW39" s="9">
        <f>_xlfn.STDEV.P('中国汇率&amp;期货（ln）'!AW39:AW58)</f>
      </c>
      <c r="AX39" s="9">
        <f>_xlfn.STDEV.P('中国汇率&amp;期货（ln）'!AX39:AX58)</f>
      </c>
      <c r="AY39" s="9">
        <f>_xlfn.STDEV.P('中国汇率&amp;期货（ln）'!AY39:AY58)</f>
      </c>
      <c r="AZ39" s="9">
        <f>_xlfn.STDEV.P('中国汇率&amp;期货（ln）'!AZ39:AZ58)</f>
      </c>
      <c r="BA39" s="9">
        <f>_xlfn.STDEV.P('中国汇率&amp;期货（ln）'!BA39:BA58)</f>
      </c>
      <c r="BB39" s="9">
        <f>_xlfn.STDEV.P('中国汇率&amp;期货（ln）'!BB39:BB58)</f>
      </c>
      <c r="BC39" s="9">
        <f>_xlfn.STDEV.P('中国汇率&amp;期货（ln）'!BC39:BC58)</f>
      </c>
      <c r="BD39" s="9">
        <f>_xlfn.STDEV.P('中国汇率&amp;期货（ln）'!BD39:BD58)</f>
      </c>
      <c r="BE39" s="9">
        <f>_xlfn.STDEV.P('中国汇率&amp;期货（ln）'!BE39:BE58)</f>
      </c>
    </row>
    <row x14ac:dyDescent="0.25" r="40" customHeight="1" ht="18.75">
      <c r="A40" s="1"/>
      <c r="B40" s="9">
        <f>_xlfn.STDEV.P('中国汇率&amp;期货（ln）'!B40:B59)</f>
      </c>
      <c r="C40" s="9">
        <f>_xlfn.STDEV.P('中国汇率&amp;期货（ln）'!C40:C59)</f>
      </c>
      <c r="D40" s="9">
        <f>_xlfn.STDEV.P('中国汇率&amp;期货（ln）'!D40:D59)</f>
      </c>
      <c r="E40" s="9">
        <f>_xlfn.STDEV.P('中国汇率&amp;期货（ln）'!E40:E59)</f>
      </c>
      <c r="F40" s="9">
        <f>_xlfn.STDEV.P('中国汇率&amp;期货（ln）'!F40:F59)</f>
      </c>
      <c r="G40" s="9">
        <f>_xlfn.STDEV.P('中国汇率&amp;期货（ln）'!G40:G59)</f>
      </c>
      <c r="H40" s="9">
        <f>_xlfn.STDEV.P('中国汇率&amp;期货（ln）'!H40:H59)</f>
      </c>
      <c r="I40" s="9">
        <f>_xlfn.STDEV.P('中国汇率&amp;期货（ln）'!I40:I59)</f>
      </c>
      <c r="J40" s="9">
        <f>_xlfn.STDEV.P('中国汇率&amp;期货（ln）'!J40:J59)</f>
      </c>
      <c r="K40" s="9">
        <f>_xlfn.STDEV.P('中国汇率&amp;期货（ln）'!K40:K59)</f>
      </c>
      <c r="L40" s="9">
        <f>_xlfn.STDEV.P('中国汇率&amp;期货（ln）'!L40:L59)</f>
      </c>
      <c r="M40" s="9">
        <f>_xlfn.STDEV.P('中国汇率&amp;期货（ln）'!M40:M59)</f>
      </c>
      <c r="N40" s="9">
        <f>_xlfn.STDEV.P('中国汇率&amp;期货（ln）'!N40:N59)</f>
      </c>
      <c r="O40" s="9">
        <f>_xlfn.STDEV.P('中国汇率&amp;期货（ln）'!O40:O59)</f>
      </c>
      <c r="P40" s="9">
        <f>_xlfn.STDEV.P('中国汇率&amp;期货（ln）'!P40:P59)</f>
      </c>
      <c r="Q40" s="9">
        <f>_xlfn.STDEV.P('中国汇率&amp;期货（ln）'!Q40:Q59)</f>
      </c>
      <c r="R40" s="9">
        <f>_xlfn.STDEV.P('中国汇率&amp;期货（ln）'!R40:R59)</f>
      </c>
      <c r="S40" s="9">
        <f>_xlfn.STDEV.P('中国汇率&amp;期货（ln）'!S40:S59)</f>
      </c>
      <c r="T40" s="9">
        <f>_xlfn.STDEV.P('中国汇率&amp;期货（ln）'!T40:T59)</f>
      </c>
      <c r="U40" s="9">
        <f>_xlfn.STDEV.P('中国汇率&amp;期货（ln）'!U40:U59)</f>
      </c>
      <c r="V40" s="9">
        <f>_xlfn.STDEV.P('中国汇率&amp;期货（ln）'!V40:V59)</f>
      </c>
      <c r="W40" s="9">
        <f>_xlfn.STDEV.P('中国汇率&amp;期货（ln）'!W40:W59)</f>
      </c>
      <c r="X40" s="9">
        <f>_xlfn.STDEV.P('中国汇率&amp;期货（ln）'!X40:X59)</f>
      </c>
      <c r="Y40" s="9">
        <f>_xlfn.STDEV.P('中国汇率&amp;期货（ln）'!Y40:Y59)</f>
      </c>
      <c r="Z40" s="9">
        <f>_xlfn.STDEV.P('中国汇率&amp;期货（ln）'!Z40:Z59)</f>
      </c>
      <c r="AA40" s="9">
        <f>_xlfn.STDEV.P('中国汇率&amp;期货（ln）'!AA40:AA59)</f>
      </c>
      <c r="AB40" s="9">
        <f>_xlfn.STDEV.P('中国汇率&amp;期货（ln）'!AB40:AB59)</f>
      </c>
      <c r="AC40" s="9">
        <f>_xlfn.STDEV.P('中国汇率&amp;期货（ln）'!AC40:AC59)</f>
      </c>
      <c r="AD40" s="9">
        <f>_xlfn.STDEV.P('中国汇率&amp;期货（ln）'!AD40:AD59)</f>
      </c>
      <c r="AE40" s="9">
        <f>_xlfn.STDEV.P('中国汇率&amp;期货（ln）'!AE40:AE59)</f>
      </c>
      <c r="AF40" s="9">
        <f>_xlfn.STDEV.P('中国汇率&amp;期货（ln）'!AF40:AF59)</f>
      </c>
      <c r="AG40" s="9">
        <f>_xlfn.STDEV.P('中国汇率&amp;期货（ln）'!AG40:AG59)</f>
      </c>
      <c r="AH40" s="9">
        <f>_xlfn.STDEV.P('中国汇率&amp;期货（ln）'!AH40:AH59)</f>
      </c>
      <c r="AI40" s="9">
        <f>_xlfn.STDEV.P('中国汇率&amp;期货（ln）'!AI40:AI59)</f>
      </c>
      <c r="AJ40" s="9">
        <f>_xlfn.STDEV.P('中国汇率&amp;期货（ln）'!AJ40:AJ59)</f>
      </c>
      <c r="AK40" s="9">
        <f>_xlfn.STDEV.P('中国汇率&amp;期货（ln）'!AK40:AK59)</f>
      </c>
      <c r="AL40" s="9">
        <f>_xlfn.STDEV.P('中国汇率&amp;期货（ln）'!AL40:AL59)</f>
      </c>
      <c r="AM40" s="9">
        <f>_xlfn.STDEV.P('中国汇率&amp;期货（ln）'!AM40:AM59)</f>
      </c>
      <c r="AN40" s="9">
        <f>_xlfn.STDEV.P('中国汇率&amp;期货（ln）'!AN40:AN59)</f>
      </c>
      <c r="AO40" s="9">
        <f>_xlfn.STDEV.P('中国汇率&amp;期货（ln）'!AO40:AO59)</f>
      </c>
      <c r="AP40" s="9">
        <f>_xlfn.STDEV.P('中国汇率&amp;期货（ln）'!AP40:AP59)</f>
      </c>
      <c r="AQ40" s="9">
        <f>_xlfn.STDEV.P('中国汇率&amp;期货（ln）'!AQ40:AQ59)</f>
      </c>
      <c r="AR40" s="9">
        <f>_xlfn.STDEV.P('中国汇率&amp;期货（ln）'!AR40:AR59)</f>
      </c>
      <c r="AS40" s="9">
        <f>_xlfn.STDEV.P('中国汇率&amp;期货（ln）'!AS40:AS59)</f>
      </c>
      <c r="AT40" s="9">
        <f>_xlfn.STDEV.P('中国汇率&amp;期货（ln）'!AT40:AT59)</f>
      </c>
      <c r="AU40" s="9">
        <f>_xlfn.STDEV.P('中国汇率&amp;期货（ln）'!AU40:AU59)</f>
      </c>
      <c r="AV40" s="9">
        <f>_xlfn.STDEV.P('中国汇率&amp;期货（ln）'!AV40:AV59)</f>
      </c>
      <c r="AW40" s="9">
        <f>_xlfn.STDEV.P('中国汇率&amp;期货（ln）'!AW40:AW59)</f>
      </c>
      <c r="AX40" s="9">
        <f>_xlfn.STDEV.P('中国汇率&amp;期货（ln）'!AX40:AX59)</f>
      </c>
      <c r="AY40" s="9">
        <f>_xlfn.STDEV.P('中国汇率&amp;期货（ln）'!AY40:AY59)</f>
      </c>
      <c r="AZ40" s="9">
        <f>_xlfn.STDEV.P('中国汇率&amp;期货（ln）'!AZ40:AZ59)</f>
      </c>
      <c r="BA40" s="9">
        <f>_xlfn.STDEV.P('中国汇率&amp;期货（ln）'!BA40:BA59)</f>
      </c>
      <c r="BB40" s="9">
        <f>_xlfn.STDEV.P('中国汇率&amp;期货（ln）'!BB40:BB59)</f>
      </c>
      <c r="BC40" s="9">
        <f>_xlfn.STDEV.P('中国汇率&amp;期货（ln）'!BC40:BC59)</f>
      </c>
      <c r="BD40" s="9">
        <f>_xlfn.STDEV.P('中国汇率&amp;期货（ln）'!BD40:BD59)</f>
      </c>
      <c r="BE40" s="9">
        <f>_xlfn.STDEV.P('中国汇率&amp;期货（ln）'!BE40:BE59)</f>
      </c>
    </row>
    <row x14ac:dyDescent="0.25" r="41" customHeight="1" ht="18.75">
      <c r="A41" s="1"/>
      <c r="B41" s="9">
        <f>_xlfn.STDEV.P('中国汇率&amp;期货（ln）'!B41:B60)</f>
      </c>
      <c r="C41" s="9">
        <f>_xlfn.STDEV.P('中国汇率&amp;期货（ln）'!C41:C60)</f>
      </c>
      <c r="D41" s="9">
        <f>_xlfn.STDEV.P('中国汇率&amp;期货（ln）'!D41:D60)</f>
      </c>
      <c r="E41" s="9">
        <f>_xlfn.STDEV.P('中国汇率&amp;期货（ln）'!E41:E60)</f>
      </c>
      <c r="F41" s="9">
        <f>_xlfn.STDEV.P('中国汇率&amp;期货（ln）'!F41:F60)</f>
      </c>
      <c r="G41" s="9">
        <f>_xlfn.STDEV.P('中国汇率&amp;期货（ln）'!G41:G60)</f>
      </c>
      <c r="H41" s="9">
        <f>_xlfn.STDEV.P('中国汇率&amp;期货（ln）'!H41:H60)</f>
      </c>
      <c r="I41" s="9">
        <f>_xlfn.STDEV.P('中国汇率&amp;期货（ln）'!I41:I60)</f>
      </c>
      <c r="J41" s="9">
        <f>_xlfn.STDEV.P('中国汇率&amp;期货（ln）'!J41:J60)</f>
      </c>
      <c r="K41" s="9">
        <f>_xlfn.STDEV.P('中国汇率&amp;期货（ln）'!K41:K60)</f>
      </c>
      <c r="L41" s="9">
        <f>_xlfn.STDEV.P('中国汇率&amp;期货（ln）'!L41:L60)</f>
      </c>
      <c r="M41" s="9">
        <f>_xlfn.STDEV.P('中国汇率&amp;期货（ln）'!M41:M60)</f>
      </c>
      <c r="N41" s="9">
        <f>_xlfn.STDEV.P('中国汇率&amp;期货（ln）'!N41:N60)</f>
      </c>
      <c r="O41" s="9">
        <f>_xlfn.STDEV.P('中国汇率&amp;期货（ln）'!O41:O60)</f>
      </c>
      <c r="P41" s="9">
        <f>_xlfn.STDEV.P('中国汇率&amp;期货（ln）'!P41:P60)</f>
      </c>
      <c r="Q41" s="9">
        <f>_xlfn.STDEV.P('中国汇率&amp;期货（ln）'!Q41:Q60)</f>
      </c>
      <c r="R41" s="9">
        <f>_xlfn.STDEV.P('中国汇率&amp;期货（ln）'!R41:R60)</f>
      </c>
      <c r="S41" s="9">
        <f>_xlfn.STDEV.P('中国汇率&amp;期货（ln）'!S41:S60)</f>
      </c>
      <c r="T41" s="9">
        <f>_xlfn.STDEV.P('中国汇率&amp;期货（ln）'!T41:T60)</f>
      </c>
      <c r="U41" s="9">
        <f>_xlfn.STDEV.P('中国汇率&amp;期货（ln）'!U41:U60)</f>
      </c>
      <c r="V41" s="9">
        <f>_xlfn.STDEV.P('中国汇率&amp;期货（ln）'!V41:V60)</f>
      </c>
      <c r="W41" s="9">
        <f>_xlfn.STDEV.P('中国汇率&amp;期货（ln）'!W41:W60)</f>
      </c>
      <c r="X41" s="9">
        <f>_xlfn.STDEV.P('中国汇率&amp;期货（ln）'!X41:X60)</f>
      </c>
      <c r="Y41" s="9">
        <f>_xlfn.STDEV.P('中国汇率&amp;期货（ln）'!Y41:Y60)</f>
      </c>
      <c r="Z41" s="9">
        <f>_xlfn.STDEV.P('中国汇率&amp;期货（ln）'!Z41:Z60)</f>
      </c>
      <c r="AA41" s="9">
        <f>_xlfn.STDEV.P('中国汇率&amp;期货（ln）'!AA41:AA60)</f>
      </c>
      <c r="AB41" s="9">
        <f>_xlfn.STDEV.P('中国汇率&amp;期货（ln）'!AB41:AB60)</f>
      </c>
      <c r="AC41" s="9">
        <f>_xlfn.STDEV.P('中国汇率&amp;期货（ln）'!AC41:AC60)</f>
      </c>
      <c r="AD41" s="9">
        <f>_xlfn.STDEV.P('中国汇率&amp;期货（ln）'!AD41:AD60)</f>
      </c>
      <c r="AE41" s="9">
        <f>_xlfn.STDEV.P('中国汇率&amp;期货（ln）'!AE41:AE60)</f>
      </c>
      <c r="AF41" s="9">
        <f>_xlfn.STDEV.P('中国汇率&amp;期货（ln）'!AF41:AF60)</f>
      </c>
      <c r="AG41" s="9">
        <f>_xlfn.STDEV.P('中国汇率&amp;期货（ln）'!AG41:AG60)</f>
      </c>
      <c r="AH41" s="9">
        <f>_xlfn.STDEV.P('中国汇率&amp;期货（ln）'!AH41:AH60)</f>
      </c>
      <c r="AI41" s="9">
        <f>_xlfn.STDEV.P('中国汇率&amp;期货（ln）'!AI41:AI60)</f>
      </c>
      <c r="AJ41" s="9">
        <f>_xlfn.STDEV.P('中国汇率&amp;期货（ln）'!AJ41:AJ60)</f>
      </c>
      <c r="AK41" s="9">
        <f>_xlfn.STDEV.P('中国汇率&amp;期货（ln）'!AK41:AK60)</f>
      </c>
      <c r="AL41" s="9">
        <f>_xlfn.STDEV.P('中国汇率&amp;期货（ln）'!AL41:AL60)</f>
      </c>
      <c r="AM41" s="9">
        <f>_xlfn.STDEV.P('中国汇率&amp;期货（ln）'!AM41:AM60)</f>
      </c>
      <c r="AN41" s="9">
        <f>_xlfn.STDEV.P('中国汇率&amp;期货（ln）'!AN41:AN60)</f>
      </c>
      <c r="AO41" s="9">
        <f>_xlfn.STDEV.P('中国汇率&amp;期货（ln）'!AO41:AO60)</f>
      </c>
      <c r="AP41" s="9">
        <f>_xlfn.STDEV.P('中国汇率&amp;期货（ln）'!AP41:AP60)</f>
      </c>
      <c r="AQ41" s="9">
        <f>_xlfn.STDEV.P('中国汇率&amp;期货（ln）'!AQ41:AQ60)</f>
      </c>
      <c r="AR41" s="9">
        <f>_xlfn.STDEV.P('中国汇率&amp;期货（ln）'!AR41:AR60)</f>
      </c>
      <c r="AS41" s="9">
        <f>_xlfn.STDEV.P('中国汇率&amp;期货（ln）'!AS41:AS60)</f>
      </c>
      <c r="AT41" s="9">
        <f>_xlfn.STDEV.P('中国汇率&amp;期货（ln）'!AT41:AT60)</f>
      </c>
      <c r="AU41" s="9">
        <f>_xlfn.STDEV.P('中国汇率&amp;期货（ln）'!AU41:AU60)</f>
      </c>
      <c r="AV41" s="9">
        <f>_xlfn.STDEV.P('中国汇率&amp;期货（ln）'!AV41:AV60)</f>
      </c>
      <c r="AW41" s="9">
        <f>_xlfn.STDEV.P('中国汇率&amp;期货（ln）'!AW41:AW60)</f>
      </c>
      <c r="AX41" s="9">
        <f>_xlfn.STDEV.P('中国汇率&amp;期货（ln）'!AX41:AX60)</f>
      </c>
      <c r="AY41" s="9">
        <f>_xlfn.STDEV.P('中国汇率&amp;期货（ln）'!AY41:AY60)</f>
      </c>
      <c r="AZ41" s="9">
        <f>_xlfn.STDEV.P('中国汇率&amp;期货（ln）'!AZ41:AZ60)</f>
      </c>
      <c r="BA41" s="9">
        <f>_xlfn.STDEV.P('中国汇率&amp;期货（ln）'!BA41:BA60)</f>
      </c>
      <c r="BB41" s="9">
        <f>_xlfn.STDEV.P('中国汇率&amp;期货（ln）'!BB41:BB60)</f>
      </c>
      <c r="BC41" s="9">
        <f>_xlfn.STDEV.P('中国汇率&amp;期货（ln）'!BC41:BC60)</f>
      </c>
      <c r="BD41" s="9">
        <f>_xlfn.STDEV.P('中国汇率&amp;期货（ln）'!BD41:BD60)</f>
      </c>
      <c r="BE41" s="9">
        <f>_xlfn.STDEV.P('中国汇率&amp;期货（ln）'!BE41:BE60)</f>
      </c>
    </row>
    <row x14ac:dyDescent="0.25" r="42" customHeight="1" ht="18.75">
      <c r="A42" s="1"/>
      <c r="B42" s="9">
        <f>_xlfn.STDEV.P('中国汇率&amp;期货（ln）'!B42:B61)</f>
      </c>
      <c r="C42" s="9">
        <f>_xlfn.STDEV.P('中国汇率&amp;期货（ln）'!C42:C61)</f>
      </c>
      <c r="D42" s="9">
        <f>_xlfn.STDEV.P('中国汇率&amp;期货（ln）'!D42:D61)</f>
      </c>
      <c r="E42" s="9">
        <f>_xlfn.STDEV.P('中国汇率&amp;期货（ln）'!E42:E61)</f>
      </c>
      <c r="F42" s="9">
        <f>_xlfn.STDEV.P('中国汇率&amp;期货（ln）'!F42:F61)</f>
      </c>
      <c r="G42" s="9">
        <f>_xlfn.STDEV.P('中国汇率&amp;期货（ln）'!G42:G61)</f>
      </c>
      <c r="H42" s="9">
        <f>_xlfn.STDEV.P('中国汇率&amp;期货（ln）'!H42:H61)</f>
      </c>
      <c r="I42" s="9">
        <f>_xlfn.STDEV.P('中国汇率&amp;期货（ln）'!I42:I61)</f>
      </c>
      <c r="J42" s="9">
        <f>_xlfn.STDEV.P('中国汇率&amp;期货（ln）'!J42:J61)</f>
      </c>
      <c r="K42" s="9">
        <f>_xlfn.STDEV.P('中国汇率&amp;期货（ln）'!K42:K61)</f>
      </c>
      <c r="L42" s="9">
        <f>_xlfn.STDEV.P('中国汇率&amp;期货（ln）'!L42:L61)</f>
      </c>
      <c r="M42" s="9">
        <f>_xlfn.STDEV.P('中国汇率&amp;期货（ln）'!M42:M61)</f>
      </c>
      <c r="N42" s="9">
        <f>_xlfn.STDEV.P('中国汇率&amp;期货（ln）'!N42:N61)</f>
      </c>
      <c r="O42" s="9">
        <f>_xlfn.STDEV.P('中国汇率&amp;期货（ln）'!O42:O61)</f>
      </c>
      <c r="P42" s="9">
        <f>_xlfn.STDEV.P('中国汇率&amp;期货（ln）'!P42:P61)</f>
      </c>
      <c r="Q42" s="9">
        <f>_xlfn.STDEV.P('中国汇率&amp;期货（ln）'!Q42:Q61)</f>
      </c>
      <c r="R42" s="9">
        <f>_xlfn.STDEV.P('中国汇率&amp;期货（ln）'!R42:R61)</f>
      </c>
      <c r="S42" s="9">
        <f>_xlfn.STDEV.P('中国汇率&amp;期货（ln）'!S42:S61)</f>
      </c>
      <c r="T42" s="9">
        <f>_xlfn.STDEV.P('中国汇率&amp;期货（ln）'!T42:T61)</f>
      </c>
      <c r="U42" s="9">
        <f>_xlfn.STDEV.P('中国汇率&amp;期货（ln）'!U42:U61)</f>
      </c>
      <c r="V42" s="9">
        <f>_xlfn.STDEV.P('中国汇率&amp;期货（ln）'!V42:V61)</f>
      </c>
      <c r="W42" s="9">
        <f>_xlfn.STDEV.P('中国汇率&amp;期货（ln）'!W42:W61)</f>
      </c>
      <c r="X42" s="9">
        <f>_xlfn.STDEV.P('中国汇率&amp;期货（ln）'!X42:X61)</f>
      </c>
      <c r="Y42" s="9">
        <f>_xlfn.STDEV.P('中国汇率&amp;期货（ln）'!Y42:Y61)</f>
      </c>
      <c r="Z42" s="9">
        <f>_xlfn.STDEV.P('中国汇率&amp;期货（ln）'!Z42:Z61)</f>
      </c>
      <c r="AA42" s="9">
        <f>_xlfn.STDEV.P('中国汇率&amp;期货（ln）'!AA42:AA61)</f>
      </c>
      <c r="AB42" s="9">
        <f>_xlfn.STDEV.P('中国汇率&amp;期货（ln）'!AB42:AB61)</f>
      </c>
      <c r="AC42" s="9">
        <f>_xlfn.STDEV.P('中国汇率&amp;期货（ln）'!AC42:AC61)</f>
      </c>
      <c r="AD42" s="9">
        <f>_xlfn.STDEV.P('中国汇率&amp;期货（ln）'!AD42:AD61)</f>
      </c>
      <c r="AE42" s="9">
        <f>_xlfn.STDEV.P('中国汇率&amp;期货（ln）'!AE42:AE61)</f>
      </c>
      <c r="AF42" s="9">
        <f>_xlfn.STDEV.P('中国汇率&amp;期货（ln）'!AF42:AF61)</f>
      </c>
      <c r="AG42" s="9">
        <f>_xlfn.STDEV.P('中国汇率&amp;期货（ln）'!AG42:AG61)</f>
      </c>
      <c r="AH42" s="9">
        <f>_xlfn.STDEV.P('中国汇率&amp;期货（ln）'!AH42:AH61)</f>
      </c>
      <c r="AI42" s="9">
        <f>_xlfn.STDEV.P('中国汇率&amp;期货（ln）'!AI42:AI61)</f>
      </c>
      <c r="AJ42" s="9">
        <f>_xlfn.STDEV.P('中国汇率&amp;期货（ln）'!AJ42:AJ61)</f>
      </c>
      <c r="AK42" s="9">
        <f>_xlfn.STDEV.P('中国汇率&amp;期货（ln）'!AK42:AK61)</f>
      </c>
      <c r="AL42" s="9">
        <f>_xlfn.STDEV.P('中国汇率&amp;期货（ln）'!AL42:AL61)</f>
      </c>
      <c r="AM42" s="9">
        <f>_xlfn.STDEV.P('中国汇率&amp;期货（ln）'!AM42:AM61)</f>
      </c>
      <c r="AN42" s="9">
        <f>_xlfn.STDEV.P('中国汇率&amp;期货（ln）'!AN42:AN61)</f>
      </c>
      <c r="AO42" s="9">
        <f>_xlfn.STDEV.P('中国汇率&amp;期货（ln）'!AO42:AO61)</f>
      </c>
      <c r="AP42" s="9">
        <f>_xlfn.STDEV.P('中国汇率&amp;期货（ln）'!AP42:AP61)</f>
      </c>
      <c r="AQ42" s="9">
        <f>_xlfn.STDEV.P('中国汇率&amp;期货（ln）'!AQ42:AQ61)</f>
      </c>
      <c r="AR42" s="9">
        <f>_xlfn.STDEV.P('中国汇率&amp;期货（ln）'!AR42:AR61)</f>
      </c>
      <c r="AS42" s="9">
        <f>_xlfn.STDEV.P('中国汇率&amp;期货（ln）'!AS42:AS61)</f>
      </c>
      <c r="AT42" s="9">
        <f>_xlfn.STDEV.P('中国汇率&amp;期货（ln）'!AT42:AT61)</f>
      </c>
      <c r="AU42" s="9">
        <f>_xlfn.STDEV.P('中国汇率&amp;期货（ln）'!AU42:AU61)</f>
      </c>
      <c r="AV42" s="9">
        <f>_xlfn.STDEV.P('中国汇率&amp;期货（ln）'!AV42:AV61)</f>
      </c>
      <c r="AW42" s="9">
        <f>_xlfn.STDEV.P('中国汇率&amp;期货（ln）'!AW42:AW61)</f>
      </c>
      <c r="AX42" s="9">
        <f>_xlfn.STDEV.P('中国汇率&amp;期货（ln）'!AX42:AX61)</f>
      </c>
      <c r="AY42" s="9">
        <f>_xlfn.STDEV.P('中国汇率&amp;期货（ln）'!AY42:AY61)</f>
      </c>
      <c r="AZ42" s="9">
        <f>_xlfn.STDEV.P('中国汇率&amp;期货（ln）'!AZ42:AZ61)</f>
      </c>
      <c r="BA42" s="9">
        <f>_xlfn.STDEV.P('中国汇率&amp;期货（ln）'!BA42:BA61)</f>
      </c>
      <c r="BB42" s="9">
        <f>_xlfn.STDEV.P('中国汇率&amp;期货（ln）'!BB42:BB61)</f>
      </c>
      <c r="BC42" s="9">
        <f>_xlfn.STDEV.P('中国汇率&amp;期货（ln）'!BC42:BC61)</f>
      </c>
      <c r="BD42" s="9">
        <f>_xlfn.STDEV.P('中国汇率&amp;期货（ln）'!BD42:BD61)</f>
      </c>
      <c r="BE42" s="9">
        <f>_xlfn.STDEV.P('中国汇率&amp;期货（ln）'!BE42:BE61)</f>
      </c>
    </row>
    <row x14ac:dyDescent="0.25" r="43" customHeight="1" ht="18.75">
      <c r="A43" s="1"/>
      <c r="B43" s="9">
        <f>_xlfn.STDEV.P('中国汇率&amp;期货（ln）'!B43:B62)</f>
      </c>
      <c r="C43" s="9">
        <f>_xlfn.STDEV.P('中国汇率&amp;期货（ln）'!C43:C62)</f>
      </c>
      <c r="D43" s="9">
        <f>_xlfn.STDEV.P('中国汇率&amp;期货（ln）'!D43:D62)</f>
      </c>
      <c r="E43" s="9">
        <f>_xlfn.STDEV.P('中国汇率&amp;期货（ln）'!E43:E62)</f>
      </c>
      <c r="F43" s="9">
        <f>_xlfn.STDEV.P('中国汇率&amp;期货（ln）'!F43:F62)</f>
      </c>
      <c r="G43" s="9">
        <f>_xlfn.STDEV.P('中国汇率&amp;期货（ln）'!G43:G62)</f>
      </c>
      <c r="H43" s="9">
        <f>_xlfn.STDEV.P('中国汇率&amp;期货（ln）'!H43:H62)</f>
      </c>
      <c r="I43" s="9">
        <f>_xlfn.STDEV.P('中国汇率&amp;期货（ln）'!I43:I62)</f>
      </c>
      <c r="J43" s="9">
        <f>_xlfn.STDEV.P('中国汇率&amp;期货（ln）'!J43:J62)</f>
      </c>
      <c r="K43" s="9">
        <f>_xlfn.STDEV.P('中国汇率&amp;期货（ln）'!K43:K62)</f>
      </c>
      <c r="L43" s="9">
        <f>_xlfn.STDEV.P('中国汇率&amp;期货（ln）'!L43:L62)</f>
      </c>
      <c r="M43" s="9">
        <f>_xlfn.STDEV.P('中国汇率&amp;期货（ln）'!M43:M62)</f>
      </c>
      <c r="N43" s="9">
        <f>_xlfn.STDEV.P('中国汇率&amp;期货（ln）'!N43:N62)</f>
      </c>
      <c r="O43" s="9">
        <f>_xlfn.STDEV.P('中国汇率&amp;期货（ln）'!O43:O62)</f>
      </c>
      <c r="P43" s="9">
        <f>_xlfn.STDEV.P('中国汇率&amp;期货（ln）'!P43:P62)</f>
      </c>
      <c r="Q43" s="9">
        <f>_xlfn.STDEV.P('中国汇率&amp;期货（ln）'!Q43:Q62)</f>
      </c>
      <c r="R43" s="9">
        <f>_xlfn.STDEV.P('中国汇率&amp;期货（ln）'!R43:R62)</f>
      </c>
      <c r="S43" s="9">
        <f>_xlfn.STDEV.P('中国汇率&amp;期货（ln）'!S43:S62)</f>
      </c>
      <c r="T43" s="9">
        <f>_xlfn.STDEV.P('中国汇率&amp;期货（ln）'!T43:T62)</f>
      </c>
      <c r="U43" s="9">
        <f>_xlfn.STDEV.P('中国汇率&amp;期货（ln）'!U43:U62)</f>
      </c>
      <c r="V43" s="9">
        <f>_xlfn.STDEV.P('中国汇率&amp;期货（ln）'!V43:V62)</f>
      </c>
      <c r="W43" s="9">
        <f>_xlfn.STDEV.P('中国汇率&amp;期货（ln）'!W43:W62)</f>
      </c>
      <c r="X43" s="9">
        <f>_xlfn.STDEV.P('中国汇率&amp;期货（ln）'!X43:X62)</f>
      </c>
      <c r="Y43" s="9">
        <f>_xlfn.STDEV.P('中国汇率&amp;期货（ln）'!Y43:Y62)</f>
      </c>
      <c r="Z43" s="9">
        <f>_xlfn.STDEV.P('中国汇率&amp;期货（ln）'!Z43:Z62)</f>
      </c>
      <c r="AA43" s="9">
        <f>_xlfn.STDEV.P('中国汇率&amp;期货（ln）'!AA43:AA62)</f>
      </c>
      <c r="AB43" s="9">
        <f>_xlfn.STDEV.P('中国汇率&amp;期货（ln）'!AB43:AB62)</f>
      </c>
      <c r="AC43" s="9">
        <f>_xlfn.STDEV.P('中国汇率&amp;期货（ln）'!AC43:AC62)</f>
      </c>
      <c r="AD43" s="9">
        <f>_xlfn.STDEV.P('中国汇率&amp;期货（ln）'!AD43:AD62)</f>
      </c>
      <c r="AE43" s="9">
        <f>_xlfn.STDEV.P('中国汇率&amp;期货（ln）'!AE43:AE62)</f>
      </c>
      <c r="AF43" s="9">
        <f>_xlfn.STDEV.P('中国汇率&amp;期货（ln）'!AF43:AF62)</f>
      </c>
      <c r="AG43" s="9">
        <f>_xlfn.STDEV.P('中国汇率&amp;期货（ln）'!AG43:AG62)</f>
      </c>
      <c r="AH43" s="9">
        <f>_xlfn.STDEV.P('中国汇率&amp;期货（ln）'!AH43:AH62)</f>
      </c>
      <c r="AI43" s="9">
        <f>_xlfn.STDEV.P('中国汇率&amp;期货（ln）'!AI43:AI62)</f>
      </c>
      <c r="AJ43" s="9">
        <f>_xlfn.STDEV.P('中国汇率&amp;期货（ln）'!AJ43:AJ62)</f>
      </c>
      <c r="AK43" s="9">
        <f>_xlfn.STDEV.P('中国汇率&amp;期货（ln）'!AK43:AK62)</f>
      </c>
      <c r="AL43" s="9">
        <f>_xlfn.STDEV.P('中国汇率&amp;期货（ln）'!AL43:AL62)</f>
      </c>
      <c r="AM43" s="9">
        <f>_xlfn.STDEV.P('中国汇率&amp;期货（ln）'!AM43:AM62)</f>
      </c>
      <c r="AN43" s="9">
        <f>_xlfn.STDEV.P('中国汇率&amp;期货（ln）'!AN43:AN62)</f>
      </c>
      <c r="AO43" s="9">
        <f>_xlfn.STDEV.P('中国汇率&amp;期货（ln）'!AO43:AO62)</f>
      </c>
      <c r="AP43" s="9">
        <f>_xlfn.STDEV.P('中国汇率&amp;期货（ln）'!AP43:AP62)</f>
      </c>
      <c r="AQ43" s="9">
        <f>_xlfn.STDEV.P('中国汇率&amp;期货（ln）'!AQ43:AQ62)</f>
      </c>
      <c r="AR43" s="9">
        <f>_xlfn.STDEV.P('中国汇率&amp;期货（ln）'!AR43:AR62)</f>
      </c>
      <c r="AS43" s="9">
        <f>_xlfn.STDEV.P('中国汇率&amp;期货（ln）'!AS43:AS62)</f>
      </c>
      <c r="AT43" s="9">
        <f>_xlfn.STDEV.P('中国汇率&amp;期货（ln）'!AT43:AT62)</f>
      </c>
      <c r="AU43" s="9">
        <f>_xlfn.STDEV.P('中国汇率&amp;期货（ln）'!AU43:AU62)</f>
      </c>
      <c r="AV43" s="9">
        <f>_xlfn.STDEV.P('中国汇率&amp;期货（ln）'!AV43:AV62)</f>
      </c>
      <c r="AW43" s="9">
        <f>_xlfn.STDEV.P('中国汇率&amp;期货（ln）'!AW43:AW62)</f>
      </c>
      <c r="AX43" s="9">
        <f>_xlfn.STDEV.P('中国汇率&amp;期货（ln）'!AX43:AX62)</f>
      </c>
      <c r="AY43" s="9">
        <f>_xlfn.STDEV.P('中国汇率&amp;期货（ln）'!AY43:AY62)</f>
      </c>
      <c r="AZ43" s="9">
        <f>_xlfn.STDEV.P('中国汇率&amp;期货（ln）'!AZ43:AZ62)</f>
      </c>
      <c r="BA43" s="9">
        <f>_xlfn.STDEV.P('中国汇率&amp;期货（ln）'!BA43:BA62)</f>
      </c>
      <c r="BB43" s="9">
        <f>_xlfn.STDEV.P('中国汇率&amp;期货（ln）'!BB43:BB62)</f>
      </c>
      <c r="BC43" s="9">
        <f>_xlfn.STDEV.P('中国汇率&amp;期货（ln）'!BC43:BC62)</f>
      </c>
      <c r="BD43" s="9">
        <f>_xlfn.STDEV.P('中国汇率&amp;期货（ln）'!BD43:BD62)</f>
      </c>
      <c r="BE43" s="9">
        <f>_xlfn.STDEV.P('中国汇率&amp;期货（ln）'!BE43:BE62)</f>
      </c>
    </row>
    <row x14ac:dyDescent="0.25" r="44" customHeight="1" ht="18.75">
      <c r="A44" s="1"/>
      <c r="B44" s="9">
        <f>_xlfn.STDEV.P('中国汇率&amp;期货（ln）'!B44:B63)</f>
      </c>
      <c r="C44" s="9">
        <f>_xlfn.STDEV.P('中国汇率&amp;期货（ln）'!C44:C63)</f>
      </c>
      <c r="D44" s="9">
        <f>_xlfn.STDEV.P('中国汇率&amp;期货（ln）'!D44:D63)</f>
      </c>
      <c r="E44" s="9">
        <f>_xlfn.STDEV.P('中国汇率&amp;期货（ln）'!E44:E63)</f>
      </c>
      <c r="F44" s="9">
        <f>_xlfn.STDEV.P('中国汇率&amp;期货（ln）'!F44:F63)</f>
      </c>
      <c r="G44" s="9">
        <f>_xlfn.STDEV.P('中国汇率&amp;期货（ln）'!G44:G63)</f>
      </c>
      <c r="H44" s="9">
        <f>_xlfn.STDEV.P('中国汇率&amp;期货（ln）'!H44:H63)</f>
      </c>
      <c r="I44" s="9">
        <f>_xlfn.STDEV.P('中国汇率&amp;期货（ln）'!I44:I63)</f>
      </c>
      <c r="J44" s="9">
        <f>_xlfn.STDEV.P('中国汇率&amp;期货（ln）'!J44:J63)</f>
      </c>
      <c r="K44" s="9">
        <f>_xlfn.STDEV.P('中国汇率&amp;期货（ln）'!K44:K63)</f>
      </c>
      <c r="L44" s="9">
        <f>_xlfn.STDEV.P('中国汇率&amp;期货（ln）'!L44:L63)</f>
      </c>
      <c r="M44" s="9">
        <f>_xlfn.STDEV.P('中国汇率&amp;期货（ln）'!M44:M63)</f>
      </c>
      <c r="N44" s="9">
        <f>_xlfn.STDEV.P('中国汇率&amp;期货（ln）'!N44:N63)</f>
      </c>
      <c r="O44" s="9">
        <f>_xlfn.STDEV.P('中国汇率&amp;期货（ln）'!O44:O63)</f>
      </c>
      <c r="P44" s="9">
        <f>_xlfn.STDEV.P('中国汇率&amp;期货（ln）'!P44:P63)</f>
      </c>
      <c r="Q44" s="9">
        <f>_xlfn.STDEV.P('中国汇率&amp;期货（ln）'!Q44:Q63)</f>
      </c>
      <c r="R44" s="9">
        <f>_xlfn.STDEV.P('中国汇率&amp;期货（ln）'!R44:R63)</f>
      </c>
      <c r="S44" s="9">
        <f>_xlfn.STDEV.P('中国汇率&amp;期货（ln）'!S44:S63)</f>
      </c>
      <c r="T44" s="9">
        <f>_xlfn.STDEV.P('中国汇率&amp;期货（ln）'!T44:T63)</f>
      </c>
      <c r="U44" s="9">
        <f>_xlfn.STDEV.P('中国汇率&amp;期货（ln）'!U44:U63)</f>
      </c>
      <c r="V44" s="9">
        <f>_xlfn.STDEV.P('中国汇率&amp;期货（ln）'!V44:V63)</f>
      </c>
      <c r="W44" s="9">
        <f>_xlfn.STDEV.P('中国汇率&amp;期货（ln）'!W44:W63)</f>
      </c>
      <c r="X44" s="9">
        <f>_xlfn.STDEV.P('中国汇率&amp;期货（ln）'!X44:X63)</f>
      </c>
      <c r="Y44" s="9">
        <f>_xlfn.STDEV.P('中国汇率&amp;期货（ln）'!Y44:Y63)</f>
      </c>
      <c r="Z44" s="9">
        <f>_xlfn.STDEV.P('中国汇率&amp;期货（ln）'!Z44:Z63)</f>
      </c>
      <c r="AA44" s="9">
        <f>_xlfn.STDEV.P('中国汇率&amp;期货（ln）'!AA44:AA63)</f>
      </c>
      <c r="AB44" s="9">
        <f>_xlfn.STDEV.P('中国汇率&amp;期货（ln）'!AB44:AB63)</f>
      </c>
      <c r="AC44" s="9">
        <f>_xlfn.STDEV.P('中国汇率&amp;期货（ln）'!AC44:AC63)</f>
      </c>
      <c r="AD44" s="9">
        <f>_xlfn.STDEV.P('中国汇率&amp;期货（ln）'!AD44:AD63)</f>
      </c>
      <c r="AE44" s="9">
        <f>_xlfn.STDEV.P('中国汇率&amp;期货（ln）'!AE44:AE63)</f>
      </c>
      <c r="AF44" s="9">
        <f>_xlfn.STDEV.P('中国汇率&amp;期货（ln）'!AF44:AF63)</f>
      </c>
      <c r="AG44" s="9">
        <f>_xlfn.STDEV.P('中国汇率&amp;期货（ln）'!AG44:AG63)</f>
      </c>
      <c r="AH44" s="9">
        <f>_xlfn.STDEV.P('中国汇率&amp;期货（ln）'!AH44:AH63)</f>
      </c>
      <c r="AI44" s="9">
        <f>_xlfn.STDEV.P('中国汇率&amp;期货（ln）'!AI44:AI63)</f>
      </c>
      <c r="AJ44" s="9">
        <f>_xlfn.STDEV.P('中国汇率&amp;期货（ln）'!AJ44:AJ63)</f>
      </c>
      <c r="AK44" s="9">
        <f>_xlfn.STDEV.P('中国汇率&amp;期货（ln）'!AK44:AK63)</f>
      </c>
      <c r="AL44" s="9">
        <f>_xlfn.STDEV.P('中国汇率&amp;期货（ln）'!AL44:AL63)</f>
      </c>
      <c r="AM44" s="9">
        <f>_xlfn.STDEV.P('中国汇率&amp;期货（ln）'!AM44:AM63)</f>
      </c>
      <c r="AN44" s="9">
        <f>_xlfn.STDEV.P('中国汇率&amp;期货（ln）'!AN44:AN63)</f>
      </c>
      <c r="AO44" s="9">
        <f>_xlfn.STDEV.P('中国汇率&amp;期货（ln）'!AO44:AO63)</f>
      </c>
      <c r="AP44" s="9">
        <f>_xlfn.STDEV.P('中国汇率&amp;期货（ln）'!AP44:AP63)</f>
      </c>
      <c r="AQ44" s="9">
        <f>_xlfn.STDEV.P('中国汇率&amp;期货（ln）'!AQ44:AQ63)</f>
      </c>
      <c r="AR44" s="9">
        <f>_xlfn.STDEV.P('中国汇率&amp;期货（ln）'!AR44:AR63)</f>
      </c>
      <c r="AS44" s="9">
        <f>_xlfn.STDEV.P('中国汇率&amp;期货（ln）'!AS44:AS63)</f>
      </c>
      <c r="AT44" s="9">
        <f>_xlfn.STDEV.P('中国汇率&amp;期货（ln）'!AT44:AT63)</f>
      </c>
      <c r="AU44" s="9">
        <f>_xlfn.STDEV.P('中国汇率&amp;期货（ln）'!AU44:AU63)</f>
      </c>
      <c r="AV44" s="9">
        <f>_xlfn.STDEV.P('中国汇率&amp;期货（ln）'!AV44:AV63)</f>
      </c>
      <c r="AW44" s="9">
        <f>_xlfn.STDEV.P('中国汇率&amp;期货（ln）'!AW44:AW63)</f>
      </c>
      <c r="AX44" s="9">
        <f>_xlfn.STDEV.P('中国汇率&amp;期货（ln）'!AX44:AX63)</f>
      </c>
      <c r="AY44" s="9">
        <f>_xlfn.STDEV.P('中国汇率&amp;期货（ln）'!AY44:AY63)</f>
      </c>
      <c r="AZ44" s="9">
        <f>_xlfn.STDEV.P('中国汇率&amp;期货（ln）'!AZ44:AZ63)</f>
      </c>
      <c r="BA44" s="9">
        <f>_xlfn.STDEV.P('中国汇率&amp;期货（ln）'!BA44:BA63)</f>
      </c>
      <c r="BB44" s="9">
        <f>_xlfn.STDEV.P('中国汇率&amp;期货（ln）'!BB44:BB63)</f>
      </c>
      <c r="BC44" s="9">
        <f>_xlfn.STDEV.P('中国汇率&amp;期货（ln）'!BC44:BC63)</f>
      </c>
      <c r="BD44" s="9">
        <f>_xlfn.STDEV.P('中国汇率&amp;期货（ln）'!BD44:BD63)</f>
      </c>
      <c r="BE44" s="9">
        <f>_xlfn.STDEV.P('中国汇率&amp;期货（ln）'!BE44:BE63)</f>
      </c>
    </row>
    <row x14ac:dyDescent="0.25" r="45" customHeight="1" ht="18.75">
      <c r="A45" s="1"/>
      <c r="B45" s="9">
        <f>_xlfn.STDEV.P('中国汇率&amp;期货（ln）'!B45:B64)</f>
      </c>
      <c r="C45" s="9">
        <f>_xlfn.STDEV.P('中国汇率&amp;期货（ln）'!C45:C64)</f>
      </c>
      <c r="D45" s="9">
        <f>_xlfn.STDEV.P('中国汇率&amp;期货（ln）'!D45:D64)</f>
      </c>
      <c r="E45" s="9">
        <f>_xlfn.STDEV.P('中国汇率&amp;期货（ln）'!E45:E64)</f>
      </c>
      <c r="F45" s="9">
        <f>_xlfn.STDEV.P('中国汇率&amp;期货（ln）'!F45:F64)</f>
      </c>
      <c r="G45" s="9">
        <f>_xlfn.STDEV.P('中国汇率&amp;期货（ln）'!G45:G64)</f>
      </c>
      <c r="H45" s="9">
        <f>_xlfn.STDEV.P('中国汇率&amp;期货（ln）'!H45:H64)</f>
      </c>
      <c r="I45" s="9">
        <f>_xlfn.STDEV.P('中国汇率&amp;期货（ln）'!I45:I64)</f>
      </c>
      <c r="J45" s="9">
        <f>_xlfn.STDEV.P('中国汇率&amp;期货（ln）'!J45:J64)</f>
      </c>
      <c r="K45" s="9">
        <f>_xlfn.STDEV.P('中国汇率&amp;期货（ln）'!K45:K64)</f>
      </c>
      <c r="L45" s="9">
        <f>_xlfn.STDEV.P('中国汇率&amp;期货（ln）'!L45:L64)</f>
      </c>
      <c r="M45" s="9">
        <f>_xlfn.STDEV.P('中国汇率&amp;期货（ln）'!M45:M64)</f>
      </c>
      <c r="N45" s="9">
        <f>_xlfn.STDEV.P('中国汇率&amp;期货（ln）'!N45:N64)</f>
      </c>
      <c r="O45" s="9">
        <f>_xlfn.STDEV.P('中国汇率&amp;期货（ln）'!O45:O64)</f>
      </c>
      <c r="P45" s="9">
        <f>_xlfn.STDEV.P('中国汇率&amp;期货（ln）'!P45:P64)</f>
      </c>
      <c r="Q45" s="9">
        <f>_xlfn.STDEV.P('中国汇率&amp;期货（ln）'!Q45:Q64)</f>
      </c>
      <c r="R45" s="9">
        <f>_xlfn.STDEV.P('中国汇率&amp;期货（ln）'!R45:R64)</f>
      </c>
      <c r="S45" s="9">
        <f>_xlfn.STDEV.P('中国汇率&amp;期货（ln）'!S45:S64)</f>
      </c>
      <c r="T45" s="9">
        <f>_xlfn.STDEV.P('中国汇率&amp;期货（ln）'!T45:T64)</f>
      </c>
      <c r="U45" s="9">
        <f>_xlfn.STDEV.P('中国汇率&amp;期货（ln）'!U45:U64)</f>
      </c>
      <c r="V45" s="9">
        <f>_xlfn.STDEV.P('中国汇率&amp;期货（ln）'!V45:V64)</f>
      </c>
      <c r="W45" s="9">
        <f>_xlfn.STDEV.P('中国汇率&amp;期货（ln）'!W45:W64)</f>
      </c>
      <c r="X45" s="9">
        <f>_xlfn.STDEV.P('中国汇率&amp;期货（ln）'!X45:X64)</f>
      </c>
      <c r="Y45" s="9">
        <f>_xlfn.STDEV.P('中国汇率&amp;期货（ln）'!Y45:Y64)</f>
      </c>
      <c r="Z45" s="9">
        <f>_xlfn.STDEV.P('中国汇率&amp;期货（ln）'!Z45:Z64)</f>
      </c>
      <c r="AA45" s="9">
        <f>_xlfn.STDEV.P('中国汇率&amp;期货（ln）'!AA45:AA64)</f>
      </c>
      <c r="AB45" s="9">
        <f>_xlfn.STDEV.P('中国汇率&amp;期货（ln）'!AB45:AB64)</f>
      </c>
      <c r="AC45" s="9">
        <f>_xlfn.STDEV.P('中国汇率&amp;期货（ln）'!AC45:AC64)</f>
      </c>
      <c r="AD45" s="9">
        <f>_xlfn.STDEV.P('中国汇率&amp;期货（ln）'!AD45:AD64)</f>
      </c>
      <c r="AE45" s="9">
        <f>_xlfn.STDEV.P('中国汇率&amp;期货（ln）'!AE45:AE64)</f>
      </c>
      <c r="AF45" s="9">
        <f>_xlfn.STDEV.P('中国汇率&amp;期货（ln）'!AF45:AF64)</f>
      </c>
      <c r="AG45" s="9">
        <f>_xlfn.STDEV.P('中国汇率&amp;期货（ln）'!AG45:AG64)</f>
      </c>
      <c r="AH45" s="9">
        <f>_xlfn.STDEV.P('中国汇率&amp;期货（ln）'!AH45:AH64)</f>
      </c>
      <c r="AI45" s="9">
        <f>_xlfn.STDEV.P('中国汇率&amp;期货（ln）'!AI45:AI64)</f>
      </c>
      <c r="AJ45" s="9">
        <f>_xlfn.STDEV.P('中国汇率&amp;期货（ln）'!AJ45:AJ64)</f>
      </c>
      <c r="AK45" s="9">
        <f>_xlfn.STDEV.P('中国汇率&amp;期货（ln）'!AK45:AK64)</f>
      </c>
      <c r="AL45" s="9">
        <f>_xlfn.STDEV.P('中国汇率&amp;期货（ln）'!AL45:AL64)</f>
      </c>
      <c r="AM45" s="9">
        <f>_xlfn.STDEV.P('中国汇率&amp;期货（ln）'!AM45:AM64)</f>
      </c>
      <c r="AN45" s="9">
        <f>_xlfn.STDEV.P('中国汇率&amp;期货（ln）'!AN45:AN64)</f>
      </c>
      <c r="AO45" s="9">
        <f>_xlfn.STDEV.P('中国汇率&amp;期货（ln）'!AO45:AO64)</f>
      </c>
      <c r="AP45" s="9">
        <f>_xlfn.STDEV.P('中国汇率&amp;期货（ln）'!AP45:AP64)</f>
      </c>
      <c r="AQ45" s="9">
        <f>_xlfn.STDEV.P('中国汇率&amp;期货（ln）'!AQ45:AQ64)</f>
      </c>
      <c r="AR45" s="9">
        <f>_xlfn.STDEV.P('中国汇率&amp;期货（ln）'!AR45:AR64)</f>
      </c>
      <c r="AS45" s="9">
        <f>_xlfn.STDEV.P('中国汇率&amp;期货（ln）'!AS45:AS64)</f>
      </c>
      <c r="AT45" s="9">
        <f>_xlfn.STDEV.P('中国汇率&amp;期货（ln）'!AT45:AT64)</f>
      </c>
      <c r="AU45" s="9">
        <f>_xlfn.STDEV.P('中国汇率&amp;期货（ln）'!AU45:AU64)</f>
      </c>
      <c r="AV45" s="9">
        <f>_xlfn.STDEV.P('中国汇率&amp;期货（ln）'!AV45:AV64)</f>
      </c>
      <c r="AW45" s="9">
        <f>_xlfn.STDEV.P('中国汇率&amp;期货（ln）'!AW45:AW64)</f>
      </c>
      <c r="AX45" s="9">
        <f>_xlfn.STDEV.P('中国汇率&amp;期货（ln）'!AX45:AX64)</f>
      </c>
      <c r="AY45" s="9">
        <f>_xlfn.STDEV.P('中国汇率&amp;期货（ln）'!AY45:AY64)</f>
      </c>
      <c r="AZ45" s="9">
        <f>_xlfn.STDEV.P('中国汇率&amp;期货（ln）'!AZ45:AZ64)</f>
      </c>
      <c r="BA45" s="9">
        <f>_xlfn.STDEV.P('中国汇率&amp;期货（ln）'!BA45:BA64)</f>
      </c>
      <c r="BB45" s="9">
        <f>_xlfn.STDEV.P('中国汇率&amp;期货（ln）'!BB45:BB64)</f>
      </c>
      <c r="BC45" s="9">
        <f>_xlfn.STDEV.P('中国汇率&amp;期货（ln）'!BC45:BC64)</f>
      </c>
      <c r="BD45" s="9">
        <f>_xlfn.STDEV.P('中国汇率&amp;期货（ln）'!BD45:BD64)</f>
      </c>
      <c r="BE45" s="9">
        <f>_xlfn.STDEV.P('中国汇率&amp;期货（ln）'!BE45:BE64)</f>
      </c>
    </row>
    <row x14ac:dyDescent="0.25" r="46" customHeight="1" ht="18.75">
      <c r="A46" s="1"/>
      <c r="B46" s="9">
        <f>_xlfn.STDEV.P('中国汇率&amp;期货（ln）'!B46:B65)</f>
      </c>
      <c r="C46" s="9">
        <f>_xlfn.STDEV.P('中国汇率&amp;期货（ln）'!C46:C65)</f>
      </c>
      <c r="D46" s="9">
        <f>_xlfn.STDEV.P('中国汇率&amp;期货（ln）'!D46:D65)</f>
      </c>
      <c r="E46" s="9">
        <f>_xlfn.STDEV.P('中国汇率&amp;期货（ln）'!E46:E65)</f>
      </c>
      <c r="F46" s="9">
        <f>_xlfn.STDEV.P('中国汇率&amp;期货（ln）'!F46:F65)</f>
      </c>
      <c r="G46" s="9">
        <f>_xlfn.STDEV.P('中国汇率&amp;期货（ln）'!G46:G65)</f>
      </c>
      <c r="H46" s="9">
        <f>_xlfn.STDEV.P('中国汇率&amp;期货（ln）'!H46:H65)</f>
      </c>
      <c r="I46" s="9">
        <f>_xlfn.STDEV.P('中国汇率&amp;期货（ln）'!I46:I65)</f>
      </c>
      <c r="J46" s="9">
        <f>_xlfn.STDEV.P('中国汇率&amp;期货（ln）'!J46:J65)</f>
      </c>
      <c r="K46" s="9">
        <f>_xlfn.STDEV.P('中国汇率&amp;期货（ln）'!K46:K65)</f>
      </c>
      <c r="L46" s="9">
        <f>_xlfn.STDEV.P('中国汇率&amp;期货（ln）'!L46:L65)</f>
      </c>
      <c r="M46" s="9">
        <f>_xlfn.STDEV.P('中国汇率&amp;期货（ln）'!M46:M65)</f>
      </c>
      <c r="N46" s="9">
        <f>_xlfn.STDEV.P('中国汇率&amp;期货（ln）'!N46:N65)</f>
      </c>
      <c r="O46" s="9">
        <f>_xlfn.STDEV.P('中国汇率&amp;期货（ln）'!O46:O65)</f>
      </c>
      <c r="P46" s="9">
        <f>_xlfn.STDEV.P('中国汇率&amp;期货（ln）'!P46:P65)</f>
      </c>
      <c r="Q46" s="9">
        <f>_xlfn.STDEV.P('中国汇率&amp;期货（ln）'!Q46:Q65)</f>
      </c>
      <c r="R46" s="9">
        <f>_xlfn.STDEV.P('中国汇率&amp;期货（ln）'!R46:R65)</f>
      </c>
      <c r="S46" s="9">
        <f>_xlfn.STDEV.P('中国汇率&amp;期货（ln）'!S46:S65)</f>
      </c>
      <c r="T46" s="9">
        <f>_xlfn.STDEV.P('中国汇率&amp;期货（ln）'!T46:T65)</f>
      </c>
      <c r="U46" s="9">
        <f>_xlfn.STDEV.P('中国汇率&amp;期货（ln）'!U46:U65)</f>
      </c>
      <c r="V46" s="9">
        <f>_xlfn.STDEV.P('中国汇率&amp;期货（ln）'!V46:V65)</f>
      </c>
      <c r="W46" s="9">
        <f>_xlfn.STDEV.P('中国汇率&amp;期货（ln）'!W46:W65)</f>
      </c>
      <c r="X46" s="9">
        <f>_xlfn.STDEV.P('中国汇率&amp;期货（ln）'!X46:X65)</f>
      </c>
      <c r="Y46" s="9">
        <f>_xlfn.STDEV.P('中国汇率&amp;期货（ln）'!Y46:Y65)</f>
      </c>
      <c r="Z46" s="9">
        <f>_xlfn.STDEV.P('中国汇率&amp;期货（ln）'!Z46:Z65)</f>
      </c>
      <c r="AA46" s="9">
        <f>_xlfn.STDEV.P('中国汇率&amp;期货（ln）'!AA46:AA65)</f>
      </c>
      <c r="AB46" s="9">
        <f>_xlfn.STDEV.P('中国汇率&amp;期货（ln）'!AB46:AB65)</f>
      </c>
      <c r="AC46" s="9">
        <f>_xlfn.STDEV.P('中国汇率&amp;期货（ln）'!AC46:AC65)</f>
      </c>
      <c r="AD46" s="9">
        <f>_xlfn.STDEV.P('中国汇率&amp;期货（ln）'!AD46:AD65)</f>
      </c>
      <c r="AE46" s="9">
        <f>_xlfn.STDEV.P('中国汇率&amp;期货（ln）'!AE46:AE65)</f>
      </c>
      <c r="AF46" s="9">
        <f>_xlfn.STDEV.P('中国汇率&amp;期货（ln）'!AF46:AF65)</f>
      </c>
      <c r="AG46" s="9">
        <f>_xlfn.STDEV.P('中国汇率&amp;期货（ln）'!AG46:AG65)</f>
      </c>
      <c r="AH46" s="9">
        <f>_xlfn.STDEV.P('中国汇率&amp;期货（ln）'!AH46:AH65)</f>
      </c>
      <c r="AI46" s="9">
        <f>_xlfn.STDEV.P('中国汇率&amp;期货（ln）'!AI46:AI65)</f>
      </c>
      <c r="AJ46" s="9">
        <f>_xlfn.STDEV.P('中国汇率&amp;期货（ln）'!AJ46:AJ65)</f>
      </c>
      <c r="AK46" s="9">
        <f>_xlfn.STDEV.P('中国汇率&amp;期货（ln）'!AK46:AK65)</f>
      </c>
      <c r="AL46" s="9">
        <f>_xlfn.STDEV.P('中国汇率&amp;期货（ln）'!AL46:AL65)</f>
      </c>
      <c r="AM46" s="9">
        <f>_xlfn.STDEV.P('中国汇率&amp;期货（ln）'!AM46:AM65)</f>
      </c>
      <c r="AN46" s="9">
        <f>_xlfn.STDEV.P('中国汇率&amp;期货（ln）'!AN46:AN65)</f>
      </c>
      <c r="AO46" s="9">
        <f>_xlfn.STDEV.P('中国汇率&amp;期货（ln）'!AO46:AO65)</f>
      </c>
      <c r="AP46" s="9">
        <f>_xlfn.STDEV.P('中国汇率&amp;期货（ln）'!AP46:AP65)</f>
      </c>
      <c r="AQ46" s="9">
        <f>_xlfn.STDEV.P('中国汇率&amp;期货（ln）'!AQ46:AQ65)</f>
      </c>
      <c r="AR46" s="9">
        <f>_xlfn.STDEV.P('中国汇率&amp;期货（ln）'!AR46:AR65)</f>
      </c>
      <c r="AS46" s="9">
        <f>_xlfn.STDEV.P('中国汇率&amp;期货（ln）'!AS46:AS65)</f>
      </c>
      <c r="AT46" s="9">
        <f>_xlfn.STDEV.P('中国汇率&amp;期货（ln）'!AT46:AT65)</f>
      </c>
      <c r="AU46" s="9">
        <f>_xlfn.STDEV.P('中国汇率&amp;期货（ln）'!AU46:AU65)</f>
      </c>
      <c r="AV46" s="9">
        <f>_xlfn.STDEV.P('中国汇率&amp;期货（ln）'!AV46:AV65)</f>
      </c>
      <c r="AW46" s="9">
        <f>_xlfn.STDEV.P('中国汇率&amp;期货（ln）'!AW46:AW65)</f>
      </c>
      <c r="AX46" s="9">
        <f>_xlfn.STDEV.P('中国汇率&amp;期货（ln）'!AX46:AX65)</f>
      </c>
      <c r="AY46" s="9">
        <f>_xlfn.STDEV.P('中国汇率&amp;期货（ln）'!AY46:AY65)</f>
      </c>
      <c r="AZ46" s="9">
        <f>_xlfn.STDEV.P('中国汇率&amp;期货（ln）'!AZ46:AZ65)</f>
      </c>
      <c r="BA46" s="9">
        <f>_xlfn.STDEV.P('中国汇率&amp;期货（ln）'!BA46:BA65)</f>
      </c>
      <c r="BB46" s="9">
        <f>_xlfn.STDEV.P('中国汇率&amp;期货（ln）'!BB46:BB65)</f>
      </c>
      <c r="BC46" s="9">
        <f>_xlfn.STDEV.P('中国汇率&amp;期货（ln）'!BC46:BC65)</f>
      </c>
      <c r="BD46" s="9">
        <f>_xlfn.STDEV.P('中国汇率&amp;期货（ln）'!BD46:BD65)</f>
      </c>
      <c r="BE46" s="9">
        <f>_xlfn.STDEV.P('中国汇率&amp;期货（ln）'!BE46:BE65)</f>
      </c>
    </row>
    <row x14ac:dyDescent="0.25" r="47" customHeight="1" ht="18.75">
      <c r="A47" s="1"/>
      <c r="B47" s="9">
        <f>_xlfn.STDEV.P('中国汇率&amp;期货（ln）'!B47:B66)</f>
      </c>
      <c r="C47" s="9">
        <f>_xlfn.STDEV.P('中国汇率&amp;期货（ln）'!C47:C66)</f>
      </c>
      <c r="D47" s="9">
        <f>_xlfn.STDEV.P('中国汇率&amp;期货（ln）'!D47:D66)</f>
      </c>
      <c r="E47" s="9">
        <f>_xlfn.STDEV.P('中国汇率&amp;期货（ln）'!E47:E66)</f>
      </c>
      <c r="F47" s="9">
        <f>_xlfn.STDEV.P('中国汇率&amp;期货（ln）'!F47:F66)</f>
      </c>
      <c r="G47" s="9">
        <f>_xlfn.STDEV.P('中国汇率&amp;期货（ln）'!G47:G66)</f>
      </c>
      <c r="H47" s="9">
        <f>_xlfn.STDEV.P('中国汇率&amp;期货（ln）'!H47:H66)</f>
      </c>
      <c r="I47" s="9">
        <f>_xlfn.STDEV.P('中国汇率&amp;期货（ln）'!I47:I66)</f>
      </c>
      <c r="J47" s="9">
        <f>_xlfn.STDEV.P('中国汇率&amp;期货（ln）'!J47:J66)</f>
      </c>
      <c r="K47" s="9">
        <f>_xlfn.STDEV.P('中国汇率&amp;期货（ln）'!K47:K66)</f>
      </c>
      <c r="L47" s="9">
        <f>_xlfn.STDEV.P('中国汇率&amp;期货（ln）'!L47:L66)</f>
      </c>
      <c r="M47" s="9">
        <f>_xlfn.STDEV.P('中国汇率&amp;期货（ln）'!M47:M66)</f>
      </c>
      <c r="N47" s="9">
        <f>_xlfn.STDEV.P('中国汇率&amp;期货（ln）'!N47:N66)</f>
      </c>
      <c r="O47" s="9">
        <f>_xlfn.STDEV.P('中国汇率&amp;期货（ln）'!O47:O66)</f>
      </c>
      <c r="P47" s="9">
        <f>_xlfn.STDEV.P('中国汇率&amp;期货（ln）'!P47:P66)</f>
      </c>
      <c r="Q47" s="9">
        <f>_xlfn.STDEV.P('中国汇率&amp;期货（ln）'!Q47:Q66)</f>
      </c>
      <c r="R47" s="9">
        <f>_xlfn.STDEV.P('中国汇率&amp;期货（ln）'!R47:R66)</f>
      </c>
      <c r="S47" s="9">
        <f>_xlfn.STDEV.P('中国汇率&amp;期货（ln）'!S47:S66)</f>
      </c>
      <c r="T47" s="9">
        <f>_xlfn.STDEV.P('中国汇率&amp;期货（ln）'!T47:T66)</f>
      </c>
      <c r="U47" s="9">
        <f>_xlfn.STDEV.P('中国汇率&amp;期货（ln）'!U47:U66)</f>
      </c>
      <c r="V47" s="9">
        <f>_xlfn.STDEV.P('中国汇率&amp;期货（ln）'!V47:V66)</f>
      </c>
      <c r="W47" s="9">
        <f>_xlfn.STDEV.P('中国汇率&amp;期货（ln）'!W47:W66)</f>
      </c>
      <c r="X47" s="9">
        <f>_xlfn.STDEV.P('中国汇率&amp;期货（ln）'!X47:X66)</f>
      </c>
      <c r="Y47" s="9">
        <f>_xlfn.STDEV.P('中国汇率&amp;期货（ln）'!Y47:Y66)</f>
      </c>
      <c r="Z47" s="9">
        <f>_xlfn.STDEV.P('中国汇率&amp;期货（ln）'!Z47:Z66)</f>
      </c>
      <c r="AA47" s="9">
        <f>_xlfn.STDEV.P('中国汇率&amp;期货（ln）'!AA47:AA66)</f>
      </c>
      <c r="AB47" s="9">
        <f>_xlfn.STDEV.P('中国汇率&amp;期货（ln）'!AB47:AB66)</f>
      </c>
      <c r="AC47" s="9">
        <f>_xlfn.STDEV.P('中国汇率&amp;期货（ln）'!AC47:AC66)</f>
      </c>
      <c r="AD47" s="9">
        <f>_xlfn.STDEV.P('中国汇率&amp;期货（ln）'!AD47:AD66)</f>
      </c>
      <c r="AE47" s="9">
        <f>_xlfn.STDEV.P('中国汇率&amp;期货（ln）'!AE47:AE66)</f>
      </c>
      <c r="AF47" s="9">
        <f>_xlfn.STDEV.P('中国汇率&amp;期货（ln）'!AF47:AF66)</f>
      </c>
      <c r="AG47" s="9">
        <f>_xlfn.STDEV.P('中国汇率&amp;期货（ln）'!AG47:AG66)</f>
      </c>
      <c r="AH47" s="9">
        <f>_xlfn.STDEV.P('中国汇率&amp;期货（ln）'!AH47:AH66)</f>
      </c>
      <c r="AI47" s="9">
        <f>_xlfn.STDEV.P('中国汇率&amp;期货（ln）'!AI47:AI66)</f>
      </c>
      <c r="AJ47" s="9">
        <f>_xlfn.STDEV.P('中国汇率&amp;期货（ln）'!AJ47:AJ66)</f>
      </c>
      <c r="AK47" s="9">
        <f>_xlfn.STDEV.P('中国汇率&amp;期货（ln）'!AK47:AK66)</f>
      </c>
      <c r="AL47" s="9">
        <f>_xlfn.STDEV.P('中国汇率&amp;期货（ln）'!AL47:AL66)</f>
      </c>
      <c r="AM47" s="9">
        <f>_xlfn.STDEV.P('中国汇率&amp;期货（ln）'!AM47:AM66)</f>
      </c>
      <c r="AN47" s="9">
        <f>_xlfn.STDEV.P('中国汇率&amp;期货（ln）'!AN47:AN66)</f>
      </c>
      <c r="AO47" s="9">
        <f>_xlfn.STDEV.P('中国汇率&amp;期货（ln）'!AO47:AO66)</f>
      </c>
      <c r="AP47" s="9">
        <f>_xlfn.STDEV.P('中国汇率&amp;期货（ln）'!AP47:AP66)</f>
      </c>
      <c r="AQ47" s="9">
        <f>_xlfn.STDEV.P('中国汇率&amp;期货（ln）'!AQ47:AQ66)</f>
      </c>
      <c r="AR47" s="9">
        <f>_xlfn.STDEV.P('中国汇率&amp;期货（ln）'!AR47:AR66)</f>
      </c>
      <c r="AS47" s="9">
        <f>_xlfn.STDEV.P('中国汇率&amp;期货（ln）'!AS47:AS66)</f>
      </c>
      <c r="AT47" s="9">
        <f>_xlfn.STDEV.P('中国汇率&amp;期货（ln）'!AT47:AT66)</f>
      </c>
      <c r="AU47" s="9">
        <f>_xlfn.STDEV.P('中国汇率&amp;期货（ln）'!AU47:AU66)</f>
      </c>
      <c r="AV47" s="9">
        <f>_xlfn.STDEV.P('中国汇率&amp;期货（ln）'!AV47:AV66)</f>
      </c>
      <c r="AW47" s="9">
        <f>_xlfn.STDEV.P('中国汇率&amp;期货（ln）'!AW47:AW66)</f>
      </c>
      <c r="AX47" s="9">
        <f>_xlfn.STDEV.P('中国汇率&amp;期货（ln）'!AX47:AX66)</f>
      </c>
      <c r="AY47" s="9">
        <f>_xlfn.STDEV.P('中国汇率&amp;期货（ln）'!AY47:AY66)</f>
      </c>
      <c r="AZ47" s="9">
        <f>_xlfn.STDEV.P('中国汇率&amp;期货（ln）'!AZ47:AZ66)</f>
      </c>
      <c r="BA47" s="9">
        <f>_xlfn.STDEV.P('中国汇率&amp;期货（ln）'!BA47:BA66)</f>
      </c>
      <c r="BB47" s="9">
        <f>_xlfn.STDEV.P('中国汇率&amp;期货（ln）'!BB47:BB66)</f>
      </c>
      <c r="BC47" s="9">
        <f>_xlfn.STDEV.P('中国汇率&amp;期货（ln）'!BC47:BC66)</f>
      </c>
      <c r="BD47" s="9">
        <f>_xlfn.STDEV.P('中国汇率&amp;期货（ln）'!BD47:BD66)</f>
      </c>
      <c r="BE47" s="9">
        <f>_xlfn.STDEV.P('中国汇率&amp;期货（ln）'!BE47:BE66)</f>
      </c>
    </row>
    <row x14ac:dyDescent="0.25" r="48" customHeight="1" ht="18.75">
      <c r="A48" s="1"/>
      <c r="B48" s="9">
        <f>_xlfn.STDEV.P('中国汇率&amp;期货（ln）'!B48:B67)</f>
      </c>
      <c r="C48" s="9">
        <f>_xlfn.STDEV.P('中国汇率&amp;期货（ln）'!C48:C67)</f>
      </c>
      <c r="D48" s="9">
        <f>_xlfn.STDEV.P('中国汇率&amp;期货（ln）'!D48:D67)</f>
      </c>
      <c r="E48" s="9">
        <f>_xlfn.STDEV.P('中国汇率&amp;期货（ln）'!E48:E67)</f>
      </c>
      <c r="F48" s="9">
        <f>_xlfn.STDEV.P('中国汇率&amp;期货（ln）'!F48:F67)</f>
      </c>
      <c r="G48" s="9">
        <f>_xlfn.STDEV.P('中国汇率&amp;期货（ln）'!G48:G67)</f>
      </c>
      <c r="H48" s="9">
        <f>_xlfn.STDEV.P('中国汇率&amp;期货（ln）'!H48:H67)</f>
      </c>
      <c r="I48" s="9">
        <f>_xlfn.STDEV.P('中国汇率&amp;期货（ln）'!I48:I67)</f>
      </c>
      <c r="J48" s="9">
        <f>_xlfn.STDEV.P('中国汇率&amp;期货（ln）'!J48:J67)</f>
      </c>
      <c r="K48" s="9">
        <f>_xlfn.STDEV.P('中国汇率&amp;期货（ln）'!K48:K67)</f>
      </c>
      <c r="L48" s="9">
        <f>_xlfn.STDEV.P('中国汇率&amp;期货（ln）'!L48:L67)</f>
      </c>
      <c r="M48" s="9">
        <f>_xlfn.STDEV.P('中国汇率&amp;期货（ln）'!M48:M67)</f>
      </c>
      <c r="N48" s="9">
        <f>_xlfn.STDEV.P('中国汇率&amp;期货（ln）'!N48:N67)</f>
      </c>
      <c r="O48" s="9">
        <f>_xlfn.STDEV.P('中国汇率&amp;期货（ln）'!O48:O67)</f>
      </c>
      <c r="P48" s="9">
        <f>_xlfn.STDEV.P('中国汇率&amp;期货（ln）'!P48:P67)</f>
      </c>
      <c r="Q48" s="9">
        <f>_xlfn.STDEV.P('中国汇率&amp;期货（ln）'!Q48:Q67)</f>
      </c>
      <c r="R48" s="9">
        <f>_xlfn.STDEV.P('中国汇率&amp;期货（ln）'!R48:R67)</f>
      </c>
      <c r="S48" s="9">
        <f>_xlfn.STDEV.P('中国汇率&amp;期货（ln）'!S48:S67)</f>
      </c>
      <c r="T48" s="9">
        <f>_xlfn.STDEV.P('中国汇率&amp;期货（ln）'!T48:T67)</f>
      </c>
      <c r="U48" s="9">
        <f>_xlfn.STDEV.P('中国汇率&amp;期货（ln）'!U48:U67)</f>
      </c>
      <c r="V48" s="9">
        <f>_xlfn.STDEV.P('中国汇率&amp;期货（ln）'!V48:V67)</f>
      </c>
      <c r="W48" s="9">
        <f>_xlfn.STDEV.P('中国汇率&amp;期货（ln）'!W48:W67)</f>
      </c>
      <c r="X48" s="9">
        <f>_xlfn.STDEV.P('中国汇率&amp;期货（ln）'!X48:X67)</f>
      </c>
      <c r="Y48" s="9">
        <f>_xlfn.STDEV.P('中国汇率&amp;期货（ln）'!Y48:Y67)</f>
      </c>
      <c r="Z48" s="9">
        <f>_xlfn.STDEV.P('中国汇率&amp;期货（ln）'!Z48:Z67)</f>
      </c>
      <c r="AA48" s="9">
        <f>_xlfn.STDEV.P('中国汇率&amp;期货（ln）'!AA48:AA67)</f>
      </c>
      <c r="AB48" s="9">
        <f>_xlfn.STDEV.P('中国汇率&amp;期货（ln）'!AB48:AB67)</f>
      </c>
      <c r="AC48" s="9">
        <f>_xlfn.STDEV.P('中国汇率&amp;期货（ln）'!AC48:AC67)</f>
      </c>
      <c r="AD48" s="9">
        <f>_xlfn.STDEV.P('中国汇率&amp;期货（ln）'!AD48:AD67)</f>
      </c>
      <c r="AE48" s="9">
        <f>_xlfn.STDEV.P('中国汇率&amp;期货（ln）'!AE48:AE67)</f>
      </c>
      <c r="AF48" s="9">
        <f>_xlfn.STDEV.P('中国汇率&amp;期货（ln）'!AF48:AF67)</f>
      </c>
      <c r="AG48" s="9">
        <f>_xlfn.STDEV.P('中国汇率&amp;期货（ln）'!AG48:AG67)</f>
      </c>
      <c r="AH48" s="9">
        <f>_xlfn.STDEV.P('中国汇率&amp;期货（ln）'!AH48:AH67)</f>
      </c>
      <c r="AI48" s="9">
        <f>_xlfn.STDEV.P('中国汇率&amp;期货（ln）'!AI48:AI67)</f>
      </c>
      <c r="AJ48" s="9">
        <f>_xlfn.STDEV.P('中国汇率&amp;期货（ln）'!AJ48:AJ67)</f>
      </c>
      <c r="AK48" s="9">
        <f>_xlfn.STDEV.P('中国汇率&amp;期货（ln）'!AK48:AK67)</f>
      </c>
      <c r="AL48" s="9">
        <f>_xlfn.STDEV.P('中国汇率&amp;期货（ln）'!AL48:AL67)</f>
      </c>
      <c r="AM48" s="9">
        <f>_xlfn.STDEV.P('中国汇率&amp;期货（ln）'!AM48:AM67)</f>
      </c>
      <c r="AN48" s="9">
        <f>_xlfn.STDEV.P('中国汇率&amp;期货（ln）'!AN48:AN67)</f>
      </c>
      <c r="AO48" s="9">
        <f>_xlfn.STDEV.P('中国汇率&amp;期货（ln）'!AO48:AO67)</f>
      </c>
      <c r="AP48" s="9">
        <f>_xlfn.STDEV.P('中国汇率&amp;期货（ln）'!AP48:AP67)</f>
      </c>
      <c r="AQ48" s="9">
        <f>_xlfn.STDEV.P('中国汇率&amp;期货（ln）'!AQ48:AQ67)</f>
      </c>
      <c r="AR48" s="9">
        <f>_xlfn.STDEV.P('中国汇率&amp;期货（ln）'!AR48:AR67)</f>
      </c>
      <c r="AS48" s="9">
        <f>_xlfn.STDEV.P('中国汇率&amp;期货（ln）'!AS48:AS67)</f>
      </c>
      <c r="AT48" s="9">
        <f>_xlfn.STDEV.P('中国汇率&amp;期货（ln）'!AT48:AT67)</f>
      </c>
      <c r="AU48" s="9">
        <f>_xlfn.STDEV.P('中国汇率&amp;期货（ln）'!AU48:AU67)</f>
      </c>
      <c r="AV48" s="9">
        <f>_xlfn.STDEV.P('中国汇率&amp;期货（ln）'!AV48:AV67)</f>
      </c>
      <c r="AW48" s="9">
        <f>_xlfn.STDEV.P('中国汇率&amp;期货（ln）'!AW48:AW67)</f>
      </c>
      <c r="AX48" s="9">
        <f>_xlfn.STDEV.P('中国汇率&amp;期货（ln）'!AX48:AX67)</f>
      </c>
      <c r="AY48" s="9">
        <f>_xlfn.STDEV.P('中国汇率&amp;期货（ln）'!AY48:AY67)</f>
      </c>
      <c r="AZ48" s="9">
        <f>_xlfn.STDEV.P('中国汇率&amp;期货（ln）'!AZ48:AZ67)</f>
      </c>
      <c r="BA48" s="9">
        <f>_xlfn.STDEV.P('中国汇率&amp;期货（ln）'!BA48:BA67)</f>
      </c>
      <c r="BB48" s="9">
        <f>_xlfn.STDEV.P('中国汇率&amp;期货（ln）'!BB48:BB67)</f>
      </c>
      <c r="BC48" s="9">
        <f>_xlfn.STDEV.P('中国汇率&amp;期货（ln）'!BC48:BC67)</f>
      </c>
      <c r="BD48" s="9">
        <f>_xlfn.STDEV.P('中国汇率&amp;期货（ln）'!BD48:BD67)</f>
      </c>
      <c r="BE48" s="9">
        <f>_xlfn.STDEV.P('中国汇率&amp;期货（ln）'!BE48:BE67)</f>
      </c>
    </row>
    <row x14ac:dyDescent="0.25" r="49" customHeight="1" ht="18.75">
      <c r="A49" s="1"/>
      <c r="B49" s="9">
        <f>_xlfn.STDEV.P('中国汇率&amp;期货（ln）'!B49:B68)</f>
      </c>
      <c r="C49" s="9">
        <f>_xlfn.STDEV.P('中国汇率&amp;期货（ln）'!C49:C68)</f>
      </c>
      <c r="D49" s="9">
        <f>_xlfn.STDEV.P('中国汇率&amp;期货（ln）'!D49:D68)</f>
      </c>
      <c r="E49" s="9">
        <f>_xlfn.STDEV.P('中国汇率&amp;期货（ln）'!E49:E68)</f>
      </c>
      <c r="F49" s="9">
        <f>_xlfn.STDEV.P('中国汇率&amp;期货（ln）'!F49:F68)</f>
      </c>
      <c r="G49" s="9">
        <f>_xlfn.STDEV.P('中国汇率&amp;期货（ln）'!G49:G68)</f>
      </c>
      <c r="H49" s="9">
        <f>_xlfn.STDEV.P('中国汇率&amp;期货（ln）'!H49:H68)</f>
      </c>
      <c r="I49" s="9">
        <f>_xlfn.STDEV.P('中国汇率&amp;期货（ln）'!I49:I68)</f>
      </c>
      <c r="J49" s="9">
        <f>_xlfn.STDEV.P('中国汇率&amp;期货（ln）'!J49:J68)</f>
      </c>
      <c r="K49" s="9">
        <f>_xlfn.STDEV.P('中国汇率&amp;期货（ln）'!K49:K68)</f>
      </c>
      <c r="L49" s="9">
        <f>_xlfn.STDEV.P('中国汇率&amp;期货（ln）'!L49:L68)</f>
      </c>
      <c r="M49" s="9">
        <f>_xlfn.STDEV.P('中国汇率&amp;期货（ln）'!M49:M68)</f>
      </c>
      <c r="N49" s="9">
        <f>_xlfn.STDEV.P('中国汇率&amp;期货（ln）'!N49:N68)</f>
      </c>
      <c r="O49" s="9">
        <f>_xlfn.STDEV.P('中国汇率&amp;期货（ln）'!O49:O68)</f>
      </c>
      <c r="P49" s="9">
        <f>_xlfn.STDEV.P('中国汇率&amp;期货（ln）'!P49:P68)</f>
      </c>
      <c r="Q49" s="9">
        <f>_xlfn.STDEV.P('中国汇率&amp;期货（ln）'!Q49:Q68)</f>
      </c>
      <c r="R49" s="9">
        <f>_xlfn.STDEV.P('中国汇率&amp;期货（ln）'!R49:R68)</f>
      </c>
      <c r="S49" s="9">
        <f>_xlfn.STDEV.P('中国汇率&amp;期货（ln）'!S49:S68)</f>
      </c>
      <c r="T49" s="9">
        <f>_xlfn.STDEV.P('中国汇率&amp;期货（ln）'!T49:T68)</f>
      </c>
      <c r="U49" s="9">
        <f>_xlfn.STDEV.P('中国汇率&amp;期货（ln）'!U49:U68)</f>
      </c>
      <c r="V49" s="9">
        <f>_xlfn.STDEV.P('中国汇率&amp;期货（ln）'!V49:V68)</f>
      </c>
      <c r="W49" s="9">
        <f>_xlfn.STDEV.P('中国汇率&amp;期货（ln）'!W49:W68)</f>
      </c>
      <c r="X49" s="9">
        <f>_xlfn.STDEV.P('中国汇率&amp;期货（ln）'!X49:X68)</f>
      </c>
      <c r="Y49" s="9">
        <f>_xlfn.STDEV.P('中国汇率&amp;期货（ln）'!Y49:Y68)</f>
      </c>
      <c r="Z49" s="9">
        <f>_xlfn.STDEV.P('中国汇率&amp;期货（ln）'!Z49:Z68)</f>
      </c>
      <c r="AA49" s="9">
        <f>_xlfn.STDEV.P('中国汇率&amp;期货（ln）'!AA49:AA68)</f>
      </c>
      <c r="AB49" s="9">
        <f>_xlfn.STDEV.P('中国汇率&amp;期货（ln）'!AB49:AB68)</f>
      </c>
      <c r="AC49" s="9">
        <f>_xlfn.STDEV.P('中国汇率&amp;期货（ln）'!AC49:AC68)</f>
      </c>
      <c r="AD49" s="9">
        <f>_xlfn.STDEV.P('中国汇率&amp;期货（ln）'!AD49:AD68)</f>
      </c>
      <c r="AE49" s="9">
        <f>_xlfn.STDEV.P('中国汇率&amp;期货（ln）'!AE49:AE68)</f>
      </c>
      <c r="AF49" s="9">
        <f>_xlfn.STDEV.P('中国汇率&amp;期货（ln）'!AF49:AF68)</f>
      </c>
      <c r="AG49" s="9">
        <f>_xlfn.STDEV.P('中国汇率&amp;期货（ln）'!AG49:AG68)</f>
      </c>
      <c r="AH49" s="9">
        <f>_xlfn.STDEV.P('中国汇率&amp;期货（ln）'!AH49:AH68)</f>
      </c>
      <c r="AI49" s="9">
        <f>_xlfn.STDEV.P('中国汇率&amp;期货（ln）'!AI49:AI68)</f>
      </c>
      <c r="AJ49" s="9">
        <f>_xlfn.STDEV.P('中国汇率&amp;期货（ln）'!AJ49:AJ68)</f>
      </c>
      <c r="AK49" s="9">
        <f>_xlfn.STDEV.P('中国汇率&amp;期货（ln）'!AK49:AK68)</f>
      </c>
      <c r="AL49" s="9">
        <f>_xlfn.STDEV.P('中国汇率&amp;期货（ln）'!AL49:AL68)</f>
      </c>
      <c r="AM49" s="9">
        <f>_xlfn.STDEV.P('中国汇率&amp;期货（ln）'!AM49:AM68)</f>
      </c>
      <c r="AN49" s="9">
        <f>_xlfn.STDEV.P('中国汇率&amp;期货（ln）'!AN49:AN68)</f>
      </c>
      <c r="AO49" s="9">
        <f>_xlfn.STDEV.P('中国汇率&amp;期货（ln）'!AO49:AO68)</f>
      </c>
      <c r="AP49" s="9">
        <f>_xlfn.STDEV.P('中国汇率&amp;期货（ln）'!AP49:AP68)</f>
      </c>
      <c r="AQ49" s="9">
        <f>_xlfn.STDEV.P('中国汇率&amp;期货（ln）'!AQ49:AQ68)</f>
      </c>
      <c r="AR49" s="9">
        <f>_xlfn.STDEV.P('中国汇率&amp;期货（ln）'!AR49:AR68)</f>
      </c>
      <c r="AS49" s="9">
        <f>_xlfn.STDEV.P('中国汇率&amp;期货（ln）'!AS49:AS68)</f>
      </c>
      <c r="AT49" s="9">
        <f>_xlfn.STDEV.P('中国汇率&amp;期货（ln）'!AT49:AT68)</f>
      </c>
      <c r="AU49" s="9">
        <f>_xlfn.STDEV.P('中国汇率&amp;期货（ln）'!AU49:AU68)</f>
      </c>
      <c r="AV49" s="9">
        <f>_xlfn.STDEV.P('中国汇率&amp;期货（ln）'!AV49:AV68)</f>
      </c>
      <c r="AW49" s="9">
        <f>_xlfn.STDEV.P('中国汇率&amp;期货（ln）'!AW49:AW68)</f>
      </c>
      <c r="AX49" s="9">
        <f>_xlfn.STDEV.P('中国汇率&amp;期货（ln）'!AX49:AX68)</f>
      </c>
      <c r="AY49" s="9">
        <f>_xlfn.STDEV.P('中国汇率&amp;期货（ln）'!AY49:AY68)</f>
      </c>
      <c r="AZ49" s="9">
        <f>_xlfn.STDEV.P('中国汇率&amp;期货（ln）'!AZ49:AZ68)</f>
      </c>
      <c r="BA49" s="9">
        <f>_xlfn.STDEV.P('中国汇率&amp;期货（ln）'!BA49:BA68)</f>
      </c>
      <c r="BB49" s="9">
        <f>_xlfn.STDEV.P('中国汇率&amp;期货（ln）'!BB49:BB68)</f>
      </c>
      <c r="BC49" s="9">
        <f>_xlfn.STDEV.P('中国汇率&amp;期货（ln）'!BC49:BC68)</f>
      </c>
      <c r="BD49" s="9">
        <f>_xlfn.STDEV.P('中国汇率&amp;期货（ln）'!BD49:BD68)</f>
      </c>
      <c r="BE49" s="9">
        <f>_xlfn.STDEV.P('中国汇率&amp;期货（ln）'!BE49:BE68)</f>
      </c>
    </row>
    <row x14ac:dyDescent="0.25" r="50" customHeight="1" ht="18.75">
      <c r="A50" s="1"/>
      <c r="B50" s="9">
        <f>_xlfn.STDEV.P('中国汇率&amp;期货（ln）'!B50:B69)</f>
      </c>
      <c r="C50" s="9">
        <f>_xlfn.STDEV.P('中国汇率&amp;期货（ln）'!C50:C69)</f>
      </c>
      <c r="D50" s="9">
        <f>_xlfn.STDEV.P('中国汇率&amp;期货（ln）'!D50:D69)</f>
      </c>
      <c r="E50" s="9">
        <f>_xlfn.STDEV.P('中国汇率&amp;期货（ln）'!E50:E69)</f>
      </c>
      <c r="F50" s="9">
        <f>_xlfn.STDEV.P('中国汇率&amp;期货（ln）'!F50:F69)</f>
      </c>
      <c r="G50" s="9">
        <f>_xlfn.STDEV.P('中国汇率&amp;期货（ln）'!G50:G69)</f>
      </c>
      <c r="H50" s="9">
        <f>_xlfn.STDEV.P('中国汇率&amp;期货（ln）'!H50:H69)</f>
      </c>
      <c r="I50" s="9">
        <f>_xlfn.STDEV.P('中国汇率&amp;期货（ln）'!I50:I69)</f>
      </c>
      <c r="J50" s="9">
        <f>_xlfn.STDEV.P('中国汇率&amp;期货（ln）'!J50:J69)</f>
      </c>
      <c r="K50" s="9">
        <f>_xlfn.STDEV.P('中国汇率&amp;期货（ln）'!K50:K69)</f>
      </c>
      <c r="L50" s="9">
        <f>_xlfn.STDEV.P('中国汇率&amp;期货（ln）'!L50:L69)</f>
      </c>
      <c r="M50" s="9">
        <f>_xlfn.STDEV.P('中国汇率&amp;期货（ln）'!M50:M69)</f>
      </c>
      <c r="N50" s="9">
        <f>_xlfn.STDEV.P('中国汇率&amp;期货（ln）'!N50:N69)</f>
      </c>
      <c r="O50" s="9">
        <f>_xlfn.STDEV.P('中国汇率&amp;期货（ln）'!O50:O69)</f>
      </c>
      <c r="P50" s="9">
        <f>_xlfn.STDEV.P('中国汇率&amp;期货（ln）'!P50:P69)</f>
      </c>
      <c r="Q50" s="9">
        <f>_xlfn.STDEV.P('中国汇率&amp;期货（ln）'!Q50:Q69)</f>
      </c>
      <c r="R50" s="9">
        <f>_xlfn.STDEV.P('中国汇率&amp;期货（ln）'!R50:R69)</f>
      </c>
      <c r="S50" s="9">
        <f>_xlfn.STDEV.P('中国汇率&amp;期货（ln）'!S50:S69)</f>
      </c>
      <c r="T50" s="9">
        <f>_xlfn.STDEV.P('中国汇率&amp;期货（ln）'!T50:T69)</f>
      </c>
      <c r="U50" s="9">
        <f>_xlfn.STDEV.P('中国汇率&amp;期货（ln）'!U50:U69)</f>
      </c>
      <c r="V50" s="9">
        <f>_xlfn.STDEV.P('中国汇率&amp;期货（ln）'!V50:V69)</f>
      </c>
      <c r="W50" s="9">
        <f>_xlfn.STDEV.P('中国汇率&amp;期货（ln）'!W50:W69)</f>
      </c>
      <c r="X50" s="9">
        <f>_xlfn.STDEV.P('中国汇率&amp;期货（ln）'!X50:X69)</f>
      </c>
      <c r="Y50" s="9">
        <f>_xlfn.STDEV.P('中国汇率&amp;期货（ln）'!Y50:Y69)</f>
      </c>
      <c r="Z50" s="9">
        <f>_xlfn.STDEV.P('中国汇率&amp;期货（ln）'!Z50:Z69)</f>
      </c>
      <c r="AA50" s="9">
        <f>_xlfn.STDEV.P('中国汇率&amp;期货（ln）'!AA50:AA69)</f>
      </c>
      <c r="AB50" s="9">
        <f>_xlfn.STDEV.P('中国汇率&amp;期货（ln）'!AB50:AB69)</f>
      </c>
      <c r="AC50" s="9">
        <f>_xlfn.STDEV.P('中国汇率&amp;期货（ln）'!AC50:AC69)</f>
      </c>
      <c r="AD50" s="9">
        <f>_xlfn.STDEV.P('中国汇率&amp;期货（ln）'!AD50:AD69)</f>
      </c>
      <c r="AE50" s="9">
        <f>_xlfn.STDEV.P('中国汇率&amp;期货（ln）'!AE50:AE69)</f>
      </c>
      <c r="AF50" s="9">
        <f>_xlfn.STDEV.P('中国汇率&amp;期货（ln）'!AF50:AF69)</f>
      </c>
      <c r="AG50" s="9">
        <f>_xlfn.STDEV.P('中国汇率&amp;期货（ln）'!AG50:AG69)</f>
      </c>
      <c r="AH50" s="9">
        <f>_xlfn.STDEV.P('中国汇率&amp;期货（ln）'!AH50:AH69)</f>
      </c>
      <c r="AI50" s="9">
        <f>_xlfn.STDEV.P('中国汇率&amp;期货（ln）'!AI50:AI69)</f>
      </c>
      <c r="AJ50" s="9">
        <f>_xlfn.STDEV.P('中国汇率&amp;期货（ln）'!AJ50:AJ69)</f>
      </c>
      <c r="AK50" s="9">
        <f>_xlfn.STDEV.P('中国汇率&amp;期货（ln）'!AK50:AK69)</f>
      </c>
      <c r="AL50" s="9">
        <f>_xlfn.STDEV.P('中国汇率&amp;期货（ln）'!AL50:AL69)</f>
      </c>
      <c r="AM50" s="9">
        <f>_xlfn.STDEV.P('中国汇率&amp;期货（ln）'!AM50:AM69)</f>
      </c>
      <c r="AN50" s="9">
        <f>_xlfn.STDEV.P('中国汇率&amp;期货（ln）'!AN50:AN69)</f>
      </c>
      <c r="AO50" s="9">
        <f>_xlfn.STDEV.P('中国汇率&amp;期货（ln）'!AO50:AO69)</f>
      </c>
      <c r="AP50" s="9">
        <f>_xlfn.STDEV.P('中国汇率&amp;期货（ln）'!AP50:AP69)</f>
      </c>
      <c r="AQ50" s="9">
        <f>_xlfn.STDEV.P('中国汇率&amp;期货（ln）'!AQ50:AQ69)</f>
      </c>
      <c r="AR50" s="9">
        <f>_xlfn.STDEV.P('中国汇率&amp;期货（ln）'!AR50:AR69)</f>
      </c>
      <c r="AS50" s="9">
        <f>_xlfn.STDEV.P('中国汇率&amp;期货（ln）'!AS50:AS69)</f>
      </c>
      <c r="AT50" s="9">
        <f>_xlfn.STDEV.P('中国汇率&amp;期货（ln）'!AT50:AT69)</f>
      </c>
      <c r="AU50" s="9">
        <f>_xlfn.STDEV.P('中国汇率&amp;期货（ln）'!AU50:AU69)</f>
      </c>
      <c r="AV50" s="9">
        <f>_xlfn.STDEV.P('中国汇率&amp;期货（ln）'!AV50:AV69)</f>
      </c>
      <c r="AW50" s="9">
        <f>_xlfn.STDEV.P('中国汇率&amp;期货（ln）'!AW50:AW69)</f>
      </c>
      <c r="AX50" s="9">
        <f>_xlfn.STDEV.P('中国汇率&amp;期货（ln）'!AX50:AX69)</f>
      </c>
      <c r="AY50" s="9">
        <f>_xlfn.STDEV.P('中国汇率&amp;期货（ln）'!AY50:AY69)</f>
      </c>
      <c r="AZ50" s="9">
        <f>_xlfn.STDEV.P('中国汇率&amp;期货（ln）'!AZ50:AZ69)</f>
      </c>
      <c r="BA50" s="9">
        <f>_xlfn.STDEV.P('中国汇率&amp;期货（ln）'!BA50:BA69)</f>
      </c>
      <c r="BB50" s="9">
        <f>_xlfn.STDEV.P('中国汇率&amp;期货（ln）'!BB50:BB69)</f>
      </c>
      <c r="BC50" s="9">
        <f>_xlfn.STDEV.P('中国汇率&amp;期货（ln）'!BC50:BC69)</f>
      </c>
      <c r="BD50" s="9">
        <f>_xlfn.STDEV.P('中国汇率&amp;期货（ln）'!BD50:BD69)</f>
      </c>
      <c r="BE50" s="9">
        <f>_xlfn.STDEV.P('中国汇率&amp;期货（ln）'!BE50:BE69)</f>
      </c>
    </row>
    <row x14ac:dyDescent="0.25" r="51" customHeight="1" ht="18.75">
      <c r="A51" s="1"/>
      <c r="B51" s="9">
        <f>_xlfn.STDEV.P('中国汇率&amp;期货（ln）'!B51:B70)</f>
      </c>
      <c r="C51" s="9">
        <f>_xlfn.STDEV.P('中国汇率&amp;期货（ln）'!C51:C70)</f>
      </c>
      <c r="D51" s="9">
        <f>_xlfn.STDEV.P('中国汇率&amp;期货（ln）'!D51:D70)</f>
      </c>
      <c r="E51" s="9">
        <f>_xlfn.STDEV.P('中国汇率&amp;期货（ln）'!E51:E70)</f>
      </c>
      <c r="F51" s="9">
        <f>_xlfn.STDEV.P('中国汇率&amp;期货（ln）'!F51:F70)</f>
      </c>
      <c r="G51" s="9">
        <f>_xlfn.STDEV.P('中国汇率&amp;期货（ln）'!G51:G70)</f>
      </c>
      <c r="H51" s="9">
        <f>_xlfn.STDEV.P('中国汇率&amp;期货（ln）'!H51:H70)</f>
      </c>
      <c r="I51" s="9">
        <f>_xlfn.STDEV.P('中国汇率&amp;期货（ln）'!I51:I70)</f>
      </c>
      <c r="J51" s="9">
        <f>_xlfn.STDEV.P('中国汇率&amp;期货（ln）'!J51:J70)</f>
      </c>
      <c r="K51" s="9">
        <f>_xlfn.STDEV.P('中国汇率&amp;期货（ln）'!K51:K70)</f>
      </c>
      <c r="L51" s="9">
        <f>_xlfn.STDEV.P('中国汇率&amp;期货（ln）'!L51:L70)</f>
      </c>
      <c r="M51" s="9">
        <f>_xlfn.STDEV.P('中国汇率&amp;期货（ln）'!M51:M70)</f>
      </c>
      <c r="N51" s="9">
        <f>_xlfn.STDEV.P('中国汇率&amp;期货（ln）'!N51:N70)</f>
      </c>
      <c r="O51" s="9">
        <f>_xlfn.STDEV.P('中国汇率&amp;期货（ln）'!O51:O70)</f>
      </c>
      <c r="P51" s="9">
        <f>_xlfn.STDEV.P('中国汇率&amp;期货（ln）'!P51:P70)</f>
      </c>
      <c r="Q51" s="9">
        <f>_xlfn.STDEV.P('中国汇率&amp;期货（ln）'!Q51:Q70)</f>
      </c>
      <c r="R51" s="9">
        <f>_xlfn.STDEV.P('中国汇率&amp;期货（ln）'!R51:R70)</f>
      </c>
      <c r="S51" s="9">
        <f>_xlfn.STDEV.P('中国汇率&amp;期货（ln）'!S51:S70)</f>
      </c>
      <c r="T51" s="9">
        <f>_xlfn.STDEV.P('中国汇率&amp;期货（ln）'!T51:T70)</f>
      </c>
      <c r="U51" s="9">
        <f>_xlfn.STDEV.P('中国汇率&amp;期货（ln）'!U51:U70)</f>
      </c>
      <c r="V51" s="9">
        <f>_xlfn.STDEV.P('中国汇率&amp;期货（ln）'!V51:V70)</f>
      </c>
      <c r="W51" s="9">
        <f>_xlfn.STDEV.P('中国汇率&amp;期货（ln）'!W51:W70)</f>
      </c>
      <c r="X51" s="9">
        <f>_xlfn.STDEV.P('中国汇率&amp;期货（ln）'!X51:X70)</f>
      </c>
      <c r="Y51" s="9">
        <f>_xlfn.STDEV.P('中国汇率&amp;期货（ln）'!Y51:Y70)</f>
      </c>
      <c r="Z51" s="9">
        <f>_xlfn.STDEV.P('中国汇率&amp;期货（ln）'!Z51:Z70)</f>
      </c>
      <c r="AA51" s="9">
        <f>_xlfn.STDEV.P('中国汇率&amp;期货（ln）'!AA51:AA70)</f>
      </c>
      <c r="AB51" s="9">
        <f>_xlfn.STDEV.P('中国汇率&amp;期货（ln）'!AB51:AB70)</f>
      </c>
      <c r="AC51" s="9">
        <f>_xlfn.STDEV.P('中国汇率&amp;期货（ln）'!AC51:AC70)</f>
      </c>
      <c r="AD51" s="9">
        <f>_xlfn.STDEV.P('中国汇率&amp;期货（ln）'!AD51:AD70)</f>
      </c>
      <c r="AE51" s="9">
        <f>_xlfn.STDEV.P('中国汇率&amp;期货（ln）'!AE51:AE70)</f>
      </c>
      <c r="AF51" s="9">
        <f>_xlfn.STDEV.P('中国汇率&amp;期货（ln）'!AF51:AF70)</f>
      </c>
      <c r="AG51" s="9">
        <f>_xlfn.STDEV.P('中国汇率&amp;期货（ln）'!AG51:AG70)</f>
      </c>
      <c r="AH51" s="9">
        <f>_xlfn.STDEV.P('中国汇率&amp;期货（ln）'!AH51:AH70)</f>
      </c>
      <c r="AI51" s="9">
        <f>_xlfn.STDEV.P('中国汇率&amp;期货（ln）'!AI51:AI70)</f>
      </c>
      <c r="AJ51" s="9">
        <f>_xlfn.STDEV.P('中国汇率&amp;期货（ln）'!AJ51:AJ70)</f>
      </c>
      <c r="AK51" s="9">
        <f>_xlfn.STDEV.P('中国汇率&amp;期货（ln）'!AK51:AK70)</f>
      </c>
      <c r="AL51" s="9">
        <f>_xlfn.STDEV.P('中国汇率&amp;期货（ln）'!AL51:AL70)</f>
      </c>
      <c r="AM51" s="9">
        <f>_xlfn.STDEV.P('中国汇率&amp;期货（ln）'!AM51:AM70)</f>
      </c>
      <c r="AN51" s="9">
        <f>_xlfn.STDEV.P('中国汇率&amp;期货（ln）'!AN51:AN70)</f>
      </c>
      <c r="AO51" s="9">
        <f>_xlfn.STDEV.P('中国汇率&amp;期货（ln）'!AO51:AO70)</f>
      </c>
      <c r="AP51" s="9">
        <f>_xlfn.STDEV.P('中国汇率&amp;期货（ln）'!AP51:AP70)</f>
      </c>
      <c r="AQ51" s="9">
        <f>_xlfn.STDEV.P('中国汇率&amp;期货（ln）'!AQ51:AQ70)</f>
      </c>
      <c r="AR51" s="9">
        <f>_xlfn.STDEV.P('中国汇率&amp;期货（ln）'!AR51:AR70)</f>
      </c>
      <c r="AS51" s="9">
        <f>_xlfn.STDEV.P('中国汇率&amp;期货（ln）'!AS51:AS70)</f>
      </c>
      <c r="AT51" s="9">
        <f>_xlfn.STDEV.P('中国汇率&amp;期货（ln）'!AT51:AT70)</f>
      </c>
      <c r="AU51" s="9">
        <f>_xlfn.STDEV.P('中国汇率&amp;期货（ln）'!AU51:AU70)</f>
      </c>
      <c r="AV51" s="9">
        <f>_xlfn.STDEV.P('中国汇率&amp;期货（ln）'!AV51:AV70)</f>
      </c>
      <c r="AW51" s="9">
        <f>_xlfn.STDEV.P('中国汇率&amp;期货（ln）'!AW51:AW70)</f>
      </c>
      <c r="AX51" s="9">
        <f>_xlfn.STDEV.P('中国汇率&amp;期货（ln）'!AX51:AX70)</f>
      </c>
      <c r="AY51" s="9">
        <f>_xlfn.STDEV.P('中国汇率&amp;期货（ln）'!AY51:AY70)</f>
      </c>
      <c r="AZ51" s="9">
        <f>_xlfn.STDEV.P('中国汇率&amp;期货（ln）'!AZ51:AZ70)</f>
      </c>
      <c r="BA51" s="9">
        <f>_xlfn.STDEV.P('中国汇率&amp;期货（ln）'!BA51:BA70)</f>
      </c>
      <c r="BB51" s="9">
        <f>_xlfn.STDEV.P('中国汇率&amp;期货（ln）'!BB51:BB70)</f>
      </c>
      <c r="BC51" s="9">
        <f>_xlfn.STDEV.P('中国汇率&amp;期货（ln）'!BC51:BC70)</f>
      </c>
      <c r="BD51" s="9">
        <f>_xlfn.STDEV.P('中国汇率&amp;期货（ln）'!BD51:BD70)</f>
      </c>
      <c r="BE51" s="9">
        <f>_xlfn.STDEV.P('中国汇率&amp;期货（ln）'!BE51:BE70)</f>
      </c>
    </row>
    <row x14ac:dyDescent="0.25" r="52" customHeight="1" ht="18.75">
      <c r="A52" s="1"/>
      <c r="B52" s="9">
        <f>_xlfn.STDEV.P('中国汇率&amp;期货（ln）'!B52:B71)</f>
      </c>
      <c r="C52" s="9">
        <f>_xlfn.STDEV.P('中国汇率&amp;期货（ln）'!C52:C71)</f>
      </c>
      <c r="D52" s="9">
        <f>_xlfn.STDEV.P('中国汇率&amp;期货（ln）'!D52:D71)</f>
      </c>
      <c r="E52" s="9">
        <f>_xlfn.STDEV.P('中国汇率&amp;期货（ln）'!E52:E71)</f>
      </c>
      <c r="F52" s="9">
        <f>_xlfn.STDEV.P('中国汇率&amp;期货（ln）'!F52:F71)</f>
      </c>
      <c r="G52" s="9">
        <f>_xlfn.STDEV.P('中国汇率&amp;期货（ln）'!G52:G71)</f>
      </c>
      <c r="H52" s="9">
        <f>_xlfn.STDEV.P('中国汇率&amp;期货（ln）'!H52:H71)</f>
      </c>
      <c r="I52" s="9">
        <f>_xlfn.STDEV.P('中国汇率&amp;期货（ln）'!I52:I71)</f>
      </c>
      <c r="J52" s="9">
        <f>_xlfn.STDEV.P('中国汇率&amp;期货（ln）'!J52:J71)</f>
      </c>
      <c r="K52" s="9">
        <f>_xlfn.STDEV.P('中国汇率&amp;期货（ln）'!K52:K71)</f>
      </c>
      <c r="L52" s="9">
        <f>_xlfn.STDEV.P('中国汇率&amp;期货（ln）'!L52:L71)</f>
      </c>
      <c r="M52" s="9">
        <f>_xlfn.STDEV.P('中国汇率&amp;期货（ln）'!M52:M71)</f>
      </c>
      <c r="N52" s="9">
        <f>_xlfn.STDEV.P('中国汇率&amp;期货（ln）'!N52:N71)</f>
      </c>
      <c r="O52" s="9">
        <f>_xlfn.STDEV.P('中国汇率&amp;期货（ln）'!O52:O71)</f>
      </c>
      <c r="P52" s="9">
        <f>_xlfn.STDEV.P('中国汇率&amp;期货（ln）'!P52:P71)</f>
      </c>
      <c r="Q52" s="9">
        <f>_xlfn.STDEV.P('中国汇率&amp;期货（ln）'!Q52:Q71)</f>
      </c>
      <c r="R52" s="9">
        <f>_xlfn.STDEV.P('中国汇率&amp;期货（ln）'!R52:R71)</f>
      </c>
      <c r="S52" s="9">
        <f>_xlfn.STDEV.P('中国汇率&amp;期货（ln）'!S52:S71)</f>
      </c>
      <c r="T52" s="9">
        <f>_xlfn.STDEV.P('中国汇率&amp;期货（ln）'!T52:T71)</f>
      </c>
      <c r="U52" s="9">
        <f>_xlfn.STDEV.P('中国汇率&amp;期货（ln）'!U52:U71)</f>
      </c>
      <c r="V52" s="9">
        <f>_xlfn.STDEV.P('中国汇率&amp;期货（ln）'!V52:V71)</f>
      </c>
      <c r="W52" s="9">
        <f>_xlfn.STDEV.P('中国汇率&amp;期货（ln）'!W52:W71)</f>
      </c>
      <c r="X52" s="9">
        <f>_xlfn.STDEV.P('中国汇率&amp;期货（ln）'!X52:X71)</f>
      </c>
      <c r="Y52" s="9">
        <f>_xlfn.STDEV.P('中国汇率&amp;期货（ln）'!Y52:Y71)</f>
      </c>
      <c r="Z52" s="9">
        <f>_xlfn.STDEV.P('中国汇率&amp;期货（ln）'!Z52:Z71)</f>
      </c>
      <c r="AA52" s="9">
        <f>_xlfn.STDEV.P('中国汇率&amp;期货（ln）'!AA52:AA71)</f>
      </c>
      <c r="AB52" s="9">
        <f>_xlfn.STDEV.P('中国汇率&amp;期货（ln）'!AB52:AB71)</f>
      </c>
      <c r="AC52" s="9">
        <f>_xlfn.STDEV.P('中国汇率&amp;期货（ln）'!AC52:AC71)</f>
      </c>
      <c r="AD52" s="9">
        <f>_xlfn.STDEV.P('中国汇率&amp;期货（ln）'!AD52:AD71)</f>
      </c>
      <c r="AE52" s="9">
        <f>_xlfn.STDEV.P('中国汇率&amp;期货（ln）'!AE52:AE71)</f>
      </c>
      <c r="AF52" s="9">
        <f>_xlfn.STDEV.P('中国汇率&amp;期货（ln）'!AF52:AF71)</f>
      </c>
      <c r="AG52" s="9">
        <f>_xlfn.STDEV.P('中国汇率&amp;期货（ln）'!AG52:AG71)</f>
      </c>
      <c r="AH52" s="9">
        <f>_xlfn.STDEV.P('中国汇率&amp;期货（ln）'!AH52:AH71)</f>
      </c>
      <c r="AI52" s="9">
        <f>_xlfn.STDEV.P('中国汇率&amp;期货（ln）'!AI52:AI71)</f>
      </c>
      <c r="AJ52" s="9">
        <f>_xlfn.STDEV.P('中国汇率&amp;期货（ln）'!AJ52:AJ71)</f>
      </c>
      <c r="AK52" s="9">
        <f>_xlfn.STDEV.P('中国汇率&amp;期货（ln）'!AK52:AK71)</f>
      </c>
      <c r="AL52" s="9">
        <f>_xlfn.STDEV.P('中国汇率&amp;期货（ln）'!AL52:AL71)</f>
      </c>
      <c r="AM52" s="9">
        <f>_xlfn.STDEV.P('中国汇率&amp;期货（ln）'!AM52:AM71)</f>
      </c>
      <c r="AN52" s="9">
        <f>_xlfn.STDEV.P('中国汇率&amp;期货（ln）'!AN52:AN71)</f>
      </c>
      <c r="AO52" s="9">
        <f>_xlfn.STDEV.P('中国汇率&amp;期货（ln）'!AO52:AO71)</f>
      </c>
      <c r="AP52" s="9">
        <f>_xlfn.STDEV.P('中国汇率&amp;期货（ln）'!AP52:AP71)</f>
      </c>
      <c r="AQ52" s="9">
        <f>_xlfn.STDEV.P('中国汇率&amp;期货（ln）'!AQ52:AQ71)</f>
      </c>
      <c r="AR52" s="9">
        <f>_xlfn.STDEV.P('中国汇率&amp;期货（ln）'!AR52:AR71)</f>
      </c>
      <c r="AS52" s="9">
        <f>_xlfn.STDEV.P('中国汇率&amp;期货（ln）'!AS52:AS71)</f>
      </c>
      <c r="AT52" s="9">
        <f>_xlfn.STDEV.P('中国汇率&amp;期货（ln）'!AT52:AT71)</f>
      </c>
      <c r="AU52" s="9">
        <f>_xlfn.STDEV.P('中国汇率&amp;期货（ln）'!AU52:AU71)</f>
      </c>
      <c r="AV52" s="9">
        <f>_xlfn.STDEV.P('中国汇率&amp;期货（ln）'!AV52:AV71)</f>
      </c>
      <c r="AW52" s="9">
        <f>_xlfn.STDEV.P('中国汇率&amp;期货（ln）'!AW52:AW71)</f>
      </c>
      <c r="AX52" s="9">
        <f>_xlfn.STDEV.P('中国汇率&amp;期货（ln）'!AX52:AX71)</f>
      </c>
      <c r="AY52" s="9">
        <f>_xlfn.STDEV.P('中国汇率&amp;期货（ln）'!AY52:AY71)</f>
      </c>
      <c r="AZ52" s="9">
        <f>_xlfn.STDEV.P('中国汇率&amp;期货（ln）'!AZ52:AZ71)</f>
      </c>
      <c r="BA52" s="9">
        <f>_xlfn.STDEV.P('中国汇率&amp;期货（ln）'!BA52:BA71)</f>
      </c>
      <c r="BB52" s="9">
        <f>_xlfn.STDEV.P('中国汇率&amp;期货（ln）'!BB52:BB71)</f>
      </c>
      <c r="BC52" s="9">
        <f>_xlfn.STDEV.P('中国汇率&amp;期货（ln）'!BC52:BC71)</f>
      </c>
      <c r="BD52" s="9">
        <f>_xlfn.STDEV.P('中国汇率&amp;期货（ln）'!BD52:BD71)</f>
      </c>
      <c r="BE52" s="9">
        <f>_xlfn.STDEV.P('中国汇率&amp;期货（ln）'!BE52:BE71)</f>
      </c>
    </row>
    <row x14ac:dyDescent="0.25" r="53" customHeight="1" ht="18.75">
      <c r="A53" s="1"/>
      <c r="B53" s="9">
        <f>_xlfn.STDEV.P('中国汇率&amp;期货（ln）'!B53:B72)</f>
      </c>
      <c r="C53" s="9">
        <f>_xlfn.STDEV.P('中国汇率&amp;期货（ln）'!C53:C72)</f>
      </c>
      <c r="D53" s="9">
        <f>_xlfn.STDEV.P('中国汇率&amp;期货（ln）'!D53:D72)</f>
      </c>
      <c r="E53" s="9">
        <f>_xlfn.STDEV.P('中国汇率&amp;期货（ln）'!E53:E72)</f>
      </c>
      <c r="F53" s="9">
        <f>_xlfn.STDEV.P('中国汇率&amp;期货（ln）'!F53:F72)</f>
      </c>
      <c r="G53" s="9">
        <f>_xlfn.STDEV.P('中国汇率&amp;期货（ln）'!G53:G72)</f>
      </c>
      <c r="H53" s="9">
        <f>_xlfn.STDEV.P('中国汇率&amp;期货（ln）'!H53:H72)</f>
      </c>
      <c r="I53" s="9">
        <f>_xlfn.STDEV.P('中国汇率&amp;期货（ln）'!I53:I72)</f>
      </c>
      <c r="J53" s="9">
        <f>_xlfn.STDEV.P('中国汇率&amp;期货（ln）'!J53:J72)</f>
      </c>
      <c r="K53" s="9">
        <f>_xlfn.STDEV.P('中国汇率&amp;期货（ln）'!K53:K72)</f>
      </c>
      <c r="L53" s="9">
        <f>_xlfn.STDEV.P('中国汇率&amp;期货（ln）'!L53:L72)</f>
      </c>
      <c r="M53" s="9">
        <f>_xlfn.STDEV.P('中国汇率&amp;期货（ln）'!M53:M72)</f>
      </c>
      <c r="N53" s="9">
        <f>_xlfn.STDEV.P('中国汇率&amp;期货（ln）'!N53:N72)</f>
      </c>
      <c r="O53" s="9">
        <f>_xlfn.STDEV.P('中国汇率&amp;期货（ln）'!O53:O72)</f>
      </c>
      <c r="P53" s="9">
        <f>_xlfn.STDEV.P('中国汇率&amp;期货（ln）'!P53:P72)</f>
      </c>
      <c r="Q53" s="9">
        <f>_xlfn.STDEV.P('中国汇率&amp;期货（ln）'!Q53:Q72)</f>
      </c>
      <c r="R53" s="9">
        <f>_xlfn.STDEV.P('中国汇率&amp;期货（ln）'!R53:R72)</f>
      </c>
      <c r="S53" s="9">
        <f>_xlfn.STDEV.P('中国汇率&amp;期货（ln）'!S53:S72)</f>
      </c>
      <c r="T53" s="9">
        <f>_xlfn.STDEV.P('中国汇率&amp;期货（ln）'!T53:T72)</f>
      </c>
      <c r="U53" s="9">
        <f>_xlfn.STDEV.P('中国汇率&amp;期货（ln）'!U53:U72)</f>
      </c>
      <c r="V53" s="9">
        <f>_xlfn.STDEV.P('中国汇率&amp;期货（ln）'!V53:V72)</f>
      </c>
      <c r="W53" s="9">
        <f>_xlfn.STDEV.P('中国汇率&amp;期货（ln）'!W53:W72)</f>
      </c>
      <c r="X53" s="9">
        <f>_xlfn.STDEV.P('中国汇率&amp;期货（ln）'!X53:X72)</f>
      </c>
      <c r="Y53" s="9">
        <f>_xlfn.STDEV.P('中国汇率&amp;期货（ln）'!Y53:Y72)</f>
      </c>
      <c r="Z53" s="9">
        <f>_xlfn.STDEV.P('中国汇率&amp;期货（ln）'!Z53:Z72)</f>
      </c>
      <c r="AA53" s="9">
        <f>_xlfn.STDEV.P('中国汇率&amp;期货（ln）'!AA53:AA72)</f>
      </c>
      <c r="AB53" s="9">
        <f>_xlfn.STDEV.P('中国汇率&amp;期货（ln）'!AB53:AB72)</f>
      </c>
      <c r="AC53" s="9">
        <f>_xlfn.STDEV.P('中国汇率&amp;期货（ln）'!AC53:AC72)</f>
      </c>
      <c r="AD53" s="9">
        <f>_xlfn.STDEV.P('中国汇率&amp;期货（ln）'!AD53:AD72)</f>
      </c>
      <c r="AE53" s="9">
        <f>_xlfn.STDEV.P('中国汇率&amp;期货（ln）'!AE53:AE72)</f>
      </c>
      <c r="AF53" s="9">
        <f>_xlfn.STDEV.P('中国汇率&amp;期货（ln）'!AF53:AF72)</f>
      </c>
      <c r="AG53" s="9">
        <f>_xlfn.STDEV.P('中国汇率&amp;期货（ln）'!AG53:AG72)</f>
      </c>
      <c r="AH53" s="9">
        <f>_xlfn.STDEV.P('中国汇率&amp;期货（ln）'!AH53:AH72)</f>
      </c>
      <c r="AI53" s="9">
        <f>_xlfn.STDEV.P('中国汇率&amp;期货（ln）'!AI53:AI72)</f>
      </c>
      <c r="AJ53" s="9">
        <f>_xlfn.STDEV.P('中国汇率&amp;期货（ln）'!AJ53:AJ72)</f>
      </c>
      <c r="AK53" s="9">
        <f>_xlfn.STDEV.P('中国汇率&amp;期货（ln）'!AK53:AK72)</f>
      </c>
      <c r="AL53" s="9">
        <f>_xlfn.STDEV.P('中国汇率&amp;期货（ln）'!AL53:AL72)</f>
      </c>
      <c r="AM53" s="9">
        <f>_xlfn.STDEV.P('中国汇率&amp;期货（ln）'!AM53:AM72)</f>
      </c>
      <c r="AN53" s="9">
        <f>_xlfn.STDEV.P('中国汇率&amp;期货（ln）'!AN53:AN72)</f>
      </c>
      <c r="AO53" s="9">
        <f>_xlfn.STDEV.P('中国汇率&amp;期货（ln）'!AO53:AO72)</f>
      </c>
      <c r="AP53" s="9">
        <f>_xlfn.STDEV.P('中国汇率&amp;期货（ln）'!AP53:AP72)</f>
      </c>
      <c r="AQ53" s="9">
        <f>_xlfn.STDEV.P('中国汇率&amp;期货（ln）'!AQ53:AQ72)</f>
      </c>
      <c r="AR53" s="9">
        <f>_xlfn.STDEV.P('中国汇率&amp;期货（ln）'!AR53:AR72)</f>
      </c>
      <c r="AS53" s="9">
        <f>_xlfn.STDEV.P('中国汇率&amp;期货（ln）'!AS53:AS72)</f>
      </c>
      <c r="AT53" s="9">
        <f>_xlfn.STDEV.P('中国汇率&amp;期货（ln）'!AT53:AT72)</f>
      </c>
      <c r="AU53" s="9">
        <f>_xlfn.STDEV.P('中国汇率&amp;期货（ln）'!AU53:AU72)</f>
      </c>
      <c r="AV53" s="9">
        <f>_xlfn.STDEV.P('中国汇率&amp;期货（ln）'!AV53:AV72)</f>
      </c>
      <c r="AW53" s="9">
        <f>_xlfn.STDEV.P('中国汇率&amp;期货（ln）'!AW53:AW72)</f>
      </c>
      <c r="AX53" s="9">
        <f>_xlfn.STDEV.P('中国汇率&amp;期货（ln）'!AX53:AX72)</f>
      </c>
      <c r="AY53" s="9">
        <f>_xlfn.STDEV.P('中国汇率&amp;期货（ln）'!AY53:AY72)</f>
      </c>
      <c r="AZ53" s="9">
        <f>_xlfn.STDEV.P('中国汇率&amp;期货（ln）'!AZ53:AZ72)</f>
      </c>
      <c r="BA53" s="9">
        <f>_xlfn.STDEV.P('中国汇率&amp;期货（ln）'!BA53:BA72)</f>
      </c>
      <c r="BB53" s="9">
        <f>_xlfn.STDEV.P('中国汇率&amp;期货（ln）'!BB53:BB72)</f>
      </c>
      <c r="BC53" s="9">
        <f>_xlfn.STDEV.P('中国汇率&amp;期货（ln）'!BC53:BC72)</f>
      </c>
      <c r="BD53" s="9">
        <f>_xlfn.STDEV.P('中国汇率&amp;期货（ln）'!BD53:BD72)</f>
      </c>
      <c r="BE53" s="9">
        <f>_xlfn.STDEV.P('中国汇率&amp;期货（ln）'!BE53:BE72)</f>
      </c>
    </row>
    <row x14ac:dyDescent="0.25" r="54" customHeight="1" ht="18.75">
      <c r="A54" s="1"/>
      <c r="B54" s="9">
        <f>_xlfn.STDEV.P('中国汇率&amp;期货（ln）'!B54:B73)</f>
      </c>
      <c r="C54" s="9">
        <f>_xlfn.STDEV.P('中国汇率&amp;期货（ln）'!C54:C73)</f>
      </c>
      <c r="D54" s="9">
        <f>_xlfn.STDEV.P('中国汇率&amp;期货（ln）'!D54:D73)</f>
      </c>
      <c r="E54" s="9">
        <f>_xlfn.STDEV.P('中国汇率&amp;期货（ln）'!E54:E73)</f>
      </c>
      <c r="F54" s="9">
        <f>_xlfn.STDEV.P('中国汇率&amp;期货（ln）'!F54:F73)</f>
      </c>
      <c r="G54" s="9">
        <f>_xlfn.STDEV.P('中国汇率&amp;期货（ln）'!G54:G73)</f>
      </c>
      <c r="H54" s="9">
        <f>_xlfn.STDEV.P('中国汇率&amp;期货（ln）'!H54:H73)</f>
      </c>
      <c r="I54" s="9">
        <f>_xlfn.STDEV.P('中国汇率&amp;期货（ln）'!I54:I73)</f>
      </c>
      <c r="J54" s="9">
        <f>_xlfn.STDEV.P('中国汇率&amp;期货（ln）'!J54:J73)</f>
      </c>
      <c r="K54" s="9">
        <f>_xlfn.STDEV.P('中国汇率&amp;期货（ln）'!K54:K73)</f>
      </c>
      <c r="L54" s="9">
        <f>_xlfn.STDEV.P('中国汇率&amp;期货（ln）'!L54:L73)</f>
      </c>
      <c r="M54" s="9">
        <f>_xlfn.STDEV.P('中国汇率&amp;期货（ln）'!M54:M73)</f>
      </c>
      <c r="N54" s="9">
        <f>_xlfn.STDEV.P('中国汇率&amp;期货（ln）'!N54:N73)</f>
      </c>
      <c r="O54" s="9">
        <f>_xlfn.STDEV.P('中国汇率&amp;期货（ln）'!O54:O73)</f>
      </c>
      <c r="P54" s="9">
        <f>_xlfn.STDEV.P('中国汇率&amp;期货（ln）'!P54:P73)</f>
      </c>
      <c r="Q54" s="9">
        <f>_xlfn.STDEV.P('中国汇率&amp;期货（ln）'!Q54:Q73)</f>
      </c>
      <c r="R54" s="9">
        <f>_xlfn.STDEV.P('中国汇率&amp;期货（ln）'!R54:R73)</f>
      </c>
      <c r="S54" s="9">
        <f>_xlfn.STDEV.P('中国汇率&amp;期货（ln）'!S54:S73)</f>
      </c>
      <c r="T54" s="9">
        <f>_xlfn.STDEV.P('中国汇率&amp;期货（ln）'!T54:T73)</f>
      </c>
      <c r="U54" s="9">
        <f>_xlfn.STDEV.P('中国汇率&amp;期货（ln）'!U54:U73)</f>
      </c>
      <c r="V54" s="9">
        <f>_xlfn.STDEV.P('中国汇率&amp;期货（ln）'!V54:V73)</f>
      </c>
      <c r="W54" s="9">
        <f>_xlfn.STDEV.P('中国汇率&amp;期货（ln）'!W54:W73)</f>
      </c>
      <c r="X54" s="9">
        <f>_xlfn.STDEV.P('中国汇率&amp;期货（ln）'!X54:X73)</f>
      </c>
      <c r="Y54" s="9">
        <f>_xlfn.STDEV.P('中国汇率&amp;期货（ln）'!Y54:Y73)</f>
      </c>
      <c r="Z54" s="9">
        <f>_xlfn.STDEV.P('中国汇率&amp;期货（ln）'!Z54:Z73)</f>
      </c>
      <c r="AA54" s="9">
        <f>_xlfn.STDEV.P('中国汇率&amp;期货（ln）'!AA54:AA73)</f>
      </c>
      <c r="AB54" s="9">
        <f>_xlfn.STDEV.P('中国汇率&amp;期货（ln）'!AB54:AB73)</f>
      </c>
      <c r="AC54" s="9">
        <f>_xlfn.STDEV.P('中国汇率&amp;期货（ln）'!AC54:AC73)</f>
      </c>
      <c r="AD54" s="9">
        <f>_xlfn.STDEV.P('中国汇率&amp;期货（ln）'!AD54:AD73)</f>
      </c>
      <c r="AE54" s="9">
        <f>_xlfn.STDEV.P('中国汇率&amp;期货（ln）'!AE54:AE73)</f>
      </c>
      <c r="AF54" s="9">
        <f>_xlfn.STDEV.P('中国汇率&amp;期货（ln）'!AF54:AF73)</f>
      </c>
      <c r="AG54" s="9">
        <f>_xlfn.STDEV.P('中国汇率&amp;期货（ln）'!AG54:AG73)</f>
      </c>
      <c r="AH54" s="9">
        <f>_xlfn.STDEV.P('中国汇率&amp;期货（ln）'!AH54:AH73)</f>
      </c>
      <c r="AI54" s="9">
        <f>_xlfn.STDEV.P('中国汇率&amp;期货（ln）'!AI54:AI73)</f>
      </c>
      <c r="AJ54" s="9">
        <f>_xlfn.STDEV.P('中国汇率&amp;期货（ln）'!AJ54:AJ73)</f>
      </c>
      <c r="AK54" s="9">
        <f>_xlfn.STDEV.P('中国汇率&amp;期货（ln）'!AK54:AK73)</f>
      </c>
      <c r="AL54" s="9">
        <f>_xlfn.STDEV.P('中国汇率&amp;期货（ln）'!AL54:AL73)</f>
      </c>
      <c r="AM54" s="9">
        <f>_xlfn.STDEV.P('中国汇率&amp;期货（ln）'!AM54:AM73)</f>
      </c>
      <c r="AN54" s="9">
        <f>_xlfn.STDEV.P('中国汇率&amp;期货（ln）'!AN54:AN73)</f>
      </c>
      <c r="AO54" s="9">
        <f>_xlfn.STDEV.P('中国汇率&amp;期货（ln）'!AO54:AO73)</f>
      </c>
      <c r="AP54" s="9">
        <f>_xlfn.STDEV.P('中国汇率&amp;期货（ln）'!AP54:AP73)</f>
      </c>
      <c r="AQ54" s="9">
        <f>_xlfn.STDEV.P('中国汇率&amp;期货（ln）'!AQ54:AQ73)</f>
      </c>
      <c r="AR54" s="9">
        <f>_xlfn.STDEV.P('中国汇率&amp;期货（ln）'!AR54:AR73)</f>
      </c>
      <c r="AS54" s="9">
        <f>_xlfn.STDEV.P('中国汇率&amp;期货（ln）'!AS54:AS73)</f>
      </c>
      <c r="AT54" s="9">
        <f>_xlfn.STDEV.P('中国汇率&amp;期货（ln）'!AT54:AT73)</f>
      </c>
      <c r="AU54" s="9">
        <f>_xlfn.STDEV.P('中国汇率&amp;期货（ln）'!AU54:AU73)</f>
      </c>
      <c r="AV54" s="9">
        <f>_xlfn.STDEV.P('中国汇率&amp;期货（ln）'!AV54:AV73)</f>
      </c>
      <c r="AW54" s="9">
        <f>_xlfn.STDEV.P('中国汇率&amp;期货（ln）'!AW54:AW73)</f>
      </c>
      <c r="AX54" s="9">
        <f>_xlfn.STDEV.P('中国汇率&amp;期货（ln）'!AX54:AX73)</f>
      </c>
      <c r="AY54" s="9">
        <f>_xlfn.STDEV.P('中国汇率&amp;期货（ln）'!AY54:AY73)</f>
      </c>
      <c r="AZ54" s="9">
        <f>_xlfn.STDEV.P('中国汇率&amp;期货（ln）'!AZ54:AZ73)</f>
      </c>
      <c r="BA54" s="9">
        <f>_xlfn.STDEV.P('中国汇率&amp;期货（ln）'!BA54:BA73)</f>
      </c>
      <c r="BB54" s="9">
        <f>_xlfn.STDEV.P('中国汇率&amp;期货（ln）'!BB54:BB73)</f>
      </c>
      <c r="BC54" s="9">
        <f>_xlfn.STDEV.P('中国汇率&amp;期货（ln）'!BC54:BC73)</f>
      </c>
      <c r="BD54" s="9">
        <f>_xlfn.STDEV.P('中国汇率&amp;期货（ln）'!BD54:BD73)</f>
      </c>
      <c r="BE54" s="9">
        <f>_xlfn.STDEV.P('中国汇率&amp;期货（ln）'!BE54:BE73)</f>
      </c>
    </row>
    <row x14ac:dyDescent="0.25" r="55" customHeight="1" ht="18.75">
      <c r="A55" s="1"/>
      <c r="B55" s="9">
        <f>_xlfn.STDEV.P('中国汇率&amp;期货（ln）'!B55:B74)</f>
      </c>
      <c r="C55" s="9">
        <f>_xlfn.STDEV.P('中国汇率&amp;期货（ln）'!C55:C74)</f>
      </c>
      <c r="D55" s="9">
        <f>_xlfn.STDEV.P('中国汇率&amp;期货（ln）'!D55:D74)</f>
      </c>
      <c r="E55" s="9">
        <f>_xlfn.STDEV.P('中国汇率&amp;期货（ln）'!E55:E74)</f>
      </c>
      <c r="F55" s="9">
        <f>_xlfn.STDEV.P('中国汇率&amp;期货（ln）'!F55:F74)</f>
      </c>
      <c r="G55" s="9">
        <f>_xlfn.STDEV.P('中国汇率&amp;期货（ln）'!G55:G74)</f>
      </c>
      <c r="H55" s="9">
        <f>_xlfn.STDEV.P('中国汇率&amp;期货（ln）'!H55:H74)</f>
      </c>
      <c r="I55" s="9">
        <f>_xlfn.STDEV.P('中国汇率&amp;期货（ln）'!I55:I74)</f>
      </c>
      <c r="J55" s="9">
        <f>_xlfn.STDEV.P('中国汇率&amp;期货（ln）'!J55:J74)</f>
      </c>
      <c r="K55" s="9">
        <f>_xlfn.STDEV.P('中国汇率&amp;期货（ln）'!K55:K74)</f>
      </c>
      <c r="L55" s="9">
        <f>_xlfn.STDEV.P('中国汇率&amp;期货（ln）'!L55:L74)</f>
      </c>
      <c r="M55" s="9">
        <f>_xlfn.STDEV.P('中国汇率&amp;期货（ln）'!M55:M74)</f>
      </c>
      <c r="N55" s="9">
        <f>_xlfn.STDEV.P('中国汇率&amp;期货（ln）'!N55:N74)</f>
      </c>
      <c r="O55" s="9">
        <f>_xlfn.STDEV.P('中国汇率&amp;期货（ln）'!O55:O74)</f>
      </c>
      <c r="P55" s="9">
        <f>_xlfn.STDEV.P('中国汇率&amp;期货（ln）'!P55:P74)</f>
      </c>
      <c r="Q55" s="9">
        <f>_xlfn.STDEV.P('中国汇率&amp;期货（ln）'!Q55:Q74)</f>
      </c>
      <c r="R55" s="9">
        <f>_xlfn.STDEV.P('中国汇率&amp;期货（ln）'!R55:R74)</f>
      </c>
      <c r="S55" s="9">
        <f>_xlfn.STDEV.P('中国汇率&amp;期货（ln）'!S55:S74)</f>
      </c>
      <c r="T55" s="9">
        <f>_xlfn.STDEV.P('中国汇率&amp;期货（ln）'!T55:T74)</f>
      </c>
      <c r="U55" s="9">
        <f>_xlfn.STDEV.P('中国汇率&amp;期货（ln）'!U55:U74)</f>
      </c>
      <c r="V55" s="9">
        <f>_xlfn.STDEV.P('中国汇率&amp;期货（ln）'!V55:V74)</f>
      </c>
      <c r="W55" s="9">
        <f>_xlfn.STDEV.P('中国汇率&amp;期货（ln）'!W55:W74)</f>
      </c>
      <c r="X55" s="9">
        <f>_xlfn.STDEV.P('中国汇率&amp;期货（ln）'!X55:X74)</f>
      </c>
      <c r="Y55" s="9">
        <f>_xlfn.STDEV.P('中国汇率&amp;期货（ln）'!Y55:Y74)</f>
      </c>
      <c r="Z55" s="9">
        <f>_xlfn.STDEV.P('中国汇率&amp;期货（ln）'!Z55:Z74)</f>
      </c>
      <c r="AA55" s="9">
        <f>_xlfn.STDEV.P('中国汇率&amp;期货（ln）'!AA55:AA74)</f>
      </c>
      <c r="AB55" s="9">
        <f>_xlfn.STDEV.P('中国汇率&amp;期货（ln）'!AB55:AB74)</f>
      </c>
      <c r="AC55" s="9">
        <f>_xlfn.STDEV.P('中国汇率&amp;期货（ln）'!AC55:AC74)</f>
      </c>
      <c r="AD55" s="9">
        <f>_xlfn.STDEV.P('中国汇率&amp;期货（ln）'!AD55:AD74)</f>
      </c>
      <c r="AE55" s="9">
        <f>_xlfn.STDEV.P('中国汇率&amp;期货（ln）'!AE55:AE74)</f>
      </c>
      <c r="AF55" s="9">
        <f>_xlfn.STDEV.P('中国汇率&amp;期货（ln）'!AF55:AF74)</f>
      </c>
      <c r="AG55" s="9">
        <f>_xlfn.STDEV.P('中国汇率&amp;期货（ln）'!AG55:AG74)</f>
      </c>
      <c r="AH55" s="9">
        <f>_xlfn.STDEV.P('中国汇率&amp;期货（ln）'!AH55:AH74)</f>
      </c>
      <c r="AI55" s="9">
        <f>_xlfn.STDEV.P('中国汇率&amp;期货（ln）'!AI55:AI74)</f>
      </c>
      <c r="AJ55" s="9">
        <f>_xlfn.STDEV.P('中国汇率&amp;期货（ln）'!AJ55:AJ74)</f>
      </c>
      <c r="AK55" s="9">
        <f>_xlfn.STDEV.P('中国汇率&amp;期货（ln）'!AK55:AK74)</f>
      </c>
      <c r="AL55" s="9">
        <f>_xlfn.STDEV.P('中国汇率&amp;期货（ln）'!AL55:AL74)</f>
      </c>
      <c r="AM55" s="9">
        <f>_xlfn.STDEV.P('中国汇率&amp;期货（ln）'!AM55:AM74)</f>
      </c>
      <c r="AN55" s="9">
        <f>_xlfn.STDEV.P('中国汇率&amp;期货（ln）'!AN55:AN74)</f>
      </c>
      <c r="AO55" s="9">
        <f>_xlfn.STDEV.P('中国汇率&amp;期货（ln）'!AO55:AO74)</f>
      </c>
      <c r="AP55" s="9">
        <f>_xlfn.STDEV.P('中国汇率&amp;期货（ln）'!AP55:AP74)</f>
      </c>
      <c r="AQ55" s="9">
        <f>_xlfn.STDEV.P('中国汇率&amp;期货（ln）'!AQ55:AQ74)</f>
      </c>
      <c r="AR55" s="9">
        <f>_xlfn.STDEV.P('中国汇率&amp;期货（ln）'!AR55:AR74)</f>
      </c>
      <c r="AS55" s="9">
        <f>_xlfn.STDEV.P('中国汇率&amp;期货（ln）'!AS55:AS74)</f>
      </c>
      <c r="AT55" s="9">
        <f>_xlfn.STDEV.P('中国汇率&amp;期货（ln）'!AT55:AT74)</f>
      </c>
      <c r="AU55" s="9">
        <f>_xlfn.STDEV.P('中国汇率&amp;期货（ln）'!AU55:AU74)</f>
      </c>
      <c r="AV55" s="9">
        <f>_xlfn.STDEV.P('中国汇率&amp;期货（ln）'!AV55:AV74)</f>
      </c>
      <c r="AW55" s="9">
        <f>_xlfn.STDEV.P('中国汇率&amp;期货（ln）'!AW55:AW74)</f>
      </c>
      <c r="AX55" s="9">
        <f>_xlfn.STDEV.P('中国汇率&amp;期货（ln）'!AX55:AX74)</f>
      </c>
      <c r="AY55" s="9">
        <f>_xlfn.STDEV.P('中国汇率&amp;期货（ln）'!AY55:AY74)</f>
      </c>
      <c r="AZ55" s="9">
        <f>_xlfn.STDEV.P('中国汇率&amp;期货（ln）'!AZ55:AZ74)</f>
      </c>
      <c r="BA55" s="9">
        <f>_xlfn.STDEV.P('中国汇率&amp;期货（ln）'!BA55:BA74)</f>
      </c>
      <c r="BB55" s="9">
        <f>_xlfn.STDEV.P('中国汇率&amp;期货（ln）'!BB55:BB74)</f>
      </c>
      <c r="BC55" s="9">
        <f>_xlfn.STDEV.P('中国汇率&amp;期货（ln）'!BC55:BC74)</f>
      </c>
      <c r="BD55" s="9">
        <f>_xlfn.STDEV.P('中国汇率&amp;期货（ln）'!BD55:BD74)</f>
      </c>
      <c r="BE55" s="9">
        <f>_xlfn.STDEV.P('中国汇率&amp;期货（ln）'!BE55:BE74)</f>
      </c>
    </row>
    <row x14ac:dyDescent="0.25" r="56" customHeight="1" ht="18.75">
      <c r="A56" s="1"/>
      <c r="B56" s="9">
        <f>_xlfn.STDEV.P('中国汇率&amp;期货（ln）'!B56:B75)</f>
      </c>
      <c r="C56" s="9">
        <f>_xlfn.STDEV.P('中国汇率&amp;期货（ln）'!C56:C75)</f>
      </c>
      <c r="D56" s="9">
        <f>_xlfn.STDEV.P('中国汇率&amp;期货（ln）'!D56:D75)</f>
      </c>
      <c r="E56" s="9">
        <f>_xlfn.STDEV.P('中国汇率&amp;期货（ln）'!E56:E75)</f>
      </c>
      <c r="F56" s="9">
        <f>_xlfn.STDEV.P('中国汇率&amp;期货（ln）'!F56:F75)</f>
      </c>
      <c r="G56" s="9">
        <f>_xlfn.STDEV.P('中国汇率&amp;期货（ln）'!G56:G75)</f>
      </c>
      <c r="H56" s="9">
        <f>_xlfn.STDEV.P('中国汇率&amp;期货（ln）'!H56:H75)</f>
      </c>
      <c r="I56" s="9">
        <f>_xlfn.STDEV.P('中国汇率&amp;期货（ln）'!I56:I75)</f>
      </c>
      <c r="J56" s="9">
        <f>_xlfn.STDEV.P('中国汇率&amp;期货（ln）'!J56:J75)</f>
      </c>
      <c r="K56" s="9">
        <f>_xlfn.STDEV.P('中国汇率&amp;期货（ln）'!K56:K75)</f>
      </c>
      <c r="L56" s="9">
        <f>_xlfn.STDEV.P('中国汇率&amp;期货（ln）'!L56:L75)</f>
      </c>
      <c r="M56" s="9">
        <f>_xlfn.STDEV.P('中国汇率&amp;期货（ln）'!M56:M75)</f>
      </c>
      <c r="N56" s="9">
        <f>_xlfn.STDEV.P('中国汇率&amp;期货（ln）'!N56:N75)</f>
      </c>
      <c r="O56" s="9">
        <f>_xlfn.STDEV.P('中国汇率&amp;期货（ln）'!O56:O75)</f>
      </c>
      <c r="P56" s="9">
        <f>_xlfn.STDEV.P('中国汇率&amp;期货（ln）'!P56:P75)</f>
      </c>
      <c r="Q56" s="9">
        <f>_xlfn.STDEV.P('中国汇率&amp;期货（ln）'!Q56:Q75)</f>
      </c>
      <c r="R56" s="9">
        <f>_xlfn.STDEV.P('中国汇率&amp;期货（ln）'!R56:R75)</f>
      </c>
      <c r="S56" s="9">
        <f>_xlfn.STDEV.P('中国汇率&amp;期货（ln）'!S56:S75)</f>
      </c>
      <c r="T56" s="9">
        <f>_xlfn.STDEV.P('中国汇率&amp;期货（ln）'!T56:T75)</f>
      </c>
      <c r="U56" s="9">
        <f>_xlfn.STDEV.P('中国汇率&amp;期货（ln）'!U56:U75)</f>
      </c>
      <c r="V56" s="9">
        <f>_xlfn.STDEV.P('中国汇率&amp;期货（ln）'!V56:V75)</f>
      </c>
      <c r="W56" s="9">
        <f>_xlfn.STDEV.P('中国汇率&amp;期货（ln）'!W56:W75)</f>
      </c>
      <c r="X56" s="9">
        <f>_xlfn.STDEV.P('中国汇率&amp;期货（ln）'!X56:X75)</f>
      </c>
      <c r="Y56" s="9">
        <f>_xlfn.STDEV.P('中国汇率&amp;期货（ln）'!Y56:Y75)</f>
      </c>
      <c r="Z56" s="9">
        <f>_xlfn.STDEV.P('中国汇率&amp;期货（ln）'!Z56:Z75)</f>
      </c>
      <c r="AA56" s="9">
        <f>_xlfn.STDEV.P('中国汇率&amp;期货（ln）'!AA56:AA75)</f>
      </c>
      <c r="AB56" s="9">
        <f>_xlfn.STDEV.P('中国汇率&amp;期货（ln）'!AB56:AB75)</f>
      </c>
      <c r="AC56" s="9">
        <f>_xlfn.STDEV.P('中国汇率&amp;期货（ln）'!AC56:AC75)</f>
      </c>
      <c r="AD56" s="9">
        <f>_xlfn.STDEV.P('中国汇率&amp;期货（ln）'!AD56:AD75)</f>
      </c>
      <c r="AE56" s="9">
        <f>_xlfn.STDEV.P('中国汇率&amp;期货（ln）'!AE56:AE75)</f>
      </c>
      <c r="AF56" s="9">
        <f>_xlfn.STDEV.P('中国汇率&amp;期货（ln）'!AF56:AF75)</f>
      </c>
      <c r="AG56" s="9">
        <f>_xlfn.STDEV.P('中国汇率&amp;期货（ln）'!AG56:AG75)</f>
      </c>
      <c r="AH56" s="9">
        <f>_xlfn.STDEV.P('中国汇率&amp;期货（ln）'!AH56:AH75)</f>
      </c>
      <c r="AI56" s="9">
        <f>_xlfn.STDEV.P('中国汇率&amp;期货（ln）'!AI56:AI75)</f>
      </c>
      <c r="AJ56" s="9">
        <f>_xlfn.STDEV.P('中国汇率&amp;期货（ln）'!AJ56:AJ75)</f>
      </c>
      <c r="AK56" s="9">
        <f>_xlfn.STDEV.P('中国汇率&amp;期货（ln）'!AK56:AK75)</f>
      </c>
      <c r="AL56" s="9">
        <f>_xlfn.STDEV.P('中国汇率&amp;期货（ln）'!AL56:AL75)</f>
      </c>
      <c r="AM56" s="9">
        <f>_xlfn.STDEV.P('中国汇率&amp;期货（ln）'!AM56:AM75)</f>
      </c>
      <c r="AN56" s="9">
        <f>_xlfn.STDEV.P('中国汇率&amp;期货（ln）'!AN56:AN75)</f>
      </c>
      <c r="AO56" s="9">
        <f>_xlfn.STDEV.P('中国汇率&amp;期货（ln）'!AO56:AO75)</f>
      </c>
      <c r="AP56" s="9">
        <f>_xlfn.STDEV.P('中国汇率&amp;期货（ln）'!AP56:AP75)</f>
      </c>
      <c r="AQ56" s="9">
        <f>_xlfn.STDEV.P('中国汇率&amp;期货（ln）'!AQ56:AQ75)</f>
      </c>
      <c r="AR56" s="9">
        <f>_xlfn.STDEV.P('中国汇率&amp;期货（ln）'!AR56:AR75)</f>
      </c>
      <c r="AS56" s="9">
        <f>_xlfn.STDEV.P('中国汇率&amp;期货（ln）'!AS56:AS75)</f>
      </c>
      <c r="AT56" s="9">
        <f>_xlfn.STDEV.P('中国汇率&amp;期货（ln）'!AT56:AT75)</f>
      </c>
      <c r="AU56" s="9">
        <f>_xlfn.STDEV.P('中国汇率&amp;期货（ln）'!AU56:AU75)</f>
      </c>
      <c r="AV56" s="9">
        <f>_xlfn.STDEV.P('中国汇率&amp;期货（ln）'!AV56:AV75)</f>
      </c>
      <c r="AW56" s="9">
        <f>_xlfn.STDEV.P('中国汇率&amp;期货（ln）'!AW56:AW75)</f>
      </c>
      <c r="AX56" s="9">
        <f>_xlfn.STDEV.P('中国汇率&amp;期货（ln）'!AX56:AX75)</f>
      </c>
      <c r="AY56" s="9">
        <f>_xlfn.STDEV.P('中国汇率&amp;期货（ln）'!AY56:AY75)</f>
      </c>
      <c r="AZ56" s="9">
        <f>_xlfn.STDEV.P('中国汇率&amp;期货（ln）'!AZ56:AZ75)</f>
      </c>
      <c r="BA56" s="9">
        <f>_xlfn.STDEV.P('中国汇率&amp;期货（ln）'!BA56:BA75)</f>
      </c>
      <c r="BB56" s="9">
        <f>_xlfn.STDEV.P('中国汇率&amp;期货（ln）'!BB56:BB75)</f>
      </c>
      <c r="BC56" s="9">
        <f>_xlfn.STDEV.P('中国汇率&amp;期货（ln）'!BC56:BC75)</f>
      </c>
      <c r="BD56" s="9">
        <f>_xlfn.STDEV.P('中国汇率&amp;期货（ln）'!BD56:BD75)</f>
      </c>
      <c r="BE56" s="9">
        <f>_xlfn.STDEV.P('中国汇率&amp;期货（ln）'!BE56:BE75)</f>
      </c>
    </row>
    <row x14ac:dyDescent="0.25" r="57" customHeight="1" ht="18.75">
      <c r="A57" s="1"/>
      <c r="B57" s="9">
        <f>_xlfn.STDEV.P('中国汇率&amp;期货（ln）'!B57:B76)</f>
      </c>
      <c r="C57" s="9">
        <f>_xlfn.STDEV.P('中国汇率&amp;期货（ln）'!C57:C76)</f>
      </c>
      <c r="D57" s="9">
        <f>_xlfn.STDEV.P('中国汇率&amp;期货（ln）'!D57:D76)</f>
      </c>
      <c r="E57" s="9">
        <f>_xlfn.STDEV.P('中国汇率&amp;期货（ln）'!E57:E76)</f>
      </c>
      <c r="F57" s="9">
        <f>_xlfn.STDEV.P('中国汇率&amp;期货（ln）'!F57:F76)</f>
      </c>
      <c r="G57" s="9">
        <f>_xlfn.STDEV.P('中国汇率&amp;期货（ln）'!G57:G76)</f>
      </c>
      <c r="H57" s="9">
        <f>_xlfn.STDEV.P('中国汇率&amp;期货（ln）'!H57:H76)</f>
      </c>
      <c r="I57" s="9">
        <f>_xlfn.STDEV.P('中国汇率&amp;期货（ln）'!I57:I76)</f>
      </c>
      <c r="J57" s="9">
        <f>_xlfn.STDEV.P('中国汇率&amp;期货（ln）'!J57:J76)</f>
      </c>
      <c r="K57" s="9">
        <f>_xlfn.STDEV.P('中国汇率&amp;期货（ln）'!K57:K76)</f>
      </c>
      <c r="L57" s="9">
        <f>_xlfn.STDEV.P('中国汇率&amp;期货（ln）'!L57:L76)</f>
      </c>
      <c r="M57" s="9">
        <f>_xlfn.STDEV.P('中国汇率&amp;期货（ln）'!M57:M76)</f>
      </c>
      <c r="N57" s="9">
        <f>_xlfn.STDEV.P('中国汇率&amp;期货（ln）'!N57:N76)</f>
      </c>
      <c r="O57" s="9">
        <f>_xlfn.STDEV.P('中国汇率&amp;期货（ln）'!O57:O76)</f>
      </c>
      <c r="P57" s="9">
        <f>_xlfn.STDEV.P('中国汇率&amp;期货（ln）'!P57:P76)</f>
      </c>
      <c r="Q57" s="9">
        <f>_xlfn.STDEV.P('中国汇率&amp;期货（ln）'!Q57:Q76)</f>
      </c>
      <c r="R57" s="9">
        <f>_xlfn.STDEV.P('中国汇率&amp;期货（ln）'!R57:R76)</f>
      </c>
      <c r="S57" s="9">
        <f>_xlfn.STDEV.P('中国汇率&amp;期货（ln）'!S57:S76)</f>
      </c>
      <c r="T57" s="9">
        <f>_xlfn.STDEV.P('中国汇率&amp;期货（ln）'!T57:T76)</f>
      </c>
      <c r="U57" s="9">
        <f>_xlfn.STDEV.P('中国汇率&amp;期货（ln）'!U57:U76)</f>
      </c>
      <c r="V57" s="9">
        <f>_xlfn.STDEV.P('中国汇率&amp;期货（ln）'!V57:V76)</f>
      </c>
      <c r="W57" s="9">
        <f>_xlfn.STDEV.P('中国汇率&amp;期货（ln）'!W57:W76)</f>
      </c>
      <c r="X57" s="9">
        <f>_xlfn.STDEV.P('中国汇率&amp;期货（ln）'!X57:X76)</f>
      </c>
      <c r="Y57" s="9">
        <f>_xlfn.STDEV.P('中国汇率&amp;期货（ln）'!Y57:Y76)</f>
      </c>
      <c r="Z57" s="9">
        <f>_xlfn.STDEV.P('中国汇率&amp;期货（ln）'!Z57:Z76)</f>
      </c>
      <c r="AA57" s="9">
        <f>_xlfn.STDEV.P('中国汇率&amp;期货（ln）'!AA57:AA76)</f>
      </c>
      <c r="AB57" s="9">
        <f>_xlfn.STDEV.P('中国汇率&amp;期货（ln）'!AB57:AB76)</f>
      </c>
      <c r="AC57" s="9">
        <f>_xlfn.STDEV.P('中国汇率&amp;期货（ln）'!AC57:AC76)</f>
      </c>
      <c r="AD57" s="9">
        <f>_xlfn.STDEV.P('中国汇率&amp;期货（ln）'!AD57:AD76)</f>
      </c>
      <c r="AE57" s="9">
        <f>_xlfn.STDEV.P('中国汇率&amp;期货（ln）'!AE57:AE76)</f>
      </c>
      <c r="AF57" s="9">
        <f>_xlfn.STDEV.P('中国汇率&amp;期货（ln）'!AF57:AF76)</f>
      </c>
      <c r="AG57" s="9">
        <f>_xlfn.STDEV.P('中国汇率&amp;期货（ln）'!AG57:AG76)</f>
      </c>
      <c r="AH57" s="9">
        <f>_xlfn.STDEV.P('中国汇率&amp;期货（ln）'!AH57:AH76)</f>
      </c>
      <c r="AI57" s="9">
        <f>_xlfn.STDEV.P('中国汇率&amp;期货（ln）'!AI57:AI76)</f>
      </c>
      <c r="AJ57" s="9">
        <f>_xlfn.STDEV.P('中国汇率&amp;期货（ln）'!AJ57:AJ76)</f>
      </c>
      <c r="AK57" s="9">
        <f>_xlfn.STDEV.P('中国汇率&amp;期货（ln）'!AK57:AK76)</f>
      </c>
      <c r="AL57" s="9">
        <f>_xlfn.STDEV.P('中国汇率&amp;期货（ln）'!AL57:AL76)</f>
      </c>
      <c r="AM57" s="9">
        <f>_xlfn.STDEV.P('中国汇率&amp;期货（ln）'!AM57:AM76)</f>
      </c>
      <c r="AN57" s="9">
        <f>_xlfn.STDEV.P('中国汇率&amp;期货（ln）'!AN57:AN76)</f>
      </c>
      <c r="AO57" s="9">
        <f>_xlfn.STDEV.P('中国汇率&amp;期货（ln）'!AO57:AO76)</f>
      </c>
      <c r="AP57" s="9">
        <f>_xlfn.STDEV.P('中国汇率&amp;期货（ln）'!AP57:AP76)</f>
      </c>
      <c r="AQ57" s="9">
        <f>_xlfn.STDEV.P('中国汇率&amp;期货（ln）'!AQ57:AQ76)</f>
      </c>
      <c r="AR57" s="9">
        <f>_xlfn.STDEV.P('中国汇率&amp;期货（ln）'!AR57:AR76)</f>
      </c>
      <c r="AS57" s="9">
        <f>_xlfn.STDEV.P('中国汇率&amp;期货（ln）'!AS57:AS76)</f>
      </c>
      <c r="AT57" s="9">
        <f>_xlfn.STDEV.P('中国汇率&amp;期货（ln）'!AT57:AT76)</f>
      </c>
      <c r="AU57" s="9">
        <f>_xlfn.STDEV.P('中国汇率&amp;期货（ln）'!AU57:AU76)</f>
      </c>
      <c r="AV57" s="9">
        <f>_xlfn.STDEV.P('中国汇率&amp;期货（ln）'!AV57:AV76)</f>
      </c>
      <c r="AW57" s="9">
        <f>_xlfn.STDEV.P('中国汇率&amp;期货（ln）'!AW57:AW76)</f>
      </c>
      <c r="AX57" s="9">
        <f>_xlfn.STDEV.P('中国汇率&amp;期货（ln）'!AX57:AX76)</f>
      </c>
      <c r="AY57" s="9">
        <f>_xlfn.STDEV.P('中国汇率&amp;期货（ln）'!AY57:AY76)</f>
      </c>
      <c r="AZ57" s="9">
        <f>_xlfn.STDEV.P('中国汇率&amp;期货（ln）'!AZ57:AZ76)</f>
      </c>
      <c r="BA57" s="9">
        <f>_xlfn.STDEV.P('中国汇率&amp;期货（ln）'!BA57:BA76)</f>
      </c>
      <c r="BB57" s="9">
        <f>_xlfn.STDEV.P('中国汇率&amp;期货（ln）'!BB57:BB76)</f>
      </c>
      <c r="BC57" s="9">
        <f>_xlfn.STDEV.P('中国汇率&amp;期货（ln）'!BC57:BC76)</f>
      </c>
      <c r="BD57" s="9">
        <f>_xlfn.STDEV.P('中国汇率&amp;期货（ln）'!BD57:BD76)</f>
      </c>
      <c r="BE57" s="9">
        <f>_xlfn.STDEV.P('中国汇率&amp;期货（ln）'!BE57:BE76)</f>
      </c>
    </row>
    <row x14ac:dyDescent="0.25" r="58" customHeight="1" ht="18.75">
      <c r="A58" s="1"/>
      <c r="B58" s="9">
        <f>_xlfn.STDEV.P('中国汇率&amp;期货（ln）'!B58:B77)</f>
      </c>
      <c r="C58" s="9">
        <f>_xlfn.STDEV.P('中国汇率&amp;期货（ln）'!C58:C77)</f>
      </c>
      <c r="D58" s="9">
        <f>_xlfn.STDEV.P('中国汇率&amp;期货（ln）'!D58:D77)</f>
      </c>
      <c r="E58" s="9">
        <f>_xlfn.STDEV.P('中国汇率&amp;期货（ln）'!E58:E77)</f>
      </c>
      <c r="F58" s="9">
        <f>_xlfn.STDEV.P('中国汇率&amp;期货（ln）'!F58:F77)</f>
      </c>
      <c r="G58" s="9">
        <f>_xlfn.STDEV.P('中国汇率&amp;期货（ln）'!G58:G77)</f>
      </c>
      <c r="H58" s="9">
        <f>_xlfn.STDEV.P('中国汇率&amp;期货（ln）'!H58:H77)</f>
      </c>
      <c r="I58" s="9">
        <f>_xlfn.STDEV.P('中国汇率&amp;期货（ln）'!I58:I77)</f>
      </c>
      <c r="J58" s="9">
        <f>_xlfn.STDEV.P('中国汇率&amp;期货（ln）'!J58:J77)</f>
      </c>
      <c r="K58" s="9">
        <f>_xlfn.STDEV.P('中国汇率&amp;期货（ln）'!K58:K77)</f>
      </c>
      <c r="L58" s="9">
        <f>_xlfn.STDEV.P('中国汇率&amp;期货（ln）'!L58:L77)</f>
      </c>
      <c r="M58" s="9">
        <f>_xlfn.STDEV.P('中国汇率&amp;期货（ln）'!M58:M77)</f>
      </c>
      <c r="N58" s="9">
        <f>_xlfn.STDEV.P('中国汇率&amp;期货（ln）'!N58:N77)</f>
      </c>
      <c r="O58" s="9">
        <f>_xlfn.STDEV.P('中国汇率&amp;期货（ln）'!O58:O77)</f>
      </c>
      <c r="P58" s="9">
        <f>_xlfn.STDEV.P('中国汇率&amp;期货（ln）'!P58:P77)</f>
      </c>
      <c r="Q58" s="9">
        <f>_xlfn.STDEV.P('中国汇率&amp;期货（ln）'!Q58:Q77)</f>
      </c>
      <c r="R58" s="9">
        <f>_xlfn.STDEV.P('中国汇率&amp;期货（ln）'!R58:R77)</f>
      </c>
      <c r="S58" s="9">
        <f>_xlfn.STDEV.P('中国汇率&amp;期货（ln）'!S58:S77)</f>
      </c>
      <c r="T58" s="9">
        <f>_xlfn.STDEV.P('中国汇率&amp;期货（ln）'!T58:T77)</f>
      </c>
      <c r="U58" s="9">
        <f>_xlfn.STDEV.P('中国汇率&amp;期货（ln）'!U58:U77)</f>
      </c>
      <c r="V58" s="9">
        <f>_xlfn.STDEV.P('中国汇率&amp;期货（ln）'!V58:V77)</f>
      </c>
      <c r="W58" s="9">
        <f>_xlfn.STDEV.P('中国汇率&amp;期货（ln）'!W58:W77)</f>
      </c>
      <c r="X58" s="9">
        <f>_xlfn.STDEV.P('中国汇率&amp;期货（ln）'!X58:X77)</f>
      </c>
      <c r="Y58" s="9">
        <f>_xlfn.STDEV.P('中国汇率&amp;期货（ln）'!Y58:Y77)</f>
      </c>
      <c r="Z58" s="9">
        <f>_xlfn.STDEV.P('中国汇率&amp;期货（ln）'!Z58:Z77)</f>
      </c>
      <c r="AA58" s="9">
        <f>_xlfn.STDEV.P('中国汇率&amp;期货（ln）'!AA58:AA77)</f>
      </c>
      <c r="AB58" s="9">
        <f>_xlfn.STDEV.P('中国汇率&amp;期货（ln）'!AB58:AB77)</f>
      </c>
      <c r="AC58" s="9">
        <f>_xlfn.STDEV.P('中国汇率&amp;期货（ln）'!AC58:AC77)</f>
      </c>
      <c r="AD58" s="9">
        <f>_xlfn.STDEV.P('中国汇率&amp;期货（ln）'!AD58:AD77)</f>
      </c>
      <c r="AE58" s="9">
        <f>_xlfn.STDEV.P('中国汇率&amp;期货（ln）'!AE58:AE77)</f>
      </c>
      <c r="AF58" s="9">
        <f>_xlfn.STDEV.P('中国汇率&amp;期货（ln）'!AF58:AF77)</f>
      </c>
      <c r="AG58" s="9">
        <f>_xlfn.STDEV.P('中国汇率&amp;期货（ln）'!AG58:AG77)</f>
      </c>
      <c r="AH58" s="9">
        <f>_xlfn.STDEV.P('中国汇率&amp;期货（ln）'!AH58:AH77)</f>
      </c>
      <c r="AI58" s="9">
        <f>_xlfn.STDEV.P('中国汇率&amp;期货（ln）'!AI58:AI77)</f>
      </c>
      <c r="AJ58" s="9">
        <f>_xlfn.STDEV.P('中国汇率&amp;期货（ln）'!AJ58:AJ77)</f>
      </c>
      <c r="AK58" s="9">
        <f>_xlfn.STDEV.P('中国汇率&amp;期货（ln）'!AK58:AK77)</f>
      </c>
      <c r="AL58" s="9">
        <f>_xlfn.STDEV.P('中国汇率&amp;期货（ln）'!AL58:AL77)</f>
      </c>
      <c r="AM58" s="9">
        <f>_xlfn.STDEV.P('中国汇率&amp;期货（ln）'!AM58:AM77)</f>
      </c>
      <c r="AN58" s="9">
        <f>_xlfn.STDEV.P('中国汇率&amp;期货（ln）'!AN58:AN77)</f>
      </c>
      <c r="AO58" s="9">
        <f>_xlfn.STDEV.P('中国汇率&amp;期货（ln）'!AO58:AO77)</f>
      </c>
      <c r="AP58" s="9">
        <f>_xlfn.STDEV.P('中国汇率&amp;期货（ln）'!AP58:AP77)</f>
      </c>
      <c r="AQ58" s="9">
        <f>_xlfn.STDEV.P('中国汇率&amp;期货（ln）'!AQ58:AQ77)</f>
      </c>
      <c r="AR58" s="9">
        <f>_xlfn.STDEV.P('中国汇率&amp;期货（ln）'!AR58:AR77)</f>
      </c>
      <c r="AS58" s="9">
        <f>_xlfn.STDEV.P('中国汇率&amp;期货（ln）'!AS58:AS77)</f>
      </c>
      <c r="AT58" s="9">
        <f>_xlfn.STDEV.P('中国汇率&amp;期货（ln）'!AT58:AT77)</f>
      </c>
      <c r="AU58" s="9">
        <f>_xlfn.STDEV.P('中国汇率&amp;期货（ln）'!AU58:AU77)</f>
      </c>
      <c r="AV58" s="9">
        <f>_xlfn.STDEV.P('中国汇率&amp;期货（ln）'!AV58:AV77)</f>
      </c>
      <c r="AW58" s="9">
        <f>_xlfn.STDEV.P('中国汇率&amp;期货（ln）'!AW58:AW77)</f>
      </c>
      <c r="AX58" s="9">
        <f>_xlfn.STDEV.P('中国汇率&amp;期货（ln）'!AX58:AX77)</f>
      </c>
      <c r="AY58" s="9">
        <f>_xlfn.STDEV.P('中国汇率&amp;期货（ln）'!AY58:AY77)</f>
      </c>
      <c r="AZ58" s="9">
        <f>_xlfn.STDEV.P('中国汇率&amp;期货（ln）'!AZ58:AZ77)</f>
      </c>
      <c r="BA58" s="9">
        <f>_xlfn.STDEV.P('中国汇率&amp;期货（ln）'!BA58:BA77)</f>
      </c>
      <c r="BB58" s="9">
        <f>_xlfn.STDEV.P('中国汇率&amp;期货（ln）'!BB58:BB77)</f>
      </c>
      <c r="BC58" s="9">
        <f>_xlfn.STDEV.P('中国汇率&amp;期货（ln）'!BC58:BC77)</f>
      </c>
      <c r="BD58" s="9">
        <f>_xlfn.STDEV.P('中国汇率&amp;期货（ln）'!BD58:BD77)</f>
      </c>
      <c r="BE58" s="9">
        <f>_xlfn.STDEV.P('中国汇率&amp;期货（ln）'!BE58:BE77)</f>
      </c>
    </row>
    <row x14ac:dyDescent="0.25" r="59" customHeight="1" ht="18.75">
      <c r="A59" s="1"/>
      <c r="B59" s="9">
        <f>_xlfn.STDEV.P('中国汇率&amp;期货（ln）'!B59:B78)</f>
      </c>
      <c r="C59" s="9">
        <f>_xlfn.STDEV.P('中国汇率&amp;期货（ln）'!C59:C78)</f>
      </c>
      <c r="D59" s="9">
        <f>_xlfn.STDEV.P('中国汇率&amp;期货（ln）'!D59:D78)</f>
      </c>
      <c r="E59" s="9">
        <f>_xlfn.STDEV.P('中国汇率&amp;期货（ln）'!E59:E78)</f>
      </c>
      <c r="F59" s="9">
        <f>_xlfn.STDEV.P('中国汇率&amp;期货（ln）'!F59:F78)</f>
      </c>
      <c r="G59" s="9">
        <f>_xlfn.STDEV.P('中国汇率&amp;期货（ln）'!G59:G78)</f>
      </c>
      <c r="H59" s="9">
        <f>_xlfn.STDEV.P('中国汇率&amp;期货（ln）'!H59:H78)</f>
      </c>
      <c r="I59" s="9">
        <f>_xlfn.STDEV.P('中国汇率&amp;期货（ln）'!I59:I78)</f>
      </c>
      <c r="J59" s="9">
        <f>_xlfn.STDEV.P('中国汇率&amp;期货（ln）'!J59:J78)</f>
      </c>
      <c r="K59" s="9">
        <f>_xlfn.STDEV.P('中国汇率&amp;期货（ln）'!K59:K78)</f>
      </c>
      <c r="L59" s="9">
        <f>_xlfn.STDEV.P('中国汇率&amp;期货（ln）'!L59:L78)</f>
      </c>
      <c r="M59" s="9">
        <f>_xlfn.STDEV.P('中国汇率&amp;期货（ln）'!M59:M78)</f>
      </c>
      <c r="N59" s="9">
        <f>_xlfn.STDEV.P('中国汇率&amp;期货（ln）'!N59:N78)</f>
      </c>
      <c r="O59" s="9">
        <f>_xlfn.STDEV.P('中国汇率&amp;期货（ln）'!O59:O78)</f>
      </c>
      <c r="P59" s="9">
        <f>_xlfn.STDEV.P('中国汇率&amp;期货（ln）'!P59:P78)</f>
      </c>
      <c r="Q59" s="9">
        <f>_xlfn.STDEV.P('中国汇率&amp;期货（ln）'!Q59:Q78)</f>
      </c>
      <c r="R59" s="9">
        <f>_xlfn.STDEV.P('中国汇率&amp;期货（ln）'!R59:R78)</f>
      </c>
      <c r="S59" s="9">
        <f>_xlfn.STDEV.P('中国汇率&amp;期货（ln）'!S59:S78)</f>
      </c>
      <c r="T59" s="9">
        <f>_xlfn.STDEV.P('中国汇率&amp;期货（ln）'!T59:T78)</f>
      </c>
      <c r="U59" s="9">
        <f>_xlfn.STDEV.P('中国汇率&amp;期货（ln）'!U59:U78)</f>
      </c>
      <c r="V59" s="9">
        <f>_xlfn.STDEV.P('中国汇率&amp;期货（ln）'!V59:V78)</f>
      </c>
      <c r="W59" s="9">
        <f>_xlfn.STDEV.P('中国汇率&amp;期货（ln）'!W59:W78)</f>
      </c>
      <c r="X59" s="9">
        <f>_xlfn.STDEV.P('中国汇率&amp;期货（ln）'!X59:X78)</f>
      </c>
      <c r="Y59" s="9">
        <f>_xlfn.STDEV.P('中国汇率&amp;期货（ln）'!Y59:Y78)</f>
      </c>
      <c r="Z59" s="9">
        <f>_xlfn.STDEV.P('中国汇率&amp;期货（ln）'!Z59:Z78)</f>
      </c>
      <c r="AA59" s="9">
        <f>_xlfn.STDEV.P('中国汇率&amp;期货（ln）'!AA59:AA78)</f>
      </c>
      <c r="AB59" s="9">
        <f>_xlfn.STDEV.P('中国汇率&amp;期货（ln）'!AB59:AB78)</f>
      </c>
      <c r="AC59" s="9">
        <f>_xlfn.STDEV.P('中国汇率&amp;期货（ln）'!AC59:AC78)</f>
      </c>
      <c r="AD59" s="9">
        <f>_xlfn.STDEV.P('中国汇率&amp;期货（ln）'!AD59:AD78)</f>
      </c>
      <c r="AE59" s="9">
        <f>_xlfn.STDEV.P('中国汇率&amp;期货（ln）'!AE59:AE78)</f>
      </c>
      <c r="AF59" s="9">
        <f>_xlfn.STDEV.P('中国汇率&amp;期货（ln）'!AF59:AF78)</f>
      </c>
      <c r="AG59" s="9">
        <f>_xlfn.STDEV.P('中国汇率&amp;期货（ln）'!AG59:AG78)</f>
      </c>
      <c r="AH59" s="9">
        <f>_xlfn.STDEV.P('中国汇率&amp;期货（ln）'!AH59:AH78)</f>
      </c>
      <c r="AI59" s="9">
        <f>_xlfn.STDEV.P('中国汇率&amp;期货（ln）'!AI59:AI78)</f>
      </c>
      <c r="AJ59" s="9">
        <f>_xlfn.STDEV.P('中国汇率&amp;期货（ln）'!AJ59:AJ78)</f>
      </c>
      <c r="AK59" s="9">
        <f>_xlfn.STDEV.P('中国汇率&amp;期货（ln）'!AK59:AK78)</f>
      </c>
      <c r="AL59" s="9">
        <f>_xlfn.STDEV.P('中国汇率&amp;期货（ln）'!AL59:AL78)</f>
      </c>
      <c r="AM59" s="9">
        <f>_xlfn.STDEV.P('中国汇率&amp;期货（ln）'!AM59:AM78)</f>
      </c>
      <c r="AN59" s="9">
        <f>_xlfn.STDEV.P('中国汇率&amp;期货（ln）'!AN59:AN78)</f>
      </c>
      <c r="AO59" s="9">
        <f>_xlfn.STDEV.P('中国汇率&amp;期货（ln）'!AO59:AO78)</f>
      </c>
      <c r="AP59" s="9">
        <f>_xlfn.STDEV.P('中国汇率&amp;期货（ln）'!AP59:AP78)</f>
      </c>
      <c r="AQ59" s="9">
        <f>_xlfn.STDEV.P('中国汇率&amp;期货（ln）'!AQ59:AQ78)</f>
      </c>
      <c r="AR59" s="9">
        <f>_xlfn.STDEV.P('中国汇率&amp;期货（ln）'!AR59:AR78)</f>
      </c>
      <c r="AS59" s="9">
        <f>_xlfn.STDEV.P('中国汇率&amp;期货（ln）'!AS59:AS78)</f>
      </c>
      <c r="AT59" s="9">
        <f>_xlfn.STDEV.P('中国汇率&amp;期货（ln）'!AT59:AT78)</f>
      </c>
      <c r="AU59" s="9">
        <f>_xlfn.STDEV.P('中国汇率&amp;期货（ln）'!AU59:AU78)</f>
      </c>
      <c r="AV59" s="9">
        <f>_xlfn.STDEV.P('中国汇率&amp;期货（ln）'!AV59:AV78)</f>
      </c>
      <c r="AW59" s="9">
        <f>_xlfn.STDEV.P('中国汇率&amp;期货（ln）'!AW59:AW78)</f>
      </c>
      <c r="AX59" s="9">
        <f>_xlfn.STDEV.P('中国汇率&amp;期货（ln）'!AX59:AX78)</f>
      </c>
      <c r="AY59" s="9">
        <f>_xlfn.STDEV.P('中国汇率&amp;期货（ln）'!AY59:AY78)</f>
      </c>
      <c r="AZ59" s="9">
        <f>_xlfn.STDEV.P('中国汇率&amp;期货（ln）'!AZ59:AZ78)</f>
      </c>
      <c r="BA59" s="9">
        <f>_xlfn.STDEV.P('中国汇率&amp;期货（ln）'!BA59:BA78)</f>
      </c>
      <c r="BB59" s="9">
        <f>_xlfn.STDEV.P('中国汇率&amp;期货（ln）'!BB59:BB78)</f>
      </c>
      <c r="BC59" s="9">
        <f>_xlfn.STDEV.P('中国汇率&amp;期货（ln）'!BC59:BC78)</f>
      </c>
      <c r="BD59" s="9">
        <f>_xlfn.STDEV.P('中国汇率&amp;期货（ln）'!BD59:BD78)</f>
      </c>
      <c r="BE59" s="9">
        <f>_xlfn.STDEV.P('中国汇率&amp;期货（ln）'!BE59:BE78)</f>
      </c>
    </row>
    <row x14ac:dyDescent="0.25" r="60" customHeight="1" ht="18.75">
      <c r="A60" s="1"/>
      <c r="B60" s="9">
        <f>_xlfn.STDEV.P('中国汇率&amp;期货（ln）'!B60:B79)</f>
      </c>
      <c r="C60" s="9">
        <f>_xlfn.STDEV.P('中国汇率&amp;期货（ln）'!C60:C79)</f>
      </c>
      <c r="D60" s="9">
        <f>_xlfn.STDEV.P('中国汇率&amp;期货（ln）'!D60:D79)</f>
      </c>
      <c r="E60" s="9">
        <f>_xlfn.STDEV.P('中国汇率&amp;期货（ln）'!E60:E79)</f>
      </c>
      <c r="F60" s="9">
        <f>_xlfn.STDEV.P('中国汇率&amp;期货（ln）'!F60:F79)</f>
      </c>
      <c r="G60" s="9">
        <f>_xlfn.STDEV.P('中国汇率&amp;期货（ln）'!G60:G79)</f>
      </c>
      <c r="H60" s="9">
        <f>_xlfn.STDEV.P('中国汇率&amp;期货（ln）'!H60:H79)</f>
      </c>
      <c r="I60" s="9">
        <f>_xlfn.STDEV.P('中国汇率&amp;期货（ln）'!I60:I79)</f>
      </c>
      <c r="J60" s="9">
        <f>_xlfn.STDEV.P('中国汇率&amp;期货（ln）'!J60:J79)</f>
      </c>
      <c r="K60" s="9">
        <f>_xlfn.STDEV.P('中国汇率&amp;期货（ln）'!K60:K79)</f>
      </c>
      <c r="L60" s="9">
        <f>_xlfn.STDEV.P('中国汇率&amp;期货（ln）'!L60:L79)</f>
      </c>
      <c r="M60" s="9">
        <f>_xlfn.STDEV.P('中国汇率&amp;期货（ln）'!M60:M79)</f>
      </c>
      <c r="N60" s="9">
        <f>_xlfn.STDEV.P('中国汇率&amp;期货（ln）'!N60:N79)</f>
      </c>
      <c r="O60" s="9">
        <f>_xlfn.STDEV.P('中国汇率&amp;期货（ln）'!O60:O79)</f>
      </c>
      <c r="P60" s="9">
        <f>_xlfn.STDEV.P('中国汇率&amp;期货（ln）'!P60:P79)</f>
      </c>
      <c r="Q60" s="9">
        <f>_xlfn.STDEV.P('中国汇率&amp;期货（ln）'!Q60:Q79)</f>
      </c>
      <c r="R60" s="9">
        <f>_xlfn.STDEV.P('中国汇率&amp;期货（ln）'!R60:R79)</f>
      </c>
      <c r="S60" s="9">
        <f>_xlfn.STDEV.P('中国汇率&amp;期货（ln）'!S60:S79)</f>
      </c>
      <c r="T60" s="9">
        <f>_xlfn.STDEV.P('中国汇率&amp;期货（ln）'!T60:T79)</f>
      </c>
      <c r="U60" s="9">
        <f>_xlfn.STDEV.P('中国汇率&amp;期货（ln）'!U60:U79)</f>
      </c>
      <c r="V60" s="9">
        <f>_xlfn.STDEV.P('中国汇率&amp;期货（ln）'!V60:V79)</f>
      </c>
      <c r="W60" s="9">
        <f>_xlfn.STDEV.P('中国汇率&amp;期货（ln）'!W60:W79)</f>
      </c>
      <c r="X60" s="9">
        <f>_xlfn.STDEV.P('中国汇率&amp;期货（ln）'!X60:X79)</f>
      </c>
      <c r="Y60" s="9">
        <f>_xlfn.STDEV.P('中国汇率&amp;期货（ln）'!Y60:Y79)</f>
      </c>
      <c r="Z60" s="9">
        <f>_xlfn.STDEV.P('中国汇率&amp;期货（ln）'!Z60:Z79)</f>
      </c>
      <c r="AA60" s="9">
        <f>_xlfn.STDEV.P('中国汇率&amp;期货（ln）'!AA60:AA79)</f>
      </c>
      <c r="AB60" s="9">
        <f>_xlfn.STDEV.P('中国汇率&amp;期货（ln）'!AB60:AB79)</f>
      </c>
      <c r="AC60" s="9">
        <f>_xlfn.STDEV.P('中国汇率&amp;期货（ln）'!AC60:AC79)</f>
      </c>
      <c r="AD60" s="9">
        <f>_xlfn.STDEV.P('中国汇率&amp;期货（ln）'!AD60:AD79)</f>
      </c>
      <c r="AE60" s="9">
        <f>_xlfn.STDEV.P('中国汇率&amp;期货（ln）'!AE60:AE79)</f>
      </c>
      <c r="AF60" s="9">
        <f>_xlfn.STDEV.P('中国汇率&amp;期货（ln）'!AF60:AF79)</f>
      </c>
      <c r="AG60" s="9">
        <f>_xlfn.STDEV.P('中国汇率&amp;期货（ln）'!AG60:AG79)</f>
      </c>
      <c r="AH60" s="9">
        <f>_xlfn.STDEV.P('中国汇率&amp;期货（ln）'!AH60:AH79)</f>
      </c>
      <c r="AI60" s="9">
        <f>_xlfn.STDEV.P('中国汇率&amp;期货（ln）'!AI60:AI79)</f>
      </c>
      <c r="AJ60" s="9">
        <f>_xlfn.STDEV.P('中国汇率&amp;期货（ln）'!AJ60:AJ79)</f>
      </c>
      <c r="AK60" s="9">
        <f>_xlfn.STDEV.P('中国汇率&amp;期货（ln）'!AK60:AK79)</f>
      </c>
      <c r="AL60" s="9">
        <f>_xlfn.STDEV.P('中国汇率&amp;期货（ln）'!AL60:AL79)</f>
      </c>
      <c r="AM60" s="9">
        <f>_xlfn.STDEV.P('中国汇率&amp;期货（ln）'!AM60:AM79)</f>
      </c>
      <c r="AN60" s="9">
        <f>_xlfn.STDEV.P('中国汇率&amp;期货（ln）'!AN60:AN79)</f>
      </c>
      <c r="AO60" s="9">
        <f>_xlfn.STDEV.P('中国汇率&amp;期货（ln）'!AO60:AO79)</f>
      </c>
      <c r="AP60" s="9">
        <f>_xlfn.STDEV.P('中国汇率&amp;期货（ln）'!AP60:AP79)</f>
      </c>
      <c r="AQ60" s="9">
        <f>_xlfn.STDEV.P('中国汇率&amp;期货（ln）'!AQ60:AQ79)</f>
      </c>
      <c r="AR60" s="9">
        <f>_xlfn.STDEV.P('中国汇率&amp;期货（ln）'!AR60:AR79)</f>
      </c>
      <c r="AS60" s="9">
        <f>_xlfn.STDEV.P('中国汇率&amp;期货（ln）'!AS60:AS79)</f>
      </c>
      <c r="AT60" s="9">
        <f>_xlfn.STDEV.P('中国汇率&amp;期货（ln）'!AT60:AT79)</f>
      </c>
      <c r="AU60" s="9">
        <f>_xlfn.STDEV.P('中国汇率&amp;期货（ln）'!AU60:AU79)</f>
      </c>
      <c r="AV60" s="9">
        <f>_xlfn.STDEV.P('中国汇率&amp;期货（ln）'!AV60:AV79)</f>
      </c>
      <c r="AW60" s="9">
        <f>_xlfn.STDEV.P('中国汇率&amp;期货（ln）'!AW60:AW79)</f>
      </c>
      <c r="AX60" s="9">
        <f>_xlfn.STDEV.P('中国汇率&amp;期货（ln）'!AX60:AX79)</f>
      </c>
      <c r="AY60" s="9">
        <f>_xlfn.STDEV.P('中国汇率&amp;期货（ln）'!AY60:AY79)</f>
      </c>
      <c r="AZ60" s="9">
        <f>_xlfn.STDEV.P('中国汇率&amp;期货（ln）'!AZ60:AZ79)</f>
      </c>
      <c r="BA60" s="9">
        <f>_xlfn.STDEV.P('中国汇率&amp;期货（ln）'!BA60:BA79)</f>
      </c>
      <c r="BB60" s="9">
        <f>_xlfn.STDEV.P('中国汇率&amp;期货（ln）'!BB60:BB79)</f>
      </c>
      <c r="BC60" s="9">
        <f>_xlfn.STDEV.P('中国汇率&amp;期货（ln）'!BC60:BC79)</f>
      </c>
      <c r="BD60" s="9">
        <f>_xlfn.STDEV.P('中国汇率&amp;期货（ln）'!BD60:BD79)</f>
      </c>
      <c r="BE60" s="9">
        <f>_xlfn.STDEV.P('中国汇率&amp;期货（ln）'!BE60:BE79)</f>
      </c>
    </row>
    <row x14ac:dyDescent="0.25" r="61" customHeight="1" ht="18.75">
      <c r="A61" s="1"/>
      <c r="B61" s="9">
        <f>_xlfn.STDEV.P('中国汇率&amp;期货（ln）'!B61:B80)</f>
      </c>
      <c r="C61" s="9">
        <f>_xlfn.STDEV.P('中国汇率&amp;期货（ln）'!C61:C80)</f>
      </c>
      <c r="D61" s="9">
        <f>_xlfn.STDEV.P('中国汇率&amp;期货（ln）'!D61:D80)</f>
      </c>
      <c r="E61" s="9">
        <f>_xlfn.STDEV.P('中国汇率&amp;期货（ln）'!E61:E80)</f>
      </c>
      <c r="F61" s="9">
        <f>_xlfn.STDEV.P('中国汇率&amp;期货（ln）'!F61:F80)</f>
      </c>
      <c r="G61" s="9">
        <f>_xlfn.STDEV.P('中国汇率&amp;期货（ln）'!G61:G80)</f>
      </c>
      <c r="H61" s="9">
        <f>_xlfn.STDEV.P('中国汇率&amp;期货（ln）'!H61:H80)</f>
      </c>
      <c r="I61" s="9">
        <f>_xlfn.STDEV.P('中国汇率&amp;期货（ln）'!I61:I80)</f>
      </c>
      <c r="J61" s="9">
        <f>_xlfn.STDEV.P('中国汇率&amp;期货（ln）'!J61:J80)</f>
      </c>
      <c r="K61" s="9">
        <f>_xlfn.STDEV.P('中国汇率&amp;期货（ln）'!K61:K80)</f>
      </c>
      <c r="L61" s="9">
        <f>_xlfn.STDEV.P('中国汇率&amp;期货（ln）'!L61:L80)</f>
      </c>
      <c r="M61" s="9">
        <f>_xlfn.STDEV.P('中国汇率&amp;期货（ln）'!M61:M80)</f>
      </c>
      <c r="N61" s="9">
        <f>_xlfn.STDEV.P('中国汇率&amp;期货（ln）'!N61:N80)</f>
      </c>
      <c r="O61" s="9">
        <f>_xlfn.STDEV.P('中国汇率&amp;期货（ln）'!O61:O80)</f>
      </c>
      <c r="P61" s="9">
        <f>_xlfn.STDEV.P('中国汇率&amp;期货（ln）'!P61:P80)</f>
      </c>
      <c r="Q61" s="9">
        <f>_xlfn.STDEV.P('中国汇率&amp;期货（ln）'!Q61:Q80)</f>
      </c>
      <c r="R61" s="9">
        <f>_xlfn.STDEV.P('中国汇率&amp;期货（ln）'!R61:R80)</f>
      </c>
      <c r="S61" s="9">
        <f>_xlfn.STDEV.P('中国汇率&amp;期货（ln）'!S61:S80)</f>
      </c>
      <c r="T61" s="9">
        <f>_xlfn.STDEV.P('中国汇率&amp;期货（ln）'!T61:T80)</f>
      </c>
      <c r="U61" s="9">
        <f>_xlfn.STDEV.P('中国汇率&amp;期货（ln）'!U61:U80)</f>
      </c>
      <c r="V61" s="9">
        <f>_xlfn.STDEV.P('中国汇率&amp;期货（ln）'!V61:V80)</f>
      </c>
      <c r="W61" s="9">
        <f>_xlfn.STDEV.P('中国汇率&amp;期货（ln）'!W61:W80)</f>
      </c>
      <c r="X61" s="9">
        <f>_xlfn.STDEV.P('中国汇率&amp;期货（ln）'!X61:X80)</f>
      </c>
      <c r="Y61" s="9">
        <f>_xlfn.STDEV.P('中国汇率&amp;期货（ln）'!Y61:Y80)</f>
      </c>
      <c r="Z61" s="9">
        <f>_xlfn.STDEV.P('中国汇率&amp;期货（ln）'!Z61:Z80)</f>
      </c>
      <c r="AA61" s="9">
        <f>_xlfn.STDEV.P('中国汇率&amp;期货（ln）'!AA61:AA80)</f>
      </c>
      <c r="AB61" s="9">
        <f>_xlfn.STDEV.P('中国汇率&amp;期货（ln）'!AB61:AB80)</f>
      </c>
      <c r="AC61" s="9">
        <f>_xlfn.STDEV.P('中国汇率&amp;期货（ln）'!AC61:AC80)</f>
      </c>
      <c r="AD61" s="9">
        <f>_xlfn.STDEV.P('中国汇率&amp;期货（ln）'!AD61:AD80)</f>
      </c>
      <c r="AE61" s="9">
        <f>_xlfn.STDEV.P('中国汇率&amp;期货（ln）'!AE61:AE80)</f>
      </c>
      <c r="AF61" s="9">
        <f>_xlfn.STDEV.P('中国汇率&amp;期货（ln）'!AF61:AF80)</f>
      </c>
      <c r="AG61" s="9">
        <f>_xlfn.STDEV.P('中国汇率&amp;期货（ln）'!AG61:AG80)</f>
      </c>
      <c r="AH61" s="9">
        <f>_xlfn.STDEV.P('中国汇率&amp;期货（ln）'!AH61:AH80)</f>
      </c>
      <c r="AI61" s="9">
        <f>_xlfn.STDEV.P('中国汇率&amp;期货（ln）'!AI61:AI80)</f>
      </c>
      <c r="AJ61" s="9">
        <f>_xlfn.STDEV.P('中国汇率&amp;期货（ln）'!AJ61:AJ80)</f>
      </c>
      <c r="AK61" s="9">
        <f>_xlfn.STDEV.P('中国汇率&amp;期货（ln）'!AK61:AK80)</f>
      </c>
      <c r="AL61" s="9">
        <f>_xlfn.STDEV.P('中国汇率&amp;期货（ln）'!AL61:AL80)</f>
      </c>
      <c r="AM61" s="9">
        <f>_xlfn.STDEV.P('中国汇率&amp;期货（ln）'!AM61:AM80)</f>
      </c>
      <c r="AN61" s="9">
        <f>_xlfn.STDEV.P('中国汇率&amp;期货（ln）'!AN61:AN80)</f>
      </c>
      <c r="AO61" s="9">
        <f>_xlfn.STDEV.P('中国汇率&amp;期货（ln）'!AO61:AO80)</f>
      </c>
      <c r="AP61" s="9">
        <f>_xlfn.STDEV.P('中国汇率&amp;期货（ln）'!AP61:AP80)</f>
      </c>
      <c r="AQ61" s="9">
        <f>_xlfn.STDEV.P('中国汇率&amp;期货（ln）'!AQ61:AQ80)</f>
      </c>
      <c r="AR61" s="9">
        <f>_xlfn.STDEV.P('中国汇率&amp;期货（ln）'!AR61:AR80)</f>
      </c>
      <c r="AS61" s="9">
        <f>_xlfn.STDEV.P('中国汇率&amp;期货（ln）'!AS61:AS80)</f>
      </c>
      <c r="AT61" s="9">
        <f>_xlfn.STDEV.P('中国汇率&amp;期货（ln）'!AT61:AT80)</f>
      </c>
      <c r="AU61" s="9">
        <f>_xlfn.STDEV.P('中国汇率&amp;期货（ln）'!AU61:AU80)</f>
      </c>
      <c r="AV61" s="9">
        <f>_xlfn.STDEV.P('中国汇率&amp;期货（ln）'!AV61:AV80)</f>
      </c>
      <c r="AW61" s="9">
        <f>_xlfn.STDEV.P('中国汇率&amp;期货（ln）'!AW61:AW80)</f>
      </c>
      <c r="AX61" s="9">
        <f>_xlfn.STDEV.P('中国汇率&amp;期货（ln）'!AX61:AX80)</f>
      </c>
      <c r="AY61" s="9">
        <f>_xlfn.STDEV.P('中国汇率&amp;期货（ln）'!AY61:AY80)</f>
      </c>
      <c r="AZ61" s="9">
        <f>_xlfn.STDEV.P('中国汇率&amp;期货（ln）'!AZ61:AZ80)</f>
      </c>
      <c r="BA61" s="9">
        <f>_xlfn.STDEV.P('中国汇率&amp;期货（ln）'!BA61:BA80)</f>
      </c>
      <c r="BB61" s="9">
        <f>_xlfn.STDEV.P('中国汇率&amp;期货（ln）'!BB61:BB80)</f>
      </c>
      <c r="BC61" s="9">
        <f>_xlfn.STDEV.P('中国汇率&amp;期货（ln）'!BC61:BC80)</f>
      </c>
      <c r="BD61" s="9">
        <f>_xlfn.STDEV.P('中国汇率&amp;期货（ln）'!BD61:BD80)</f>
      </c>
      <c r="BE61" s="9">
        <f>_xlfn.STDEV.P('中国汇率&amp;期货（ln）'!BE61:BE80)</f>
      </c>
    </row>
    <row x14ac:dyDescent="0.25" r="62" customHeight="1" ht="18.75">
      <c r="A62" s="1"/>
      <c r="B62" s="9">
        <f>_xlfn.STDEV.P('中国汇率&amp;期货（ln）'!B62:B81)</f>
      </c>
      <c r="C62" s="9">
        <f>_xlfn.STDEV.P('中国汇率&amp;期货（ln）'!C62:C81)</f>
      </c>
      <c r="D62" s="9">
        <f>_xlfn.STDEV.P('中国汇率&amp;期货（ln）'!D62:D81)</f>
      </c>
      <c r="E62" s="9">
        <f>_xlfn.STDEV.P('中国汇率&amp;期货（ln）'!E62:E81)</f>
      </c>
      <c r="F62" s="9">
        <f>_xlfn.STDEV.P('中国汇率&amp;期货（ln）'!F62:F81)</f>
      </c>
      <c r="G62" s="9">
        <f>_xlfn.STDEV.P('中国汇率&amp;期货（ln）'!G62:G81)</f>
      </c>
      <c r="H62" s="9">
        <f>_xlfn.STDEV.P('中国汇率&amp;期货（ln）'!H62:H81)</f>
      </c>
      <c r="I62" s="9">
        <f>_xlfn.STDEV.P('中国汇率&amp;期货（ln）'!I62:I81)</f>
      </c>
      <c r="J62" s="9">
        <f>_xlfn.STDEV.P('中国汇率&amp;期货（ln）'!J62:J81)</f>
      </c>
      <c r="K62" s="9">
        <f>_xlfn.STDEV.P('中国汇率&amp;期货（ln）'!K62:K81)</f>
      </c>
      <c r="L62" s="9">
        <f>_xlfn.STDEV.P('中国汇率&amp;期货（ln）'!L62:L81)</f>
      </c>
      <c r="M62" s="9">
        <f>_xlfn.STDEV.P('中国汇率&amp;期货（ln）'!M62:M81)</f>
      </c>
      <c r="N62" s="9">
        <f>_xlfn.STDEV.P('中国汇率&amp;期货（ln）'!N62:N81)</f>
      </c>
      <c r="O62" s="9">
        <f>_xlfn.STDEV.P('中国汇率&amp;期货（ln）'!O62:O81)</f>
      </c>
      <c r="P62" s="9">
        <f>_xlfn.STDEV.P('中国汇率&amp;期货（ln）'!P62:P81)</f>
      </c>
      <c r="Q62" s="9">
        <f>_xlfn.STDEV.P('中国汇率&amp;期货（ln）'!Q62:Q81)</f>
      </c>
      <c r="R62" s="9">
        <f>_xlfn.STDEV.P('中国汇率&amp;期货（ln）'!R62:R81)</f>
      </c>
      <c r="S62" s="9">
        <f>_xlfn.STDEV.P('中国汇率&amp;期货（ln）'!S62:S81)</f>
      </c>
      <c r="T62" s="9">
        <f>_xlfn.STDEV.P('中国汇率&amp;期货（ln）'!T62:T81)</f>
      </c>
      <c r="U62" s="9">
        <f>_xlfn.STDEV.P('中国汇率&amp;期货（ln）'!U62:U81)</f>
      </c>
      <c r="V62" s="9">
        <f>_xlfn.STDEV.P('中国汇率&amp;期货（ln）'!V62:V81)</f>
      </c>
      <c r="W62" s="9">
        <f>_xlfn.STDEV.P('中国汇率&amp;期货（ln）'!W62:W81)</f>
      </c>
      <c r="X62" s="9">
        <f>_xlfn.STDEV.P('中国汇率&amp;期货（ln）'!X62:X81)</f>
      </c>
      <c r="Y62" s="9">
        <f>_xlfn.STDEV.P('中国汇率&amp;期货（ln）'!Y62:Y81)</f>
      </c>
      <c r="Z62" s="9">
        <f>_xlfn.STDEV.P('中国汇率&amp;期货（ln）'!Z62:Z81)</f>
      </c>
      <c r="AA62" s="9">
        <f>_xlfn.STDEV.P('中国汇率&amp;期货（ln）'!AA62:AA81)</f>
      </c>
      <c r="AB62" s="9">
        <f>_xlfn.STDEV.P('中国汇率&amp;期货（ln）'!AB62:AB81)</f>
      </c>
      <c r="AC62" s="9">
        <f>_xlfn.STDEV.P('中国汇率&amp;期货（ln）'!AC62:AC81)</f>
      </c>
      <c r="AD62" s="9">
        <f>_xlfn.STDEV.P('中国汇率&amp;期货（ln）'!AD62:AD81)</f>
      </c>
      <c r="AE62" s="9">
        <f>_xlfn.STDEV.P('中国汇率&amp;期货（ln）'!AE62:AE81)</f>
      </c>
      <c r="AF62" s="9">
        <f>_xlfn.STDEV.P('中国汇率&amp;期货（ln）'!AF62:AF81)</f>
      </c>
      <c r="AG62" s="9">
        <f>_xlfn.STDEV.P('中国汇率&amp;期货（ln）'!AG62:AG81)</f>
      </c>
      <c r="AH62" s="9">
        <f>_xlfn.STDEV.P('中国汇率&amp;期货（ln）'!AH62:AH81)</f>
      </c>
      <c r="AI62" s="9">
        <f>_xlfn.STDEV.P('中国汇率&amp;期货（ln）'!AI62:AI81)</f>
      </c>
      <c r="AJ62" s="9">
        <f>_xlfn.STDEV.P('中国汇率&amp;期货（ln）'!AJ62:AJ81)</f>
      </c>
      <c r="AK62" s="9">
        <f>_xlfn.STDEV.P('中国汇率&amp;期货（ln）'!AK62:AK81)</f>
      </c>
      <c r="AL62" s="9">
        <f>_xlfn.STDEV.P('中国汇率&amp;期货（ln）'!AL62:AL81)</f>
      </c>
      <c r="AM62" s="9">
        <f>_xlfn.STDEV.P('中国汇率&amp;期货（ln）'!AM62:AM81)</f>
      </c>
      <c r="AN62" s="9">
        <f>_xlfn.STDEV.P('中国汇率&amp;期货（ln）'!AN62:AN81)</f>
      </c>
      <c r="AO62" s="9">
        <f>_xlfn.STDEV.P('中国汇率&amp;期货（ln）'!AO62:AO81)</f>
      </c>
      <c r="AP62" s="9">
        <f>_xlfn.STDEV.P('中国汇率&amp;期货（ln）'!AP62:AP81)</f>
      </c>
      <c r="AQ62" s="9">
        <f>_xlfn.STDEV.P('中国汇率&amp;期货（ln）'!AQ62:AQ81)</f>
      </c>
      <c r="AR62" s="9">
        <f>_xlfn.STDEV.P('中国汇率&amp;期货（ln）'!AR62:AR81)</f>
      </c>
      <c r="AS62" s="9">
        <f>_xlfn.STDEV.P('中国汇率&amp;期货（ln）'!AS62:AS81)</f>
      </c>
      <c r="AT62" s="9">
        <f>_xlfn.STDEV.P('中国汇率&amp;期货（ln）'!AT62:AT81)</f>
      </c>
      <c r="AU62" s="9">
        <f>_xlfn.STDEV.P('中国汇率&amp;期货（ln）'!AU62:AU81)</f>
      </c>
      <c r="AV62" s="9">
        <f>_xlfn.STDEV.P('中国汇率&amp;期货（ln）'!AV62:AV81)</f>
      </c>
      <c r="AW62" s="9">
        <f>_xlfn.STDEV.P('中国汇率&amp;期货（ln）'!AW62:AW81)</f>
      </c>
      <c r="AX62" s="9">
        <f>_xlfn.STDEV.P('中国汇率&amp;期货（ln）'!AX62:AX81)</f>
      </c>
      <c r="AY62" s="9">
        <f>_xlfn.STDEV.P('中国汇率&amp;期货（ln）'!AY62:AY81)</f>
      </c>
      <c r="AZ62" s="9">
        <f>_xlfn.STDEV.P('中国汇率&amp;期货（ln）'!AZ62:AZ81)</f>
      </c>
      <c r="BA62" s="9">
        <f>_xlfn.STDEV.P('中国汇率&amp;期货（ln）'!BA62:BA81)</f>
      </c>
      <c r="BB62" s="9">
        <f>_xlfn.STDEV.P('中国汇率&amp;期货（ln）'!BB62:BB81)</f>
      </c>
      <c r="BC62" s="9">
        <f>_xlfn.STDEV.P('中国汇率&amp;期货（ln）'!BC62:BC81)</f>
      </c>
      <c r="BD62" s="9">
        <f>_xlfn.STDEV.P('中国汇率&amp;期货（ln）'!BD62:BD81)</f>
      </c>
      <c r="BE62" s="9">
        <f>_xlfn.STDEV.P('中国汇率&amp;期货（ln）'!BE62:BE81)</f>
      </c>
    </row>
    <row x14ac:dyDescent="0.25" r="63" customHeight="1" ht="18.75">
      <c r="A63" s="1"/>
      <c r="B63" s="9">
        <f>_xlfn.STDEV.P('中国汇率&amp;期货（ln）'!B63:B82)</f>
      </c>
      <c r="C63" s="9">
        <f>_xlfn.STDEV.P('中国汇率&amp;期货（ln）'!C63:C82)</f>
      </c>
      <c r="D63" s="9">
        <f>_xlfn.STDEV.P('中国汇率&amp;期货（ln）'!D63:D82)</f>
      </c>
      <c r="E63" s="9">
        <f>_xlfn.STDEV.P('中国汇率&amp;期货（ln）'!E63:E82)</f>
      </c>
      <c r="F63" s="9">
        <f>_xlfn.STDEV.P('中国汇率&amp;期货（ln）'!F63:F82)</f>
      </c>
      <c r="G63" s="9">
        <f>_xlfn.STDEV.P('中国汇率&amp;期货（ln）'!G63:G82)</f>
      </c>
      <c r="H63" s="9">
        <f>_xlfn.STDEV.P('中国汇率&amp;期货（ln）'!H63:H82)</f>
      </c>
      <c r="I63" s="9">
        <f>_xlfn.STDEV.P('中国汇率&amp;期货（ln）'!I63:I82)</f>
      </c>
      <c r="J63" s="9">
        <f>_xlfn.STDEV.P('中国汇率&amp;期货（ln）'!J63:J82)</f>
      </c>
      <c r="K63" s="9">
        <f>_xlfn.STDEV.P('中国汇率&amp;期货（ln）'!K63:K82)</f>
      </c>
      <c r="L63" s="9">
        <f>_xlfn.STDEV.P('中国汇率&amp;期货（ln）'!L63:L82)</f>
      </c>
      <c r="M63" s="9">
        <f>_xlfn.STDEV.P('中国汇率&amp;期货（ln）'!M63:M82)</f>
      </c>
      <c r="N63" s="9">
        <f>_xlfn.STDEV.P('中国汇率&amp;期货（ln）'!N63:N82)</f>
      </c>
      <c r="O63" s="9">
        <f>_xlfn.STDEV.P('中国汇率&amp;期货（ln）'!O63:O82)</f>
      </c>
      <c r="P63" s="9">
        <f>_xlfn.STDEV.P('中国汇率&amp;期货（ln）'!P63:P82)</f>
      </c>
      <c r="Q63" s="9">
        <f>_xlfn.STDEV.P('中国汇率&amp;期货（ln）'!Q63:Q82)</f>
      </c>
      <c r="R63" s="9">
        <f>_xlfn.STDEV.P('中国汇率&amp;期货（ln）'!R63:R82)</f>
      </c>
      <c r="S63" s="9">
        <f>_xlfn.STDEV.P('中国汇率&amp;期货（ln）'!S63:S82)</f>
      </c>
      <c r="T63" s="9">
        <f>_xlfn.STDEV.P('中国汇率&amp;期货（ln）'!T63:T82)</f>
      </c>
      <c r="U63" s="9">
        <f>_xlfn.STDEV.P('中国汇率&amp;期货（ln）'!U63:U82)</f>
      </c>
      <c r="V63" s="9">
        <f>_xlfn.STDEV.P('中国汇率&amp;期货（ln）'!V63:V82)</f>
      </c>
      <c r="W63" s="9">
        <f>_xlfn.STDEV.P('中国汇率&amp;期货（ln）'!W63:W82)</f>
      </c>
      <c r="X63" s="9">
        <f>_xlfn.STDEV.P('中国汇率&amp;期货（ln）'!X63:X82)</f>
      </c>
      <c r="Y63" s="9">
        <f>_xlfn.STDEV.P('中国汇率&amp;期货（ln）'!Y63:Y82)</f>
      </c>
      <c r="Z63" s="9">
        <f>_xlfn.STDEV.P('中国汇率&amp;期货（ln）'!Z63:Z82)</f>
      </c>
      <c r="AA63" s="9">
        <f>_xlfn.STDEV.P('中国汇率&amp;期货（ln）'!AA63:AA82)</f>
      </c>
      <c r="AB63" s="9">
        <f>_xlfn.STDEV.P('中国汇率&amp;期货（ln）'!AB63:AB82)</f>
      </c>
      <c r="AC63" s="9">
        <f>_xlfn.STDEV.P('中国汇率&amp;期货（ln）'!AC63:AC82)</f>
      </c>
      <c r="AD63" s="9">
        <f>_xlfn.STDEV.P('中国汇率&amp;期货（ln）'!AD63:AD82)</f>
      </c>
      <c r="AE63" s="9">
        <f>_xlfn.STDEV.P('中国汇率&amp;期货（ln）'!AE63:AE82)</f>
      </c>
      <c r="AF63" s="9">
        <f>_xlfn.STDEV.P('中国汇率&amp;期货（ln）'!AF63:AF82)</f>
      </c>
      <c r="AG63" s="9">
        <f>_xlfn.STDEV.P('中国汇率&amp;期货（ln）'!AG63:AG82)</f>
      </c>
      <c r="AH63" s="9">
        <f>_xlfn.STDEV.P('中国汇率&amp;期货（ln）'!AH63:AH82)</f>
      </c>
      <c r="AI63" s="9">
        <f>_xlfn.STDEV.P('中国汇率&amp;期货（ln）'!AI63:AI82)</f>
      </c>
      <c r="AJ63" s="9">
        <f>_xlfn.STDEV.P('中国汇率&amp;期货（ln）'!AJ63:AJ82)</f>
      </c>
      <c r="AK63" s="9">
        <f>_xlfn.STDEV.P('中国汇率&amp;期货（ln）'!AK63:AK82)</f>
      </c>
      <c r="AL63" s="9">
        <f>_xlfn.STDEV.P('中国汇率&amp;期货（ln）'!AL63:AL82)</f>
      </c>
      <c r="AM63" s="9">
        <f>_xlfn.STDEV.P('中国汇率&amp;期货（ln）'!AM63:AM82)</f>
      </c>
      <c r="AN63" s="9">
        <f>_xlfn.STDEV.P('中国汇率&amp;期货（ln）'!AN63:AN82)</f>
      </c>
      <c r="AO63" s="9">
        <f>_xlfn.STDEV.P('中国汇率&amp;期货（ln）'!AO63:AO82)</f>
      </c>
      <c r="AP63" s="9">
        <f>_xlfn.STDEV.P('中国汇率&amp;期货（ln）'!AP63:AP82)</f>
      </c>
      <c r="AQ63" s="9">
        <f>_xlfn.STDEV.P('中国汇率&amp;期货（ln）'!AQ63:AQ82)</f>
      </c>
      <c r="AR63" s="9">
        <f>_xlfn.STDEV.P('中国汇率&amp;期货（ln）'!AR63:AR82)</f>
      </c>
      <c r="AS63" s="9">
        <f>_xlfn.STDEV.P('中国汇率&amp;期货（ln）'!AS63:AS82)</f>
      </c>
      <c r="AT63" s="9">
        <f>_xlfn.STDEV.P('中国汇率&amp;期货（ln）'!AT63:AT82)</f>
      </c>
      <c r="AU63" s="9">
        <f>_xlfn.STDEV.P('中国汇率&amp;期货（ln）'!AU63:AU82)</f>
      </c>
      <c r="AV63" s="9">
        <f>_xlfn.STDEV.P('中国汇率&amp;期货（ln）'!AV63:AV82)</f>
      </c>
      <c r="AW63" s="9">
        <f>_xlfn.STDEV.P('中国汇率&amp;期货（ln）'!AW63:AW82)</f>
      </c>
      <c r="AX63" s="9">
        <f>_xlfn.STDEV.P('中国汇率&amp;期货（ln）'!AX63:AX82)</f>
      </c>
      <c r="AY63" s="9">
        <f>_xlfn.STDEV.P('中国汇率&amp;期货（ln）'!AY63:AY82)</f>
      </c>
      <c r="AZ63" s="9">
        <f>_xlfn.STDEV.P('中国汇率&amp;期货（ln）'!AZ63:AZ82)</f>
      </c>
      <c r="BA63" s="9">
        <f>_xlfn.STDEV.P('中国汇率&amp;期货（ln）'!BA63:BA82)</f>
      </c>
      <c r="BB63" s="9">
        <f>_xlfn.STDEV.P('中国汇率&amp;期货（ln）'!BB63:BB82)</f>
      </c>
      <c r="BC63" s="9">
        <f>_xlfn.STDEV.P('中国汇率&amp;期货（ln）'!BC63:BC82)</f>
      </c>
      <c r="BD63" s="9">
        <f>_xlfn.STDEV.P('中国汇率&amp;期货（ln）'!BD63:BD82)</f>
      </c>
      <c r="BE63" s="9">
        <f>_xlfn.STDEV.P('中国汇率&amp;期货（ln）'!BE63:BE82)</f>
      </c>
    </row>
    <row x14ac:dyDescent="0.25" r="64" customHeight="1" ht="18.75">
      <c r="A64" s="1"/>
      <c r="B64" s="9">
        <f>_xlfn.STDEV.P('中国汇率&amp;期货（ln）'!B64:B83)</f>
      </c>
      <c r="C64" s="9">
        <f>_xlfn.STDEV.P('中国汇率&amp;期货（ln）'!C64:C83)</f>
      </c>
      <c r="D64" s="9">
        <f>_xlfn.STDEV.P('中国汇率&amp;期货（ln）'!D64:D83)</f>
      </c>
      <c r="E64" s="9">
        <f>_xlfn.STDEV.P('中国汇率&amp;期货（ln）'!E64:E83)</f>
      </c>
      <c r="F64" s="9">
        <f>_xlfn.STDEV.P('中国汇率&amp;期货（ln）'!F64:F83)</f>
      </c>
      <c r="G64" s="9">
        <f>_xlfn.STDEV.P('中国汇率&amp;期货（ln）'!G64:G83)</f>
      </c>
      <c r="H64" s="9">
        <f>_xlfn.STDEV.P('中国汇率&amp;期货（ln）'!H64:H83)</f>
      </c>
      <c r="I64" s="9">
        <f>_xlfn.STDEV.P('中国汇率&amp;期货（ln）'!I64:I83)</f>
      </c>
      <c r="J64" s="9">
        <f>_xlfn.STDEV.P('中国汇率&amp;期货（ln）'!J64:J83)</f>
      </c>
      <c r="K64" s="9">
        <f>_xlfn.STDEV.P('中国汇率&amp;期货（ln）'!K64:K83)</f>
      </c>
      <c r="L64" s="9">
        <f>_xlfn.STDEV.P('中国汇率&amp;期货（ln）'!L64:L83)</f>
      </c>
      <c r="M64" s="9">
        <f>_xlfn.STDEV.P('中国汇率&amp;期货（ln）'!M64:M83)</f>
      </c>
      <c r="N64" s="9">
        <f>_xlfn.STDEV.P('中国汇率&amp;期货（ln）'!N64:N83)</f>
      </c>
      <c r="O64" s="9">
        <f>_xlfn.STDEV.P('中国汇率&amp;期货（ln）'!O64:O83)</f>
      </c>
      <c r="P64" s="9">
        <f>_xlfn.STDEV.P('中国汇率&amp;期货（ln）'!P64:P83)</f>
      </c>
      <c r="Q64" s="9">
        <f>_xlfn.STDEV.P('中国汇率&amp;期货（ln）'!Q64:Q83)</f>
      </c>
      <c r="R64" s="9">
        <f>_xlfn.STDEV.P('中国汇率&amp;期货（ln）'!R64:R83)</f>
      </c>
      <c r="S64" s="9">
        <f>_xlfn.STDEV.P('中国汇率&amp;期货（ln）'!S64:S83)</f>
      </c>
      <c r="T64" s="9">
        <f>_xlfn.STDEV.P('中国汇率&amp;期货（ln）'!T64:T83)</f>
      </c>
      <c r="U64" s="9">
        <f>_xlfn.STDEV.P('中国汇率&amp;期货（ln）'!U64:U83)</f>
      </c>
      <c r="V64" s="9">
        <f>_xlfn.STDEV.P('中国汇率&amp;期货（ln）'!V64:V83)</f>
      </c>
      <c r="W64" s="9">
        <f>_xlfn.STDEV.P('中国汇率&amp;期货（ln）'!W64:W83)</f>
      </c>
      <c r="X64" s="9">
        <f>_xlfn.STDEV.P('中国汇率&amp;期货（ln）'!X64:X83)</f>
      </c>
      <c r="Y64" s="9">
        <f>_xlfn.STDEV.P('中国汇率&amp;期货（ln）'!Y64:Y83)</f>
      </c>
      <c r="Z64" s="9">
        <f>_xlfn.STDEV.P('中国汇率&amp;期货（ln）'!Z64:Z83)</f>
      </c>
      <c r="AA64" s="9">
        <f>_xlfn.STDEV.P('中国汇率&amp;期货（ln）'!AA64:AA83)</f>
      </c>
      <c r="AB64" s="9">
        <f>_xlfn.STDEV.P('中国汇率&amp;期货（ln）'!AB64:AB83)</f>
      </c>
      <c r="AC64" s="9">
        <f>_xlfn.STDEV.P('中国汇率&amp;期货（ln）'!AC64:AC83)</f>
      </c>
      <c r="AD64" s="9">
        <f>_xlfn.STDEV.P('中国汇率&amp;期货（ln）'!AD64:AD83)</f>
      </c>
      <c r="AE64" s="9">
        <f>_xlfn.STDEV.P('中国汇率&amp;期货（ln）'!AE64:AE83)</f>
      </c>
      <c r="AF64" s="9">
        <f>_xlfn.STDEV.P('中国汇率&amp;期货（ln）'!AF64:AF83)</f>
      </c>
      <c r="AG64" s="9">
        <f>_xlfn.STDEV.P('中国汇率&amp;期货（ln）'!AG64:AG83)</f>
      </c>
      <c r="AH64" s="9">
        <f>_xlfn.STDEV.P('中国汇率&amp;期货（ln）'!AH64:AH83)</f>
      </c>
      <c r="AI64" s="9">
        <f>_xlfn.STDEV.P('中国汇率&amp;期货（ln）'!AI64:AI83)</f>
      </c>
      <c r="AJ64" s="9">
        <f>_xlfn.STDEV.P('中国汇率&amp;期货（ln）'!AJ64:AJ83)</f>
      </c>
      <c r="AK64" s="9">
        <f>_xlfn.STDEV.P('中国汇率&amp;期货（ln）'!AK64:AK83)</f>
      </c>
      <c r="AL64" s="9">
        <f>_xlfn.STDEV.P('中国汇率&amp;期货（ln）'!AL64:AL83)</f>
      </c>
      <c r="AM64" s="9">
        <f>_xlfn.STDEV.P('中国汇率&amp;期货（ln）'!AM64:AM83)</f>
      </c>
      <c r="AN64" s="9">
        <f>_xlfn.STDEV.P('中国汇率&amp;期货（ln）'!AN64:AN83)</f>
      </c>
      <c r="AO64" s="9">
        <f>_xlfn.STDEV.P('中国汇率&amp;期货（ln）'!AO64:AO83)</f>
      </c>
      <c r="AP64" s="9">
        <f>_xlfn.STDEV.P('中国汇率&amp;期货（ln）'!AP64:AP83)</f>
      </c>
      <c r="AQ64" s="9">
        <f>_xlfn.STDEV.P('中国汇率&amp;期货（ln）'!AQ64:AQ83)</f>
      </c>
      <c r="AR64" s="9">
        <f>_xlfn.STDEV.P('中国汇率&amp;期货（ln）'!AR64:AR83)</f>
      </c>
      <c r="AS64" s="9">
        <f>_xlfn.STDEV.P('中国汇率&amp;期货（ln）'!AS64:AS83)</f>
      </c>
      <c r="AT64" s="9">
        <f>_xlfn.STDEV.P('中国汇率&amp;期货（ln）'!AT64:AT83)</f>
      </c>
      <c r="AU64" s="9">
        <f>_xlfn.STDEV.P('中国汇率&amp;期货（ln）'!AU64:AU83)</f>
      </c>
      <c r="AV64" s="9">
        <f>_xlfn.STDEV.P('中国汇率&amp;期货（ln）'!AV64:AV83)</f>
      </c>
      <c r="AW64" s="9">
        <f>_xlfn.STDEV.P('中国汇率&amp;期货（ln）'!AW64:AW83)</f>
      </c>
      <c r="AX64" s="9">
        <f>_xlfn.STDEV.P('中国汇率&amp;期货（ln）'!AX64:AX83)</f>
      </c>
      <c r="AY64" s="9">
        <f>_xlfn.STDEV.P('中国汇率&amp;期货（ln）'!AY64:AY83)</f>
      </c>
      <c r="AZ64" s="9">
        <f>_xlfn.STDEV.P('中国汇率&amp;期货（ln）'!AZ64:AZ83)</f>
      </c>
      <c r="BA64" s="9">
        <f>_xlfn.STDEV.P('中国汇率&amp;期货（ln）'!BA64:BA83)</f>
      </c>
      <c r="BB64" s="9">
        <f>_xlfn.STDEV.P('中国汇率&amp;期货（ln）'!BB64:BB83)</f>
      </c>
      <c r="BC64" s="9">
        <f>_xlfn.STDEV.P('中国汇率&amp;期货（ln）'!BC64:BC83)</f>
      </c>
      <c r="BD64" s="9">
        <f>_xlfn.STDEV.P('中国汇率&amp;期货（ln）'!BD64:BD83)</f>
      </c>
      <c r="BE64" s="9">
        <f>_xlfn.STDEV.P('中国汇率&amp;期货（ln）'!BE64:BE83)</f>
      </c>
    </row>
    <row x14ac:dyDescent="0.25" r="65" customHeight="1" ht="18.75">
      <c r="A65" s="1"/>
      <c r="B65" s="9">
        <f>_xlfn.STDEV.P('中国汇率&amp;期货（ln）'!B65:B84)</f>
      </c>
      <c r="C65" s="9">
        <f>_xlfn.STDEV.P('中国汇率&amp;期货（ln）'!C65:C84)</f>
      </c>
      <c r="D65" s="9">
        <f>_xlfn.STDEV.P('中国汇率&amp;期货（ln）'!D65:D84)</f>
      </c>
      <c r="E65" s="9">
        <f>_xlfn.STDEV.P('中国汇率&amp;期货（ln）'!E65:E84)</f>
      </c>
      <c r="F65" s="9">
        <f>_xlfn.STDEV.P('中国汇率&amp;期货（ln）'!F65:F84)</f>
      </c>
      <c r="G65" s="9">
        <f>_xlfn.STDEV.P('中国汇率&amp;期货（ln）'!G65:G84)</f>
      </c>
      <c r="H65" s="9">
        <f>_xlfn.STDEV.P('中国汇率&amp;期货（ln）'!H65:H84)</f>
      </c>
      <c r="I65" s="9">
        <f>_xlfn.STDEV.P('中国汇率&amp;期货（ln）'!I65:I84)</f>
      </c>
      <c r="J65" s="9">
        <f>_xlfn.STDEV.P('中国汇率&amp;期货（ln）'!J65:J84)</f>
      </c>
      <c r="K65" s="9">
        <f>_xlfn.STDEV.P('中国汇率&amp;期货（ln）'!K65:K84)</f>
      </c>
      <c r="L65" s="9">
        <f>_xlfn.STDEV.P('中国汇率&amp;期货（ln）'!L65:L84)</f>
      </c>
      <c r="M65" s="9">
        <f>_xlfn.STDEV.P('中国汇率&amp;期货（ln）'!M65:M84)</f>
      </c>
      <c r="N65" s="9">
        <f>_xlfn.STDEV.P('中国汇率&amp;期货（ln）'!N65:N84)</f>
      </c>
      <c r="O65" s="9">
        <f>_xlfn.STDEV.P('中国汇率&amp;期货（ln）'!O65:O84)</f>
      </c>
      <c r="P65" s="9">
        <f>_xlfn.STDEV.P('中国汇率&amp;期货（ln）'!P65:P84)</f>
      </c>
      <c r="Q65" s="9">
        <f>_xlfn.STDEV.P('中国汇率&amp;期货（ln）'!Q65:Q84)</f>
      </c>
      <c r="R65" s="9">
        <f>_xlfn.STDEV.P('中国汇率&amp;期货（ln）'!R65:R84)</f>
      </c>
      <c r="S65" s="9">
        <f>_xlfn.STDEV.P('中国汇率&amp;期货（ln）'!S65:S84)</f>
      </c>
      <c r="T65" s="9">
        <f>_xlfn.STDEV.P('中国汇率&amp;期货（ln）'!T65:T84)</f>
      </c>
      <c r="U65" s="9">
        <f>_xlfn.STDEV.P('中国汇率&amp;期货（ln）'!U65:U84)</f>
      </c>
      <c r="V65" s="9">
        <f>_xlfn.STDEV.P('中国汇率&amp;期货（ln）'!V65:V84)</f>
      </c>
      <c r="W65" s="9">
        <f>_xlfn.STDEV.P('中国汇率&amp;期货（ln）'!W65:W84)</f>
      </c>
      <c r="X65" s="9">
        <f>_xlfn.STDEV.P('中国汇率&amp;期货（ln）'!X65:X84)</f>
      </c>
      <c r="Y65" s="9">
        <f>_xlfn.STDEV.P('中国汇率&amp;期货（ln）'!Y65:Y84)</f>
      </c>
      <c r="Z65" s="9">
        <f>_xlfn.STDEV.P('中国汇率&amp;期货（ln）'!Z65:Z84)</f>
      </c>
      <c r="AA65" s="9">
        <f>_xlfn.STDEV.P('中国汇率&amp;期货（ln）'!AA65:AA84)</f>
      </c>
      <c r="AB65" s="9">
        <f>_xlfn.STDEV.P('中国汇率&amp;期货（ln）'!AB65:AB84)</f>
      </c>
      <c r="AC65" s="9">
        <f>_xlfn.STDEV.P('中国汇率&amp;期货（ln）'!AC65:AC84)</f>
      </c>
      <c r="AD65" s="9">
        <f>_xlfn.STDEV.P('中国汇率&amp;期货（ln）'!AD65:AD84)</f>
      </c>
      <c r="AE65" s="9">
        <f>_xlfn.STDEV.P('中国汇率&amp;期货（ln）'!AE65:AE84)</f>
      </c>
      <c r="AF65" s="9">
        <f>_xlfn.STDEV.P('中国汇率&amp;期货（ln）'!AF65:AF84)</f>
      </c>
      <c r="AG65" s="9">
        <f>_xlfn.STDEV.P('中国汇率&amp;期货（ln）'!AG65:AG84)</f>
      </c>
      <c r="AH65" s="9">
        <f>_xlfn.STDEV.P('中国汇率&amp;期货（ln）'!AH65:AH84)</f>
      </c>
      <c r="AI65" s="9">
        <f>_xlfn.STDEV.P('中国汇率&amp;期货（ln）'!AI65:AI84)</f>
      </c>
      <c r="AJ65" s="9">
        <f>_xlfn.STDEV.P('中国汇率&amp;期货（ln）'!AJ65:AJ84)</f>
      </c>
      <c r="AK65" s="9">
        <f>_xlfn.STDEV.P('中国汇率&amp;期货（ln）'!AK65:AK84)</f>
      </c>
      <c r="AL65" s="9">
        <f>_xlfn.STDEV.P('中国汇率&amp;期货（ln）'!AL65:AL84)</f>
      </c>
      <c r="AM65" s="9">
        <f>_xlfn.STDEV.P('中国汇率&amp;期货（ln）'!AM65:AM84)</f>
      </c>
      <c r="AN65" s="9">
        <f>_xlfn.STDEV.P('中国汇率&amp;期货（ln）'!AN65:AN84)</f>
      </c>
      <c r="AO65" s="9">
        <f>_xlfn.STDEV.P('中国汇率&amp;期货（ln）'!AO65:AO84)</f>
      </c>
      <c r="AP65" s="9">
        <f>_xlfn.STDEV.P('中国汇率&amp;期货（ln）'!AP65:AP84)</f>
      </c>
      <c r="AQ65" s="9">
        <f>_xlfn.STDEV.P('中国汇率&amp;期货（ln）'!AQ65:AQ84)</f>
      </c>
      <c r="AR65" s="9">
        <f>_xlfn.STDEV.P('中国汇率&amp;期货（ln）'!AR65:AR84)</f>
      </c>
      <c r="AS65" s="9">
        <f>_xlfn.STDEV.P('中国汇率&amp;期货（ln）'!AS65:AS84)</f>
      </c>
      <c r="AT65" s="9">
        <f>_xlfn.STDEV.P('中国汇率&amp;期货（ln）'!AT65:AT84)</f>
      </c>
      <c r="AU65" s="9">
        <f>_xlfn.STDEV.P('中国汇率&amp;期货（ln）'!AU65:AU84)</f>
      </c>
      <c r="AV65" s="9">
        <f>_xlfn.STDEV.P('中国汇率&amp;期货（ln）'!AV65:AV84)</f>
      </c>
      <c r="AW65" s="9">
        <f>_xlfn.STDEV.P('中国汇率&amp;期货（ln）'!AW65:AW84)</f>
      </c>
      <c r="AX65" s="9">
        <f>_xlfn.STDEV.P('中国汇率&amp;期货（ln）'!AX65:AX84)</f>
      </c>
      <c r="AY65" s="9">
        <f>_xlfn.STDEV.P('中国汇率&amp;期货（ln）'!AY65:AY84)</f>
      </c>
      <c r="AZ65" s="9">
        <f>_xlfn.STDEV.P('中国汇率&amp;期货（ln）'!AZ65:AZ84)</f>
      </c>
      <c r="BA65" s="9">
        <f>_xlfn.STDEV.P('中国汇率&amp;期货（ln）'!BA65:BA84)</f>
      </c>
      <c r="BB65" s="9">
        <f>_xlfn.STDEV.P('中国汇率&amp;期货（ln）'!BB65:BB84)</f>
      </c>
      <c r="BC65" s="9">
        <f>_xlfn.STDEV.P('中国汇率&amp;期货（ln）'!BC65:BC84)</f>
      </c>
      <c r="BD65" s="9">
        <f>_xlfn.STDEV.P('中国汇率&amp;期货（ln）'!BD65:BD84)</f>
      </c>
      <c r="BE65" s="9">
        <f>_xlfn.STDEV.P('中国汇率&amp;期货（ln）'!BE65:BE84)</f>
      </c>
    </row>
    <row x14ac:dyDescent="0.25" r="66" customHeight="1" ht="18.75">
      <c r="A66" s="1"/>
      <c r="B66" s="9">
        <f>_xlfn.STDEV.P('中国汇率&amp;期货（ln）'!B66:B85)</f>
      </c>
      <c r="C66" s="9">
        <f>_xlfn.STDEV.P('中国汇率&amp;期货（ln）'!C66:C85)</f>
      </c>
      <c r="D66" s="9">
        <f>_xlfn.STDEV.P('中国汇率&amp;期货（ln）'!D66:D85)</f>
      </c>
      <c r="E66" s="9">
        <f>_xlfn.STDEV.P('中国汇率&amp;期货（ln）'!E66:E85)</f>
      </c>
      <c r="F66" s="9">
        <f>_xlfn.STDEV.P('中国汇率&amp;期货（ln）'!F66:F85)</f>
      </c>
      <c r="G66" s="9">
        <f>_xlfn.STDEV.P('中国汇率&amp;期货（ln）'!G66:G85)</f>
      </c>
      <c r="H66" s="9">
        <f>_xlfn.STDEV.P('中国汇率&amp;期货（ln）'!H66:H85)</f>
      </c>
      <c r="I66" s="9">
        <f>_xlfn.STDEV.P('中国汇率&amp;期货（ln）'!I66:I85)</f>
      </c>
      <c r="J66" s="9">
        <f>_xlfn.STDEV.P('中国汇率&amp;期货（ln）'!J66:J85)</f>
      </c>
      <c r="K66" s="9">
        <f>_xlfn.STDEV.P('中国汇率&amp;期货（ln）'!K66:K85)</f>
      </c>
      <c r="L66" s="9">
        <f>_xlfn.STDEV.P('中国汇率&amp;期货（ln）'!L66:L85)</f>
      </c>
      <c r="M66" s="9">
        <f>_xlfn.STDEV.P('中国汇率&amp;期货（ln）'!M66:M85)</f>
      </c>
      <c r="N66" s="9">
        <f>_xlfn.STDEV.P('中国汇率&amp;期货（ln）'!N66:N85)</f>
      </c>
      <c r="O66" s="9">
        <f>_xlfn.STDEV.P('中国汇率&amp;期货（ln）'!O66:O85)</f>
      </c>
      <c r="P66" s="9">
        <f>_xlfn.STDEV.P('中国汇率&amp;期货（ln）'!P66:P85)</f>
      </c>
      <c r="Q66" s="9">
        <f>_xlfn.STDEV.P('中国汇率&amp;期货（ln）'!Q66:Q85)</f>
      </c>
      <c r="R66" s="9">
        <f>_xlfn.STDEV.P('中国汇率&amp;期货（ln）'!R66:R85)</f>
      </c>
      <c r="S66" s="9">
        <f>_xlfn.STDEV.P('中国汇率&amp;期货（ln）'!S66:S85)</f>
      </c>
      <c r="T66" s="9">
        <f>_xlfn.STDEV.P('中国汇率&amp;期货（ln）'!T66:T85)</f>
      </c>
      <c r="U66" s="9">
        <f>_xlfn.STDEV.P('中国汇率&amp;期货（ln）'!U66:U85)</f>
      </c>
      <c r="V66" s="9">
        <f>_xlfn.STDEV.P('中国汇率&amp;期货（ln）'!V66:V85)</f>
      </c>
      <c r="W66" s="9">
        <f>_xlfn.STDEV.P('中国汇率&amp;期货（ln）'!W66:W85)</f>
      </c>
      <c r="X66" s="9">
        <f>_xlfn.STDEV.P('中国汇率&amp;期货（ln）'!X66:X85)</f>
      </c>
      <c r="Y66" s="9">
        <f>_xlfn.STDEV.P('中国汇率&amp;期货（ln）'!Y66:Y85)</f>
      </c>
      <c r="Z66" s="9">
        <f>_xlfn.STDEV.P('中国汇率&amp;期货（ln）'!Z66:Z85)</f>
      </c>
      <c r="AA66" s="9">
        <f>_xlfn.STDEV.P('中国汇率&amp;期货（ln）'!AA66:AA85)</f>
      </c>
      <c r="AB66" s="9">
        <f>_xlfn.STDEV.P('中国汇率&amp;期货（ln）'!AB66:AB85)</f>
      </c>
      <c r="AC66" s="9">
        <f>_xlfn.STDEV.P('中国汇率&amp;期货（ln）'!AC66:AC85)</f>
      </c>
      <c r="AD66" s="9">
        <f>_xlfn.STDEV.P('中国汇率&amp;期货（ln）'!AD66:AD85)</f>
      </c>
      <c r="AE66" s="9">
        <f>_xlfn.STDEV.P('中国汇率&amp;期货（ln）'!AE66:AE85)</f>
      </c>
      <c r="AF66" s="9">
        <f>_xlfn.STDEV.P('中国汇率&amp;期货（ln）'!AF66:AF85)</f>
      </c>
      <c r="AG66" s="9">
        <f>_xlfn.STDEV.P('中国汇率&amp;期货（ln）'!AG66:AG85)</f>
      </c>
      <c r="AH66" s="9">
        <f>_xlfn.STDEV.P('中国汇率&amp;期货（ln）'!AH66:AH85)</f>
      </c>
      <c r="AI66" s="9">
        <f>_xlfn.STDEV.P('中国汇率&amp;期货（ln）'!AI66:AI85)</f>
      </c>
      <c r="AJ66" s="9">
        <f>_xlfn.STDEV.P('中国汇率&amp;期货（ln）'!AJ66:AJ85)</f>
      </c>
      <c r="AK66" s="9">
        <f>_xlfn.STDEV.P('中国汇率&amp;期货（ln）'!AK66:AK85)</f>
      </c>
      <c r="AL66" s="9">
        <f>_xlfn.STDEV.P('中国汇率&amp;期货（ln）'!AL66:AL85)</f>
      </c>
      <c r="AM66" s="9">
        <f>_xlfn.STDEV.P('中国汇率&amp;期货（ln）'!AM66:AM85)</f>
      </c>
      <c r="AN66" s="9">
        <f>_xlfn.STDEV.P('中国汇率&amp;期货（ln）'!AN66:AN85)</f>
      </c>
      <c r="AO66" s="9">
        <f>_xlfn.STDEV.P('中国汇率&amp;期货（ln）'!AO66:AO85)</f>
      </c>
      <c r="AP66" s="9">
        <f>_xlfn.STDEV.P('中国汇率&amp;期货（ln）'!AP66:AP85)</f>
      </c>
      <c r="AQ66" s="9">
        <f>_xlfn.STDEV.P('中国汇率&amp;期货（ln）'!AQ66:AQ85)</f>
      </c>
      <c r="AR66" s="9">
        <f>_xlfn.STDEV.P('中国汇率&amp;期货（ln）'!AR66:AR85)</f>
      </c>
      <c r="AS66" s="9">
        <f>_xlfn.STDEV.P('中国汇率&amp;期货（ln）'!AS66:AS85)</f>
      </c>
      <c r="AT66" s="9">
        <f>_xlfn.STDEV.P('中国汇率&amp;期货（ln）'!AT66:AT85)</f>
      </c>
      <c r="AU66" s="9">
        <f>_xlfn.STDEV.P('中国汇率&amp;期货（ln）'!AU66:AU85)</f>
      </c>
      <c r="AV66" s="9">
        <f>_xlfn.STDEV.P('中国汇率&amp;期货（ln）'!AV66:AV85)</f>
      </c>
      <c r="AW66" s="9">
        <f>_xlfn.STDEV.P('中国汇率&amp;期货（ln）'!AW66:AW85)</f>
      </c>
      <c r="AX66" s="9">
        <f>_xlfn.STDEV.P('中国汇率&amp;期货（ln）'!AX66:AX85)</f>
      </c>
      <c r="AY66" s="9">
        <f>_xlfn.STDEV.P('中国汇率&amp;期货（ln）'!AY66:AY85)</f>
      </c>
      <c r="AZ66" s="9">
        <f>_xlfn.STDEV.P('中国汇率&amp;期货（ln）'!AZ66:AZ85)</f>
      </c>
      <c r="BA66" s="9">
        <f>_xlfn.STDEV.P('中国汇率&amp;期货（ln）'!BA66:BA85)</f>
      </c>
      <c r="BB66" s="9">
        <f>_xlfn.STDEV.P('中国汇率&amp;期货（ln）'!BB66:BB85)</f>
      </c>
      <c r="BC66" s="9">
        <f>_xlfn.STDEV.P('中国汇率&amp;期货（ln）'!BC66:BC85)</f>
      </c>
      <c r="BD66" s="9">
        <f>_xlfn.STDEV.P('中国汇率&amp;期货（ln）'!BD66:BD85)</f>
      </c>
      <c r="BE66" s="9">
        <f>_xlfn.STDEV.P('中国汇率&amp;期货（ln）'!BE66:BE85)</f>
      </c>
    </row>
    <row x14ac:dyDescent="0.25" r="67" customHeight="1" ht="18.75">
      <c r="A67" s="1"/>
      <c r="B67" s="9">
        <f>_xlfn.STDEV.P('中国汇率&amp;期货（ln）'!B67:B86)</f>
      </c>
      <c r="C67" s="9">
        <f>_xlfn.STDEV.P('中国汇率&amp;期货（ln）'!C67:C86)</f>
      </c>
      <c r="D67" s="9">
        <f>_xlfn.STDEV.P('中国汇率&amp;期货（ln）'!D67:D86)</f>
      </c>
      <c r="E67" s="9">
        <f>_xlfn.STDEV.P('中国汇率&amp;期货（ln）'!E67:E86)</f>
      </c>
      <c r="F67" s="9">
        <f>_xlfn.STDEV.P('中国汇率&amp;期货（ln）'!F67:F86)</f>
      </c>
      <c r="G67" s="9">
        <f>_xlfn.STDEV.P('中国汇率&amp;期货（ln）'!G67:G86)</f>
      </c>
      <c r="H67" s="9">
        <f>_xlfn.STDEV.P('中国汇率&amp;期货（ln）'!H67:H86)</f>
      </c>
      <c r="I67" s="9">
        <f>_xlfn.STDEV.P('中国汇率&amp;期货（ln）'!I67:I86)</f>
      </c>
      <c r="J67" s="9">
        <f>_xlfn.STDEV.P('中国汇率&amp;期货（ln）'!J67:J86)</f>
      </c>
      <c r="K67" s="9">
        <f>_xlfn.STDEV.P('中国汇率&amp;期货（ln）'!K67:K86)</f>
      </c>
      <c r="L67" s="9">
        <f>_xlfn.STDEV.P('中国汇率&amp;期货（ln）'!L67:L86)</f>
      </c>
      <c r="M67" s="9">
        <f>_xlfn.STDEV.P('中国汇率&amp;期货（ln）'!M67:M86)</f>
      </c>
      <c r="N67" s="9">
        <f>_xlfn.STDEV.P('中国汇率&amp;期货（ln）'!N67:N86)</f>
      </c>
      <c r="O67" s="9">
        <f>_xlfn.STDEV.P('中国汇率&amp;期货（ln）'!O67:O86)</f>
      </c>
      <c r="P67" s="9">
        <f>_xlfn.STDEV.P('中国汇率&amp;期货（ln）'!P67:P86)</f>
      </c>
      <c r="Q67" s="9">
        <f>_xlfn.STDEV.P('中国汇率&amp;期货（ln）'!Q67:Q86)</f>
      </c>
      <c r="R67" s="9">
        <f>_xlfn.STDEV.P('中国汇率&amp;期货（ln）'!R67:R86)</f>
      </c>
      <c r="S67" s="9">
        <f>_xlfn.STDEV.P('中国汇率&amp;期货（ln）'!S67:S86)</f>
      </c>
      <c r="T67" s="9">
        <f>_xlfn.STDEV.P('中国汇率&amp;期货（ln）'!T67:T86)</f>
      </c>
      <c r="U67" s="9">
        <f>_xlfn.STDEV.P('中国汇率&amp;期货（ln）'!U67:U86)</f>
      </c>
      <c r="V67" s="9">
        <f>_xlfn.STDEV.P('中国汇率&amp;期货（ln）'!V67:V86)</f>
      </c>
      <c r="W67" s="9">
        <f>_xlfn.STDEV.P('中国汇率&amp;期货（ln）'!W67:W86)</f>
      </c>
      <c r="X67" s="9">
        <f>_xlfn.STDEV.P('中国汇率&amp;期货（ln）'!X67:X86)</f>
      </c>
      <c r="Y67" s="9">
        <f>_xlfn.STDEV.P('中国汇率&amp;期货（ln）'!Y67:Y86)</f>
      </c>
      <c r="Z67" s="9">
        <f>_xlfn.STDEV.P('中国汇率&amp;期货（ln）'!Z67:Z86)</f>
      </c>
      <c r="AA67" s="9">
        <f>_xlfn.STDEV.P('中国汇率&amp;期货（ln）'!AA67:AA86)</f>
      </c>
      <c r="AB67" s="9">
        <f>_xlfn.STDEV.P('中国汇率&amp;期货（ln）'!AB67:AB86)</f>
      </c>
      <c r="AC67" s="9">
        <f>_xlfn.STDEV.P('中国汇率&amp;期货（ln）'!AC67:AC86)</f>
      </c>
      <c r="AD67" s="9">
        <f>_xlfn.STDEV.P('中国汇率&amp;期货（ln）'!AD67:AD86)</f>
      </c>
      <c r="AE67" s="9">
        <f>_xlfn.STDEV.P('中国汇率&amp;期货（ln）'!AE67:AE86)</f>
      </c>
      <c r="AF67" s="9">
        <f>_xlfn.STDEV.P('中国汇率&amp;期货（ln）'!AF67:AF86)</f>
      </c>
      <c r="AG67" s="9">
        <f>_xlfn.STDEV.P('中国汇率&amp;期货（ln）'!AG67:AG86)</f>
      </c>
      <c r="AH67" s="9">
        <f>_xlfn.STDEV.P('中国汇率&amp;期货（ln）'!AH67:AH86)</f>
      </c>
      <c r="AI67" s="9">
        <f>_xlfn.STDEV.P('中国汇率&amp;期货（ln）'!AI67:AI86)</f>
      </c>
      <c r="AJ67" s="9">
        <f>_xlfn.STDEV.P('中国汇率&amp;期货（ln）'!AJ67:AJ86)</f>
      </c>
      <c r="AK67" s="9">
        <f>_xlfn.STDEV.P('中国汇率&amp;期货（ln）'!AK67:AK86)</f>
      </c>
      <c r="AL67" s="9">
        <f>_xlfn.STDEV.P('中国汇率&amp;期货（ln）'!AL67:AL86)</f>
      </c>
      <c r="AM67" s="9">
        <f>_xlfn.STDEV.P('中国汇率&amp;期货（ln）'!AM67:AM86)</f>
      </c>
      <c r="AN67" s="9">
        <f>_xlfn.STDEV.P('中国汇率&amp;期货（ln）'!AN67:AN86)</f>
      </c>
      <c r="AO67" s="9">
        <f>_xlfn.STDEV.P('中国汇率&amp;期货（ln）'!AO67:AO86)</f>
      </c>
      <c r="AP67" s="9">
        <f>_xlfn.STDEV.P('中国汇率&amp;期货（ln）'!AP67:AP86)</f>
      </c>
      <c r="AQ67" s="9">
        <f>_xlfn.STDEV.P('中国汇率&amp;期货（ln）'!AQ67:AQ86)</f>
      </c>
      <c r="AR67" s="9">
        <f>_xlfn.STDEV.P('中国汇率&amp;期货（ln）'!AR67:AR86)</f>
      </c>
      <c r="AS67" s="9">
        <f>_xlfn.STDEV.P('中国汇率&amp;期货（ln）'!AS67:AS86)</f>
      </c>
      <c r="AT67" s="9">
        <f>_xlfn.STDEV.P('中国汇率&amp;期货（ln）'!AT67:AT86)</f>
      </c>
      <c r="AU67" s="9">
        <f>_xlfn.STDEV.P('中国汇率&amp;期货（ln）'!AU67:AU86)</f>
      </c>
      <c r="AV67" s="9">
        <f>_xlfn.STDEV.P('中国汇率&amp;期货（ln）'!AV67:AV86)</f>
      </c>
      <c r="AW67" s="9">
        <f>_xlfn.STDEV.P('中国汇率&amp;期货（ln）'!AW67:AW86)</f>
      </c>
      <c r="AX67" s="9">
        <f>_xlfn.STDEV.P('中国汇率&amp;期货（ln）'!AX67:AX86)</f>
      </c>
      <c r="AY67" s="9">
        <f>_xlfn.STDEV.P('中国汇率&amp;期货（ln）'!AY67:AY86)</f>
      </c>
      <c r="AZ67" s="9">
        <f>_xlfn.STDEV.P('中国汇率&amp;期货（ln）'!AZ67:AZ86)</f>
      </c>
      <c r="BA67" s="9">
        <f>_xlfn.STDEV.P('中国汇率&amp;期货（ln）'!BA67:BA86)</f>
      </c>
      <c r="BB67" s="9">
        <f>_xlfn.STDEV.P('中国汇率&amp;期货（ln）'!BB67:BB86)</f>
      </c>
      <c r="BC67" s="9">
        <f>_xlfn.STDEV.P('中国汇率&amp;期货（ln）'!BC67:BC86)</f>
      </c>
      <c r="BD67" s="9">
        <f>_xlfn.STDEV.P('中国汇率&amp;期货（ln）'!BD67:BD86)</f>
      </c>
      <c r="BE67" s="9">
        <f>_xlfn.STDEV.P('中国汇率&amp;期货（ln）'!BE67:BE86)</f>
      </c>
    </row>
    <row x14ac:dyDescent="0.25" r="68" customHeight="1" ht="18.75">
      <c r="A68" s="1"/>
      <c r="B68" s="9">
        <f>_xlfn.STDEV.P('中国汇率&amp;期货（ln）'!B68:B87)</f>
      </c>
      <c r="C68" s="9">
        <f>_xlfn.STDEV.P('中国汇率&amp;期货（ln）'!C68:C87)</f>
      </c>
      <c r="D68" s="9">
        <f>_xlfn.STDEV.P('中国汇率&amp;期货（ln）'!D68:D87)</f>
      </c>
      <c r="E68" s="9">
        <f>_xlfn.STDEV.P('中国汇率&amp;期货（ln）'!E68:E87)</f>
      </c>
      <c r="F68" s="9">
        <f>_xlfn.STDEV.P('中国汇率&amp;期货（ln）'!F68:F87)</f>
      </c>
      <c r="G68" s="9">
        <f>_xlfn.STDEV.P('中国汇率&amp;期货（ln）'!G68:G87)</f>
      </c>
      <c r="H68" s="9">
        <f>_xlfn.STDEV.P('中国汇率&amp;期货（ln）'!H68:H87)</f>
      </c>
      <c r="I68" s="9">
        <f>_xlfn.STDEV.P('中国汇率&amp;期货（ln）'!I68:I87)</f>
      </c>
      <c r="J68" s="9">
        <f>_xlfn.STDEV.P('中国汇率&amp;期货（ln）'!J68:J87)</f>
      </c>
      <c r="K68" s="9">
        <f>_xlfn.STDEV.P('中国汇率&amp;期货（ln）'!K68:K87)</f>
      </c>
      <c r="L68" s="9">
        <f>_xlfn.STDEV.P('中国汇率&amp;期货（ln）'!L68:L87)</f>
      </c>
      <c r="M68" s="9">
        <f>_xlfn.STDEV.P('中国汇率&amp;期货（ln）'!M68:M87)</f>
      </c>
      <c r="N68" s="9">
        <f>_xlfn.STDEV.P('中国汇率&amp;期货（ln）'!N68:N87)</f>
      </c>
      <c r="O68" s="9">
        <f>_xlfn.STDEV.P('中国汇率&amp;期货（ln）'!O68:O87)</f>
      </c>
      <c r="P68" s="9">
        <f>_xlfn.STDEV.P('中国汇率&amp;期货（ln）'!P68:P87)</f>
      </c>
      <c r="Q68" s="9">
        <f>_xlfn.STDEV.P('中国汇率&amp;期货（ln）'!Q68:Q87)</f>
      </c>
      <c r="R68" s="9">
        <f>_xlfn.STDEV.P('中国汇率&amp;期货（ln）'!R68:R87)</f>
      </c>
      <c r="S68" s="9">
        <f>_xlfn.STDEV.P('中国汇率&amp;期货（ln）'!S68:S87)</f>
      </c>
      <c r="T68" s="9">
        <f>_xlfn.STDEV.P('中国汇率&amp;期货（ln）'!T68:T87)</f>
      </c>
      <c r="U68" s="9">
        <f>_xlfn.STDEV.P('中国汇率&amp;期货（ln）'!U68:U87)</f>
      </c>
      <c r="V68" s="9">
        <f>_xlfn.STDEV.P('中国汇率&amp;期货（ln）'!V68:V87)</f>
      </c>
      <c r="W68" s="9">
        <f>_xlfn.STDEV.P('中国汇率&amp;期货（ln）'!W68:W87)</f>
      </c>
      <c r="X68" s="9">
        <f>_xlfn.STDEV.P('中国汇率&amp;期货（ln）'!X68:X87)</f>
      </c>
      <c r="Y68" s="9">
        <f>_xlfn.STDEV.P('中国汇率&amp;期货（ln）'!Y68:Y87)</f>
      </c>
      <c r="Z68" s="9">
        <f>_xlfn.STDEV.P('中国汇率&amp;期货（ln）'!Z68:Z87)</f>
      </c>
      <c r="AA68" s="9">
        <f>_xlfn.STDEV.P('中国汇率&amp;期货（ln）'!AA68:AA87)</f>
      </c>
      <c r="AB68" s="9">
        <f>_xlfn.STDEV.P('中国汇率&amp;期货（ln）'!AB68:AB87)</f>
      </c>
      <c r="AC68" s="9">
        <f>_xlfn.STDEV.P('中国汇率&amp;期货（ln）'!AC68:AC87)</f>
      </c>
      <c r="AD68" s="9">
        <f>_xlfn.STDEV.P('中国汇率&amp;期货（ln）'!AD68:AD87)</f>
      </c>
      <c r="AE68" s="9">
        <f>_xlfn.STDEV.P('中国汇率&amp;期货（ln）'!AE68:AE87)</f>
      </c>
      <c r="AF68" s="9">
        <f>_xlfn.STDEV.P('中国汇率&amp;期货（ln）'!AF68:AF87)</f>
      </c>
      <c r="AG68" s="9">
        <f>_xlfn.STDEV.P('中国汇率&amp;期货（ln）'!AG68:AG87)</f>
      </c>
      <c r="AH68" s="9">
        <f>_xlfn.STDEV.P('中国汇率&amp;期货（ln）'!AH68:AH87)</f>
      </c>
      <c r="AI68" s="9">
        <f>_xlfn.STDEV.P('中国汇率&amp;期货（ln）'!AI68:AI87)</f>
      </c>
      <c r="AJ68" s="9">
        <f>_xlfn.STDEV.P('中国汇率&amp;期货（ln）'!AJ68:AJ87)</f>
      </c>
      <c r="AK68" s="9">
        <f>_xlfn.STDEV.P('中国汇率&amp;期货（ln）'!AK68:AK87)</f>
      </c>
      <c r="AL68" s="9">
        <f>_xlfn.STDEV.P('中国汇率&amp;期货（ln）'!AL68:AL87)</f>
      </c>
      <c r="AM68" s="9">
        <f>_xlfn.STDEV.P('中国汇率&amp;期货（ln）'!AM68:AM87)</f>
      </c>
      <c r="AN68" s="9">
        <f>_xlfn.STDEV.P('中国汇率&amp;期货（ln）'!AN68:AN87)</f>
      </c>
      <c r="AO68" s="9">
        <f>_xlfn.STDEV.P('中国汇率&amp;期货（ln）'!AO68:AO87)</f>
      </c>
      <c r="AP68" s="9">
        <f>_xlfn.STDEV.P('中国汇率&amp;期货（ln）'!AP68:AP87)</f>
      </c>
      <c r="AQ68" s="9">
        <f>_xlfn.STDEV.P('中国汇率&amp;期货（ln）'!AQ68:AQ87)</f>
      </c>
      <c r="AR68" s="9">
        <f>_xlfn.STDEV.P('中国汇率&amp;期货（ln）'!AR68:AR87)</f>
      </c>
      <c r="AS68" s="9">
        <f>_xlfn.STDEV.P('中国汇率&amp;期货（ln）'!AS68:AS87)</f>
      </c>
      <c r="AT68" s="9">
        <f>_xlfn.STDEV.P('中国汇率&amp;期货（ln）'!AT68:AT87)</f>
      </c>
      <c r="AU68" s="9">
        <f>_xlfn.STDEV.P('中国汇率&amp;期货（ln）'!AU68:AU87)</f>
      </c>
      <c r="AV68" s="9">
        <f>_xlfn.STDEV.P('中国汇率&amp;期货（ln）'!AV68:AV87)</f>
      </c>
      <c r="AW68" s="9">
        <f>_xlfn.STDEV.P('中国汇率&amp;期货（ln）'!AW68:AW87)</f>
      </c>
      <c r="AX68" s="9">
        <f>_xlfn.STDEV.P('中国汇率&amp;期货（ln）'!AX68:AX87)</f>
      </c>
      <c r="AY68" s="9">
        <f>_xlfn.STDEV.P('中国汇率&amp;期货（ln）'!AY68:AY87)</f>
      </c>
      <c r="AZ68" s="9">
        <f>_xlfn.STDEV.P('中国汇率&amp;期货（ln）'!AZ68:AZ87)</f>
      </c>
      <c r="BA68" s="9">
        <f>_xlfn.STDEV.P('中国汇率&amp;期货（ln）'!BA68:BA87)</f>
      </c>
      <c r="BB68" s="9">
        <f>_xlfn.STDEV.P('中国汇率&amp;期货（ln）'!BB68:BB87)</f>
      </c>
      <c r="BC68" s="9">
        <f>_xlfn.STDEV.P('中国汇率&amp;期货（ln）'!BC68:BC87)</f>
      </c>
      <c r="BD68" s="9">
        <f>_xlfn.STDEV.P('中国汇率&amp;期货（ln）'!BD68:BD87)</f>
      </c>
      <c r="BE68" s="9">
        <f>_xlfn.STDEV.P('中国汇率&amp;期货（ln）'!BE68:BE87)</f>
      </c>
    </row>
    <row x14ac:dyDescent="0.25" r="69" customHeight="1" ht="18.75">
      <c r="A69" s="1"/>
      <c r="B69" s="9">
        <f>_xlfn.STDEV.P('中国汇率&amp;期货（ln）'!B69:B88)</f>
      </c>
      <c r="C69" s="9">
        <f>_xlfn.STDEV.P('中国汇率&amp;期货（ln）'!C69:C88)</f>
      </c>
      <c r="D69" s="9">
        <f>_xlfn.STDEV.P('中国汇率&amp;期货（ln）'!D69:D88)</f>
      </c>
      <c r="E69" s="9">
        <f>_xlfn.STDEV.P('中国汇率&amp;期货（ln）'!E69:E88)</f>
      </c>
      <c r="F69" s="9">
        <f>_xlfn.STDEV.P('中国汇率&amp;期货（ln）'!F69:F88)</f>
      </c>
      <c r="G69" s="9">
        <f>_xlfn.STDEV.P('中国汇率&amp;期货（ln）'!G69:G88)</f>
      </c>
      <c r="H69" s="9">
        <f>_xlfn.STDEV.P('中国汇率&amp;期货（ln）'!H69:H88)</f>
      </c>
      <c r="I69" s="9">
        <f>_xlfn.STDEV.P('中国汇率&amp;期货（ln）'!I69:I88)</f>
      </c>
      <c r="J69" s="9">
        <f>_xlfn.STDEV.P('中国汇率&amp;期货（ln）'!J69:J88)</f>
      </c>
      <c r="K69" s="9">
        <f>_xlfn.STDEV.P('中国汇率&amp;期货（ln）'!K69:K88)</f>
      </c>
      <c r="L69" s="9">
        <f>_xlfn.STDEV.P('中国汇率&amp;期货（ln）'!L69:L88)</f>
      </c>
      <c r="M69" s="9">
        <f>_xlfn.STDEV.P('中国汇率&amp;期货（ln）'!M69:M88)</f>
      </c>
      <c r="N69" s="9">
        <f>_xlfn.STDEV.P('中国汇率&amp;期货（ln）'!N69:N88)</f>
      </c>
      <c r="O69" s="9">
        <f>_xlfn.STDEV.P('中国汇率&amp;期货（ln）'!O69:O88)</f>
      </c>
      <c r="P69" s="9">
        <f>_xlfn.STDEV.P('中国汇率&amp;期货（ln）'!P69:P88)</f>
      </c>
      <c r="Q69" s="9">
        <f>_xlfn.STDEV.P('中国汇率&amp;期货（ln）'!Q69:Q88)</f>
      </c>
      <c r="R69" s="9">
        <f>_xlfn.STDEV.P('中国汇率&amp;期货（ln）'!R69:R88)</f>
      </c>
      <c r="S69" s="9">
        <f>_xlfn.STDEV.P('中国汇率&amp;期货（ln）'!S69:S88)</f>
      </c>
      <c r="T69" s="9">
        <f>_xlfn.STDEV.P('中国汇率&amp;期货（ln）'!T69:T88)</f>
      </c>
      <c r="U69" s="9">
        <f>_xlfn.STDEV.P('中国汇率&amp;期货（ln）'!U69:U88)</f>
      </c>
      <c r="V69" s="9">
        <f>_xlfn.STDEV.P('中国汇率&amp;期货（ln）'!V69:V88)</f>
      </c>
      <c r="W69" s="9">
        <f>_xlfn.STDEV.P('中国汇率&amp;期货（ln）'!W69:W88)</f>
      </c>
      <c r="X69" s="9">
        <f>_xlfn.STDEV.P('中国汇率&amp;期货（ln）'!X69:X88)</f>
      </c>
      <c r="Y69" s="9">
        <f>_xlfn.STDEV.P('中国汇率&amp;期货（ln）'!Y69:Y88)</f>
      </c>
      <c r="Z69" s="9">
        <f>_xlfn.STDEV.P('中国汇率&amp;期货（ln）'!Z69:Z88)</f>
      </c>
      <c r="AA69" s="9">
        <f>_xlfn.STDEV.P('中国汇率&amp;期货（ln）'!AA69:AA88)</f>
      </c>
      <c r="AB69" s="9">
        <f>_xlfn.STDEV.P('中国汇率&amp;期货（ln）'!AB69:AB88)</f>
      </c>
      <c r="AC69" s="9">
        <f>_xlfn.STDEV.P('中国汇率&amp;期货（ln）'!AC69:AC88)</f>
      </c>
      <c r="AD69" s="9">
        <f>_xlfn.STDEV.P('中国汇率&amp;期货（ln）'!AD69:AD88)</f>
      </c>
      <c r="AE69" s="9">
        <f>_xlfn.STDEV.P('中国汇率&amp;期货（ln）'!AE69:AE88)</f>
      </c>
      <c r="AF69" s="9">
        <f>_xlfn.STDEV.P('中国汇率&amp;期货（ln）'!AF69:AF88)</f>
      </c>
      <c r="AG69" s="9">
        <f>_xlfn.STDEV.P('中国汇率&amp;期货（ln）'!AG69:AG88)</f>
      </c>
      <c r="AH69" s="9">
        <f>_xlfn.STDEV.P('中国汇率&amp;期货（ln）'!AH69:AH88)</f>
      </c>
      <c r="AI69" s="9">
        <f>_xlfn.STDEV.P('中国汇率&amp;期货（ln）'!AI69:AI88)</f>
      </c>
      <c r="AJ69" s="9">
        <f>_xlfn.STDEV.P('中国汇率&amp;期货（ln）'!AJ69:AJ88)</f>
      </c>
      <c r="AK69" s="9">
        <f>_xlfn.STDEV.P('中国汇率&amp;期货（ln）'!AK69:AK88)</f>
      </c>
      <c r="AL69" s="9">
        <f>_xlfn.STDEV.P('中国汇率&amp;期货（ln）'!AL69:AL88)</f>
      </c>
      <c r="AM69" s="9">
        <f>_xlfn.STDEV.P('中国汇率&amp;期货（ln）'!AM69:AM88)</f>
      </c>
      <c r="AN69" s="9">
        <f>_xlfn.STDEV.P('中国汇率&amp;期货（ln）'!AN69:AN88)</f>
      </c>
      <c r="AO69" s="9">
        <f>_xlfn.STDEV.P('中国汇率&amp;期货（ln）'!AO69:AO88)</f>
      </c>
      <c r="AP69" s="9">
        <f>_xlfn.STDEV.P('中国汇率&amp;期货（ln）'!AP69:AP88)</f>
      </c>
      <c r="AQ69" s="9">
        <f>_xlfn.STDEV.P('中国汇率&amp;期货（ln）'!AQ69:AQ88)</f>
      </c>
      <c r="AR69" s="9">
        <f>_xlfn.STDEV.P('中国汇率&amp;期货（ln）'!AR69:AR88)</f>
      </c>
      <c r="AS69" s="9">
        <f>_xlfn.STDEV.P('中国汇率&amp;期货（ln）'!AS69:AS88)</f>
      </c>
      <c r="AT69" s="9">
        <f>_xlfn.STDEV.P('中国汇率&amp;期货（ln）'!AT69:AT88)</f>
      </c>
      <c r="AU69" s="9">
        <f>_xlfn.STDEV.P('中国汇率&amp;期货（ln）'!AU69:AU88)</f>
      </c>
      <c r="AV69" s="9">
        <f>_xlfn.STDEV.P('中国汇率&amp;期货（ln）'!AV69:AV88)</f>
      </c>
      <c r="AW69" s="9">
        <f>_xlfn.STDEV.P('中国汇率&amp;期货（ln）'!AW69:AW88)</f>
      </c>
      <c r="AX69" s="9">
        <f>_xlfn.STDEV.P('中国汇率&amp;期货（ln）'!AX69:AX88)</f>
      </c>
      <c r="AY69" s="9">
        <f>_xlfn.STDEV.P('中国汇率&amp;期货（ln）'!AY69:AY88)</f>
      </c>
      <c r="AZ69" s="9">
        <f>_xlfn.STDEV.P('中国汇率&amp;期货（ln）'!AZ69:AZ88)</f>
      </c>
      <c r="BA69" s="9">
        <f>_xlfn.STDEV.P('中国汇率&amp;期货（ln）'!BA69:BA88)</f>
      </c>
      <c r="BB69" s="9">
        <f>_xlfn.STDEV.P('中国汇率&amp;期货（ln）'!BB69:BB88)</f>
      </c>
      <c r="BC69" s="9">
        <f>_xlfn.STDEV.P('中国汇率&amp;期货（ln）'!BC69:BC88)</f>
      </c>
      <c r="BD69" s="9">
        <f>_xlfn.STDEV.P('中国汇率&amp;期货（ln）'!BD69:BD88)</f>
      </c>
      <c r="BE69" s="9">
        <f>_xlfn.STDEV.P('中国汇率&amp;期货（ln）'!BE69:BE88)</f>
      </c>
    </row>
    <row x14ac:dyDescent="0.25" r="70" customHeight="1" ht="18.75">
      <c r="A70" s="1"/>
      <c r="B70" s="9">
        <f>_xlfn.STDEV.P('中国汇率&amp;期货（ln）'!B70:B89)</f>
      </c>
      <c r="C70" s="9">
        <f>_xlfn.STDEV.P('中国汇率&amp;期货（ln）'!C70:C89)</f>
      </c>
      <c r="D70" s="9">
        <f>_xlfn.STDEV.P('中国汇率&amp;期货（ln）'!D70:D89)</f>
      </c>
      <c r="E70" s="9">
        <f>_xlfn.STDEV.P('中国汇率&amp;期货（ln）'!E70:E89)</f>
      </c>
      <c r="F70" s="9">
        <f>_xlfn.STDEV.P('中国汇率&amp;期货（ln）'!F70:F89)</f>
      </c>
      <c r="G70" s="9">
        <f>_xlfn.STDEV.P('中国汇率&amp;期货（ln）'!G70:G89)</f>
      </c>
      <c r="H70" s="9">
        <f>_xlfn.STDEV.P('中国汇率&amp;期货（ln）'!H70:H89)</f>
      </c>
      <c r="I70" s="9">
        <f>_xlfn.STDEV.P('中国汇率&amp;期货（ln）'!I70:I89)</f>
      </c>
      <c r="J70" s="9">
        <f>_xlfn.STDEV.P('中国汇率&amp;期货（ln）'!J70:J89)</f>
      </c>
      <c r="K70" s="9">
        <f>_xlfn.STDEV.P('中国汇率&amp;期货（ln）'!K70:K89)</f>
      </c>
      <c r="L70" s="9">
        <f>_xlfn.STDEV.P('中国汇率&amp;期货（ln）'!L70:L89)</f>
      </c>
      <c r="M70" s="9">
        <f>_xlfn.STDEV.P('中国汇率&amp;期货（ln）'!M70:M89)</f>
      </c>
      <c r="N70" s="9">
        <f>_xlfn.STDEV.P('中国汇率&amp;期货（ln）'!N70:N89)</f>
      </c>
      <c r="O70" s="9">
        <f>_xlfn.STDEV.P('中国汇率&amp;期货（ln）'!O70:O89)</f>
      </c>
      <c r="P70" s="9">
        <f>_xlfn.STDEV.P('中国汇率&amp;期货（ln）'!P70:P89)</f>
      </c>
      <c r="Q70" s="9">
        <f>_xlfn.STDEV.P('中国汇率&amp;期货（ln）'!Q70:Q89)</f>
      </c>
      <c r="R70" s="9">
        <f>_xlfn.STDEV.P('中国汇率&amp;期货（ln）'!R70:R89)</f>
      </c>
      <c r="S70" s="9">
        <f>_xlfn.STDEV.P('中国汇率&amp;期货（ln）'!S70:S89)</f>
      </c>
      <c r="T70" s="9">
        <f>_xlfn.STDEV.P('中国汇率&amp;期货（ln）'!T70:T89)</f>
      </c>
      <c r="U70" s="9">
        <f>_xlfn.STDEV.P('中国汇率&amp;期货（ln）'!U70:U89)</f>
      </c>
      <c r="V70" s="9">
        <f>_xlfn.STDEV.P('中国汇率&amp;期货（ln）'!V70:V89)</f>
      </c>
      <c r="W70" s="9">
        <f>_xlfn.STDEV.P('中国汇率&amp;期货（ln）'!W70:W89)</f>
      </c>
      <c r="X70" s="9">
        <f>_xlfn.STDEV.P('中国汇率&amp;期货（ln）'!X70:X89)</f>
      </c>
      <c r="Y70" s="9">
        <f>_xlfn.STDEV.P('中国汇率&amp;期货（ln）'!Y70:Y89)</f>
      </c>
      <c r="Z70" s="9">
        <f>_xlfn.STDEV.P('中国汇率&amp;期货（ln）'!Z70:Z89)</f>
      </c>
      <c r="AA70" s="9">
        <f>_xlfn.STDEV.P('中国汇率&amp;期货（ln）'!AA70:AA89)</f>
      </c>
      <c r="AB70" s="9">
        <f>_xlfn.STDEV.P('中国汇率&amp;期货（ln）'!AB70:AB89)</f>
      </c>
      <c r="AC70" s="9">
        <f>_xlfn.STDEV.P('中国汇率&amp;期货（ln）'!AC70:AC89)</f>
      </c>
      <c r="AD70" s="9">
        <f>_xlfn.STDEV.P('中国汇率&amp;期货（ln）'!AD70:AD89)</f>
      </c>
      <c r="AE70" s="9">
        <f>_xlfn.STDEV.P('中国汇率&amp;期货（ln）'!AE70:AE89)</f>
      </c>
      <c r="AF70" s="9">
        <f>_xlfn.STDEV.P('中国汇率&amp;期货（ln）'!AF70:AF89)</f>
      </c>
      <c r="AG70" s="9">
        <f>_xlfn.STDEV.P('中国汇率&amp;期货（ln）'!AG70:AG89)</f>
      </c>
      <c r="AH70" s="9">
        <f>_xlfn.STDEV.P('中国汇率&amp;期货（ln）'!AH70:AH89)</f>
      </c>
      <c r="AI70" s="9">
        <f>_xlfn.STDEV.P('中国汇率&amp;期货（ln）'!AI70:AI89)</f>
      </c>
      <c r="AJ70" s="9">
        <f>_xlfn.STDEV.P('中国汇率&amp;期货（ln）'!AJ70:AJ89)</f>
      </c>
      <c r="AK70" s="9">
        <f>_xlfn.STDEV.P('中国汇率&amp;期货（ln）'!AK70:AK89)</f>
      </c>
      <c r="AL70" s="9">
        <f>_xlfn.STDEV.P('中国汇率&amp;期货（ln）'!AL70:AL89)</f>
      </c>
      <c r="AM70" s="9">
        <f>_xlfn.STDEV.P('中国汇率&amp;期货（ln）'!AM70:AM89)</f>
      </c>
      <c r="AN70" s="9">
        <f>_xlfn.STDEV.P('中国汇率&amp;期货（ln）'!AN70:AN89)</f>
      </c>
      <c r="AO70" s="9">
        <f>_xlfn.STDEV.P('中国汇率&amp;期货（ln）'!AO70:AO89)</f>
      </c>
      <c r="AP70" s="9">
        <f>_xlfn.STDEV.P('中国汇率&amp;期货（ln）'!AP70:AP89)</f>
      </c>
      <c r="AQ70" s="9">
        <f>_xlfn.STDEV.P('中国汇率&amp;期货（ln）'!AQ70:AQ89)</f>
      </c>
      <c r="AR70" s="9">
        <f>_xlfn.STDEV.P('中国汇率&amp;期货（ln）'!AR70:AR89)</f>
      </c>
      <c r="AS70" s="9">
        <f>_xlfn.STDEV.P('中国汇率&amp;期货（ln）'!AS70:AS89)</f>
      </c>
      <c r="AT70" s="9">
        <f>_xlfn.STDEV.P('中国汇率&amp;期货（ln）'!AT70:AT89)</f>
      </c>
      <c r="AU70" s="9">
        <f>_xlfn.STDEV.P('中国汇率&amp;期货（ln）'!AU70:AU89)</f>
      </c>
      <c r="AV70" s="9">
        <f>_xlfn.STDEV.P('中国汇率&amp;期货（ln）'!AV70:AV89)</f>
      </c>
      <c r="AW70" s="9">
        <f>_xlfn.STDEV.P('中国汇率&amp;期货（ln）'!AW70:AW89)</f>
      </c>
      <c r="AX70" s="9">
        <f>_xlfn.STDEV.P('中国汇率&amp;期货（ln）'!AX70:AX89)</f>
      </c>
      <c r="AY70" s="9">
        <f>_xlfn.STDEV.P('中国汇率&amp;期货（ln）'!AY70:AY89)</f>
      </c>
      <c r="AZ70" s="9">
        <f>_xlfn.STDEV.P('中国汇率&amp;期货（ln）'!AZ70:AZ89)</f>
      </c>
      <c r="BA70" s="9">
        <f>_xlfn.STDEV.P('中国汇率&amp;期货（ln）'!BA70:BA89)</f>
      </c>
      <c r="BB70" s="9">
        <f>_xlfn.STDEV.P('中国汇率&amp;期货（ln）'!BB70:BB89)</f>
      </c>
      <c r="BC70" s="9">
        <f>_xlfn.STDEV.P('中国汇率&amp;期货（ln）'!BC70:BC89)</f>
      </c>
      <c r="BD70" s="9">
        <f>_xlfn.STDEV.P('中国汇率&amp;期货（ln）'!BD70:BD89)</f>
      </c>
      <c r="BE70" s="9">
        <f>_xlfn.STDEV.P('中国汇率&amp;期货（ln）'!BE70:BE89)</f>
      </c>
    </row>
    <row x14ac:dyDescent="0.25" r="71" customHeight="1" ht="18.75">
      <c r="A71" s="1"/>
      <c r="B71" s="9">
        <f>_xlfn.STDEV.P('中国汇率&amp;期货（ln）'!B71:B90)</f>
      </c>
      <c r="C71" s="9">
        <f>_xlfn.STDEV.P('中国汇率&amp;期货（ln）'!C71:C90)</f>
      </c>
      <c r="D71" s="9">
        <f>_xlfn.STDEV.P('中国汇率&amp;期货（ln）'!D71:D90)</f>
      </c>
      <c r="E71" s="9">
        <f>_xlfn.STDEV.P('中国汇率&amp;期货（ln）'!E71:E90)</f>
      </c>
      <c r="F71" s="9">
        <f>_xlfn.STDEV.P('中国汇率&amp;期货（ln）'!F71:F90)</f>
      </c>
      <c r="G71" s="9">
        <f>_xlfn.STDEV.P('中国汇率&amp;期货（ln）'!G71:G90)</f>
      </c>
      <c r="H71" s="9">
        <f>_xlfn.STDEV.P('中国汇率&amp;期货（ln）'!H71:H90)</f>
      </c>
      <c r="I71" s="9">
        <f>_xlfn.STDEV.P('中国汇率&amp;期货（ln）'!I71:I90)</f>
      </c>
      <c r="J71" s="9">
        <f>_xlfn.STDEV.P('中国汇率&amp;期货（ln）'!J71:J90)</f>
      </c>
      <c r="K71" s="9">
        <f>_xlfn.STDEV.P('中国汇率&amp;期货（ln）'!K71:K90)</f>
      </c>
      <c r="L71" s="9">
        <f>_xlfn.STDEV.P('中国汇率&amp;期货（ln）'!L71:L90)</f>
      </c>
      <c r="M71" s="9">
        <f>_xlfn.STDEV.P('中国汇率&amp;期货（ln）'!M71:M90)</f>
      </c>
      <c r="N71" s="9">
        <f>_xlfn.STDEV.P('中国汇率&amp;期货（ln）'!N71:N90)</f>
      </c>
      <c r="O71" s="9">
        <f>_xlfn.STDEV.P('中国汇率&amp;期货（ln）'!O71:O90)</f>
      </c>
      <c r="P71" s="9">
        <f>_xlfn.STDEV.P('中国汇率&amp;期货（ln）'!P71:P90)</f>
      </c>
      <c r="Q71" s="9">
        <f>_xlfn.STDEV.P('中国汇率&amp;期货（ln）'!Q71:Q90)</f>
      </c>
      <c r="R71" s="9">
        <f>_xlfn.STDEV.P('中国汇率&amp;期货（ln）'!R71:R90)</f>
      </c>
      <c r="S71" s="9">
        <f>_xlfn.STDEV.P('中国汇率&amp;期货（ln）'!S71:S90)</f>
      </c>
      <c r="T71" s="9">
        <f>_xlfn.STDEV.P('中国汇率&amp;期货（ln）'!T71:T90)</f>
      </c>
      <c r="U71" s="9">
        <f>_xlfn.STDEV.P('中国汇率&amp;期货（ln）'!U71:U90)</f>
      </c>
      <c r="V71" s="9">
        <f>_xlfn.STDEV.P('中国汇率&amp;期货（ln）'!V71:V90)</f>
      </c>
      <c r="W71" s="9">
        <f>_xlfn.STDEV.P('中国汇率&amp;期货（ln）'!W71:W90)</f>
      </c>
      <c r="X71" s="9">
        <f>_xlfn.STDEV.P('中国汇率&amp;期货（ln）'!X71:X90)</f>
      </c>
      <c r="Y71" s="9">
        <f>_xlfn.STDEV.P('中国汇率&amp;期货（ln）'!Y71:Y90)</f>
      </c>
      <c r="Z71" s="9">
        <f>_xlfn.STDEV.P('中国汇率&amp;期货（ln）'!Z71:Z90)</f>
      </c>
      <c r="AA71" s="9">
        <f>_xlfn.STDEV.P('中国汇率&amp;期货（ln）'!AA71:AA90)</f>
      </c>
      <c r="AB71" s="9">
        <f>_xlfn.STDEV.P('中国汇率&amp;期货（ln）'!AB71:AB90)</f>
      </c>
      <c r="AC71" s="9">
        <f>_xlfn.STDEV.P('中国汇率&amp;期货（ln）'!AC71:AC90)</f>
      </c>
      <c r="AD71" s="9">
        <f>_xlfn.STDEV.P('中国汇率&amp;期货（ln）'!AD71:AD90)</f>
      </c>
      <c r="AE71" s="9">
        <f>_xlfn.STDEV.P('中国汇率&amp;期货（ln）'!AE71:AE90)</f>
      </c>
      <c r="AF71" s="9">
        <f>_xlfn.STDEV.P('中国汇率&amp;期货（ln）'!AF71:AF90)</f>
      </c>
      <c r="AG71" s="9">
        <f>_xlfn.STDEV.P('中国汇率&amp;期货（ln）'!AG71:AG90)</f>
      </c>
      <c r="AH71" s="9">
        <f>_xlfn.STDEV.P('中国汇率&amp;期货（ln）'!AH71:AH90)</f>
      </c>
      <c r="AI71" s="9">
        <f>_xlfn.STDEV.P('中国汇率&amp;期货（ln）'!AI71:AI90)</f>
      </c>
      <c r="AJ71" s="9">
        <f>_xlfn.STDEV.P('中国汇率&amp;期货（ln）'!AJ71:AJ90)</f>
      </c>
      <c r="AK71" s="9">
        <f>_xlfn.STDEV.P('中国汇率&amp;期货（ln）'!AK71:AK90)</f>
      </c>
      <c r="AL71" s="9">
        <f>_xlfn.STDEV.P('中国汇率&amp;期货（ln）'!AL71:AL90)</f>
      </c>
      <c r="AM71" s="9">
        <f>_xlfn.STDEV.P('中国汇率&amp;期货（ln）'!AM71:AM90)</f>
      </c>
      <c r="AN71" s="9">
        <f>_xlfn.STDEV.P('中国汇率&amp;期货（ln）'!AN71:AN90)</f>
      </c>
      <c r="AO71" s="9">
        <f>_xlfn.STDEV.P('中国汇率&amp;期货（ln）'!AO71:AO90)</f>
      </c>
      <c r="AP71" s="9">
        <f>_xlfn.STDEV.P('中国汇率&amp;期货（ln）'!AP71:AP90)</f>
      </c>
      <c r="AQ71" s="9">
        <f>_xlfn.STDEV.P('中国汇率&amp;期货（ln）'!AQ71:AQ90)</f>
      </c>
      <c r="AR71" s="9">
        <f>_xlfn.STDEV.P('中国汇率&amp;期货（ln）'!AR71:AR90)</f>
      </c>
      <c r="AS71" s="9">
        <f>_xlfn.STDEV.P('中国汇率&amp;期货（ln）'!AS71:AS90)</f>
      </c>
      <c r="AT71" s="9">
        <f>_xlfn.STDEV.P('中国汇率&amp;期货（ln）'!AT71:AT90)</f>
      </c>
      <c r="AU71" s="9">
        <f>_xlfn.STDEV.P('中国汇率&amp;期货（ln）'!AU71:AU90)</f>
      </c>
      <c r="AV71" s="9">
        <f>_xlfn.STDEV.P('中国汇率&amp;期货（ln）'!AV71:AV90)</f>
      </c>
      <c r="AW71" s="9">
        <f>_xlfn.STDEV.P('中国汇率&amp;期货（ln）'!AW71:AW90)</f>
      </c>
      <c r="AX71" s="9">
        <f>_xlfn.STDEV.P('中国汇率&amp;期货（ln）'!AX71:AX90)</f>
      </c>
      <c r="AY71" s="9">
        <f>_xlfn.STDEV.P('中国汇率&amp;期货（ln）'!AY71:AY90)</f>
      </c>
      <c r="AZ71" s="9">
        <f>_xlfn.STDEV.P('中国汇率&amp;期货（ln）'!AZ71:AZ90)</f>
      </c>
      <c r="BA71" s="9">
        <f>_xlfn.STDEV.P('中国汇率&amp;期货（ln）'!BA71:BA90)</f>
      </c>
      <c r="BB71" s="9">
        <f>_xlfn.STDEV.P('中国汇率&amp;期货（ln）'!BB71:BB90)</f>
      </c>
      <c r="BC71" s="9">
        <f>_xlfn.STDEV.P('中国汇率&amp;期货（ln）'!BC71:BC90)</f>
      </c>
      <c r="BD71" s="9">
        <f>_xlfn.STDEV.P('中国汇率&amp;期货（ln）'!BD71:BD90)</f>
      </c>
      <c r="BE71" s="9">
        <f>_xlfn.STDEV.P('中国汇率&amp;期货（ln）'!BE71:BE90)</f>
      </c>
    </row>
    <row x14ac:dyDescent="0.25" r="72" customHeight="1" ht="18.75">
      <c r="A72" s="1"/>
      <c r="B72" s="9">
        <f>_xlfn.STDEV.P('中国汇率&amp;期货（ln）'!B72:B91)</f>
      </c>
      <c r="C72" s="9">
        <f>_xlfn.STDEV.P('中国汇率&amp;期货（ln）'!C72:C91)</f>
      </c>
      <c r="D72" s="9">
        <f>_xlfn.STDEV.P('中国汇率&amp;期货（ln）'!D72:D91)</f>
      </c>
      <c r="E72" s="9">
        <f>_xlfn.STDEV.P('中国汇率&amp;期货（ln）'!E72:E91)</f>
      </c>
      <c r="F72" s="9">
        <f>_xlfn.STDEV.P('中国汇率&amp;期货（ln）'!F72:F91)</f>
      </c>
      <c r="G72" s="9">
        <f>_xlfn.STDEV.P('中国汇率&amp;期货（ln）'!G72:G91)</f>
      </c>
      <c r="H72" s="9">
        <f>_xlfn.STDEV.P('中国汇率&amp;期货（ln）'!H72:H91)</f>
      </c>
      <c r="I72" s="9">
        <f>_xlfn.STDEV.P('中国汇率&amp;期货（ln）'!I72:I91)</f>
      </c>
      <c r="J72" s="9">
        <f>_xlfn.STDEV.P('中国汇率&amp;期货（ln）'!J72:J91)</f>
      </c>
      <c r="K72" s="9">
        <f>_xlfn.STDEV.P('中国汇率&amp;期货（ln）'!K72:K91)</f>
      </c>
      <c r="L72" s="9">
        <f>_xlfn.STDEV.P('中国汇率&amp;期货（ln）'!L72:L91)</f>
      </c>
      <c r="M72" s="9">
        <f>_xlfn.STDEV.P('中国汇率&amp;期货（ln）'!M72:M91)</f>
      </c>
      <c r="N72" s="9">
        <f>_xlfn.STDEV.P('中国汇率&amp;期货（ln）'!N72:N91)</f>
      </c>
      <c r="O72" s="9">
        <f>_xlfn.STDEV.P('中国汇率&amp;期货（ln）'!O72:O91)</f>
      </c>
      <c r="P72" s="9">
        <f>_xlfn.STDEV.P('中国汇率&amp;期货（ln）'!P72:P91)</f>
      </c>
      <c r="Q72" s="9">
        <f>_xlfn.STDEV.P('中国汇率&amp;期货（ln）'!Q72:Q91)</f>
      </c>
      <c r="R72" s="9">
        <f>_xlfn.STDEV.P('中国汇率&amp;期货（ln）'!R72:R91)</f>
      </c>
      <c r="S72" s="9">
        <f>_xlfn.STDEV.P('中国汇率&amp;期货（ln）'!S72:S91)</f>
      </c>
      <c r="T72" s="9">
        <f>_xlfn.STDEV.P('中国汇率&amp;期货（ln）'!T72:T91)</f>
      </c>
      <c r="U72" s="9">
        <f>_xlfn.STDEV.P('中国汇率&amp;期货（ln）'!U72:U91)</f>
      </c>
      <c r="V72" s="9">
        <f>_xlfn.STDEV.P('中国汇率&amp;期货（ln）'!V72:V91)</f>
      </c>
      <c r="W72" s="9">
        <f>_xlfn.STDEV.P('中国汇率&amp;期货（ln）'!W72:W91)</f>
      </c>
      <c r="X72" s="9">
        <f>_xlfn.STDEV.P('中国汇率&amp;期货（ln）'!X72:X91)</f>
      </c>
      <c r="Y72" s="9">
        <f>_xlfn.STDEV.P('中国汇率&amp;期货（ln）'!Y72:Y91)</f>
      </c>
      <c r="Z72" s="9">
        <f>_xlfn.STDEV.P('中国汇率&amp;期货（ln）'!Z72:Z91)</f>
      </c>
      <c r="AA72" s="9">
        <f>_xlfn.STDEV.P('中国汇率&amp;期货（ln）'!AA72:AA91)</f>
      </c>
      <c r="AB72" s="9">
        <f>_xlfn.STDEV.P('中国汇率&amp;期货（ln）'!AB72:AB91)</f>
      </c>
      <c r="AC72" s="9">
        <f>_xlfn.STDEV.P('中国汇率&amp;期货（ln）'!AC72:AC91)</f>
      </c>
      <c r="AD72" s="9">
        <f>_xlfn.STDEV.P('中国汇率&amp;期货（ln）'!AD72:AD91)</f>
      </c>
      <c r="AE72" s="9">
        <f>_xlfn.STDEV.P('中国汇率&amp;期货（ln）'!AE72:AE91)</f>
      </c>
      <c r="AF72" s="9">
        <f>_xlfn.STDEV.P('中国汇率&amp;期货（ln）'!AF72:AF91)</f>
      </c>
      <c r="AG72" s="9">
        <f>_xlfn.STDEV.P('中国汇率&amp;期货（ln）'!AG72:AG91)</f>
      </c>
      <c r="AH72" s="9">
        <f>_xlfn.STDEV.P('中国汇率&amp;期货（ln）'!AH72:AH91)</f>
      </c>
      <c r="AI72" s="9">
        <f>_xlfn.STDEV.P('中国汇率&amp;期货（ln）'!AI72:AI91)</f>
      </c>
      <c r="AJ72" s="9">
        <f>_xlfn.STDEV.P('中国汇率&amp;期货（ln）'!AJ72:AJ91)</f>
      </c>
      <c r="AK72" s="9">
        <f>_xlfn.STDEV.P('中国汇率&amp;期货（ln）'!AK72:AK91)</f>
      </c>
      <c r="AL72" s="9">
        <f>_xlfn.STDEV.P('中国汇率&amp;期货（ln）'!AL72:AL91)</f>
      </c>
      <c r="AM72" s="9">
        <f>_xlfn.STDEV.P('中国汇率&amp;期货（ln）'!AM72:AM91)</f>
      </c>
      <c r="AN72" s="9">
        <f>_xlfn.STDEV.P('中国汇率&amp;期货（ln）'!AN72:AN91)</f>
      </c>
      <c r="AO72" s="9">
        <f>_xlfn.STDEV.P('中国汇率&amp;期货（ln）'!AO72:AO91)</f>
      </c>
      <c r="AP72" s="9">
        <f>_xlfn.STDEV.P('中国汇率&amp;期货（ln）'!AP72:AP91)</f>
      </c>
      <c r="AQ72" s="9">
        <f>_xlfn.STDEV.P('中国汇率&amp;期货（ln）'!AQ72:AQ91)</f>
      </c>
      <c r="AR72" s="9">
        <f>_xlfn.STDEV.P('中国汇率&amp;期货（ln）'!AR72:AR91)</f>
      </c>
      <c r="AS72" s="9">
        <f>_xlfn.STDEV.P('中国汇率&amp;期货（ln）'!AS72:AS91)</f>
      </c>
      <c r="AT72" s="9">
        <f>_xlfn.STDEV.P('中国汇率&amp;期货（ln）'!AT72:AT91)</f>
      </c>
      <c r="AU72" s="9">
        <f>_xlfn.STDEV.P('中国汇率&amp;期货（ln）'!AU72:AU91)</f>
      </c>
      <c r="AV72" s="9">
        <f>_xlfn.STDEV.P('中国汇率&amp;期货（ln）'!AV72:AV91)</f>
      </c>
      <c r="AW72" s="9">
        <f>_xlfn.STDEV.P('中国汇率&amp;期货（ln）'!AW72:AW91)</f>
      </c>
      <c r="AX72" s="9">
        <f>_xlfn.STDEV.P('中国汇率&amp;期货（ln）'!AX72:AX91)</f>
      </c>
      <c r="AY72" s="9">
        <f>_xlfn.STDEV.P('中国汇率&amp;期货（ln）'!AY72:AY91)</f>
      </c>
      <c r="AZ72" s="9">
        <f>_xlfn.STDEV.P('中国汇率&amp;期货（ln）'!AZ72:AZ91)</f>
      </c>
      <c r="BA72" s="9">
        <f>_xlfn.STDEV.P('中国汇率&amp;期货（ln）'!BA72:BA91)</f>
      </c>
      <c r="BB72" s="9">
        <f>_xlfn.STDEV.P('中国汇率&amp;期货（ln）'!BB72:BB91)</f>
      </c>
      <c r="BC72" s="9">
        <f>_xlfn.STDEV.P('中国汇率&amp;期货（ln）'!BC72:BC91)</f>
      </c>
      <c r="BD72" s="9">
        <f>_xlfn.STDEV.P('中国汇率&amp;期货（ln）'!BD72:BD91)</f>
      </c>
      <c r="BE72" s="9">
        <f>_xlfn.STDEV.P('中国汇率&amp;期货（ln）'!BE72:BE91)</f>
      </c>
    </row>
    <row x14ac:dyDescent="0.25" r="73" customHeight="1" ht="18.75">
      <c r="A73" s="1"/>
      <c r="B73" s="9">
        <f>_xlfn.STDEV.P('中国汇率&amp;期货（ln）'!B73:B92)</f>
      </c>
      <c r="C73" s="9">
        <f>_xlfn.STDEV.P('中国汇率&amp;期货（ln）'!C73:C92)</f>
      </c>
      <c r="D73" s="9">
        <f>_xlfn.STDEV.P('中国汇率&amp;期货（ln）'!D73:D92)</f>
      </c>
      <c r="E73" s="9">
        <f>_xlfn.STDEV.P('中国汇率&amp;期货（ln）'!E73:E92)</f>
      </c>
      <c r="F73" s="9">
        <f>_xlfn.STDEV.P('中国汇率&amp;期货（ln）'!F73:F92)</f>
      </c>
      <c r="G73" s="9">
        <f>_xlfn.STDEV.P('中国汇率&amp;期货（ln）'!G73:G92)</f>
      </c>
      <c r="H73" s="9">
        <f>_xlfn.STDEV.P('中国汇率&amp;期货（ln）'!H73:H92)</f>
      </c>
      <c r="I73" s="9">
        <f>_xlfn.STDEV.P('中国汇率&amp;期货（ln）'!I73:I92)</f>
      </c>
      <c r="J73" s="9">
        <f>_xlfn.STDEV.P('中国汇率&amp;期货（ln）'!J73:J92)</f>
      </c>
      <c r="K73" s="9">
        <f>_xlfn.STDEV.P('中国汇率&amp;期货（ln）'!K73:K92)</f>
      </c>
      <c r="L73" s="9">
        <f>_xlfn.STDEV.P('中国汇率&amp;期货（ln）'!L73:L92)</f>
      </c>
      <c r="M73" s="9">
        <f>_xlfn.STDEV.P('中国汇率&amp;期货（ln）'!M73:M92)</f>
      </c>
      <c r="N73" s="9">
        <f>_xlfn.STDEV.P('中国汇率&amp;期货（ln）'!N73:N92)</f>
      </c>
      <c r="O73" s="9">
        <f>_xlfn.STDEV.P('中国汇率&amp;期货（ln）'!O73:O92)</f>
      </c>
      <c r="P73" s="9">
        <f>_xlfn.STDEV.P('中国汇率&amp;期货（ln）'!P73:P92)</f>
      </c>
      <c r="Q73" s="9">
        <f>_xlfn.STDEV.P('中国汇率&amp;期货（ln）'!Q73:Q92)</f>
      </c>
      <c r="R73" s="9">
        <f>_xlfn.STDEV.P('中国汇率&amp;期货（ln）'!R73:R92)</f>
      </c>
      <c r="S73" s="9">
        <f>_xlfn.STDEV.P('中国汇率&amp;期货（ln）'!S73:S92)</f>
      </c>
      <c r="T73" s="9">
        <f>_xlfn.STDEV.P('中国汇率&amp;期货（ln）'!T73:T92)</f>
      </c>
      <c r="U73" s="9">
        <f>_xlfn.STDEV.P('中国汇率&amp;期货（ln）'!U73:U92)</f>
      </c>
      <c r="V73" s="9">
        <f>_xlfn.STDEV.P('中国汇率&amp;期货（ln）'!V73:V92)</f>
      </c>
      <c r="W73" s="9">
        <f>_xlfn.STDEV.P('中国汇率&amp;期货（ln）'!W73:W92)</f>
      </c>
      <c r="X73" s="9">
        <f>_xlfn.STDEV.P('中国汇率&amp;期货（ln）'!X73:X92)</f>
      </c>
      <c r="Y73" s="9">
        <f>_xlfn.STDEV.P('中国汇率&amp;期货（ln）'!Y73:Y92)</f>
      </c>
      <c r="Z73" s="9">
        <f>_xlfn.STDEV.P('中国汇率&amp;期货（ln）'!Z73:Z92)</f>
      </c>
      <c r="AA73" s="9">
        <f>_xlfn.STDEV.P('中国汇率&amp;期货（ln）'!AA73:AA92)</f>
      </c>
      <c r="AB73" s="9">
        <f>_xlfn.STDEV.P('中国汇率&amp;期货（ln）'!AB73:AB92)</f>
      </c>
      <c r="AC73" s="9">
        <f>_xlfn.STDEV.P('中国汇率&amp;期货（ln）'!AC73:AC92)</f>
      </c>
      <c r="AD73" s="9">
        <f>_xlfn.STDEV.P('中国汇率&amp;期货（ln）'!AD73:AD92)</f>
      </c>
      <c r="AE73" s="9">
        <f>_xlfn.STDEV.P('中国汇率&amp;期货（ln）'!AE73:AE92)</f>
      </c>
      <c r="AF73" s="9">
        <f>_xlfn.STDEV.P('中国汇率&amp;期货（ln）'!AF73:AF92)</f>
      </c>
      <c r="AG73" s="9">
        <f>_xlfn.STDEV.P('中国汇率&amp;期货（ln）'!AG73:AG92)</f>
      </c>
      <c r="AH73" s="9">
        <f>_xlfn.STDEV.P('中国汇率&amp;期货（ln）'!AH73:AH92)</f>
      </c>
      <c r="AI73" s="9">
        <f>_xlfn.STDEV.P('中国汇率&amp;期货（ln）'!AI73:AI92)</f>
      </c>
      <c r="AJ73" s="9">
        <f>_xlfn.STDEV.P('中国汇率&amp;期货（ln）'!AJ73:AJ92)</f>
      </c>
      <c r="AK73" s="9">
        <f>_xlfn.STDEV.P('中国汇率&amp;期货（ln）'!AK73:AK92)</f>
      </c>
      <c r="AL73" s="9">
        <f>_xlfn.STDEV.P('中国汇率&amp;期货（ln）'!AL73:AL92)</f>
      </c>
      <c r="AM73" s="9">
        <f>_xlfn.STDEV.P('中国汇率&amp;期货（ln）'!AM73:AM92)</f>
      </c>
      <c r="AN73" s="9">
        <f>_xlfn.STDEV.P('中国汇率&amp;期货（ln）'!AN73:AN92)</f>
      </c>
      <c r="AO73" s="9">
        <f>_xlfn.STDEV.P('中国汇率&amp;期货（ln）'!AO73:AO92)</f>
      </c>
      <c r="AP73" s="9">
        <f>_xlfn.STDEV.P('中国汇率&amp;期货（ln）'!AP73:AP92)</f>
      </c>
      <c r="AQ73" s="9">
        <f>_xlfn.STDEV.P('中国汇率&amp;期货（ln）'!AQ73:AQ92)</f>
      </c>
      <c r="AR73" s="9">
        <f>_xlfn.STDEV.P('中国汇率&amp;期货（ln）'!AR73:AR92)</f>
      </c>
      <c r="AS73" s="9">
        <f>_xlfn.STDEV.P('中国汇率&amp;期货（ln）'!AS73:AS92)</f>
      </c>
      <c r="AT73" s="9">
        <f>_xlfn.STDEV.P('中国汇率&amp;期货（ln）'!AT73:AT92)</f>
      </c>
      <c r="AU73" s="9">
        <f>_xlfn.STDEV.P('中国汇率&amp;期货（ln）'!AU73:AU92)</f>
      </c>
      <c r="AV73" s="9">
        <f>_xlfn.STDEV.P('中国汇率&amp;期货（ln）'!AV73:AV92)</f>
      </c>
      <c r="AW73" s="9">
        <f>_xlfn.STDEV.P('中国汇率&amp;期货（ln）'!AW73:AW92)</f>
      </c>
      <c r="AX73" s="9">
        <f>_xlfn.STDEV.P('中国汇率&amp;期货（ln）'!AX73:AX92)</f>
      </c>
      <c r="AY73" s="9">
        <f>_xlfn.STDEV.P('中国汇率&amp;期货（ln）'!AY73:AY92)</f>
      </c>
      <c r="AZ73" s="9">
        <f>_xlfn.STDEV.P('中国汇率&amp;期货（ln）'!AZ73:AZ92)</f>
      </c>
      <c r="BA73" s="9">
        <f>_xlfn.STDEV.P('中国汇率&amp;期货（ln）'!BA73:BA92)</f>
      </c>
      <c r="BB73" s="9">
        <f>_xlfn.STDEV.P('中国汇率&amp;期货（ln）'!BB73:BB92)</f>
      </c>
      <c r="BC73" s="9">
        <f>_xlfn.STDEV.P('中国汇率&amp;期货（ln）'!BC73:BC92)</f>
      </c>
      <c r="BD73" s="9">
        <f>_xlfn.STDEV.P('中国汇率&amp;期货（ln）'!BD73:BD92)</f>
      </c>
      <c r="BE73" s="9">
        <f>_xlfn.STDEV.P('中国汇率&amp;期货（ln）'!BE73:BE92)</f>
      </c>
    </row>
    <row x14ac:dyDescent="0.25" r="74" customHeight="1" ht="18.75">
      <c r="A74" s="1"/>
      <c r="B74" s="9">
        <f>_xlfn.STDEV.P('中国汇率&amp;期货（ln）'!B74:B93)</f>
      </c>
      <c r="C74" s="9">
        <f>_xlfn.STDEV.P('中国汇率&amp;期货（ln）'!C74:C93)</f>
      </c>
      <c r="D74" s="9">
        <f>_xlfn.STDEV.P('中国汇率&amp;期货（ln）'!D74:D93)</f>
      </c>
      <c r="E74" s="9">
        <f>_xlfn.STDEV.P('中国汇率&amp;期货（ln）'!E74:E93)</f>
      </c>
      <c r="F74" s="9">
        <f>_xlfn.STDEV.P('中国汇率&amp;期货（ln）'!F74:F93)</f>
      </c>
      <c r="G74" s="9">
        <f>_xlfn.STDEV.P('中国汇率&amp;期货（ln）'!G74:G93)</f>
      </c>
      <c r="H74" s="9">
        <f>_xlfn.STDEV.P('中国汇率&amp;期货（ln）'!H74:H93)</f>
      </c>
      <c r="I74" s="9">
        <f>_xlfn.STDEV.P('中国汇率&amp;期货（ln）'!I74:I93)</f>
      </c>
      <c r="J74" s="9">
        <f>_xlfn.STDEV.P('中国汇率&amp;期货（ln）'!J74:J93)</f>
      </c>
      <c r="K74" s="9">
        <f>_xlfn.STDEV.P('中国汇率&amp;期货（ln）'!K74:K93)</f>
      </c>
      <c r="L74" s="9">
        <f>_xlfn.STDEV.P('中国汇率&amp;期货（ln）'!L74:L93)</f>
      </c>
      <c r="M74" s="9">
        <f>_xlfn.STDEV.P('中国汇率&amp;期货（ln）'!M74:M93)</f>
      </c>
      <c r="N74" s="9">
        <f>_xlfn.STDEV.P('中国汇率&amp;期货（ln）'!N74:N93)</f>
      </c>
      <c r="O74" s="9">
        <f>_xlfn.STDEV.P('中国汇率&amp;期货（ln）'!O74:O93)</f>
      </c>
      <c r="P74" s="9">
        <f>_xlfn.STDEV.P('中国汇率&amp;期货（ln）'!P74:P93)</f>
      </c>
      <c r="Q74" s="9">
        <f>_xlfn.STDEV.P('中国汇率&amp;期货（ln）'!Q74:Q93)</f>
      </c>
      <c r="R74" s="9">
        <f>_xlfn.STDEV.P('中国汇率&amp;期货（ln）'!R74:R93)</f>
      </c>
      <c r="S74" s="9">
        <f>_xlfn.STDEV.P('中国汇率&amp;期货（ln）'!S74:S93)</f>
      </c>
      <c r="T74" s="9">
        <f>_xlfn.STDEV.P('中国汇率&amp;期货（ln）'!T74:T93)</f>
      </c>
      <c r="U74" s="9">
        <f>_xlfn.STDEV.P('中国汇率&amp;期货（ln）'!U74:U93)</f>
      </c>
      <c r="V74" s="9">
        <f>_xlfn.STDEV.P('中国汇率&amp;期货（ln）'!V74:V93)</f>
      </c>
      <c r="W74" s="9">
        <f>_xlfn.STDEV.P('中国汇率&amp;期货（ln）'!W74:W93)</f>
      </c>
      <c r="X74" s="9">
        <f>_xlfn.STDEV.P('中国汇率&amp;期货（ln）'!X74:X93)</f>
      </c>
      <c r="Y74" s="9">
        <f>_xlfn.STDEV.P('中国汇率&amp;期货（ln）'!Y74:Y93)</f>
      </c>
      <c r="Z74" s="9">
        <f>_xlfn.STDEV.P('中国汇率&amp;期货（ln）'!Z74:Z93)</f>
      </c>
      <c r="AA74" s="9">
        <f>_xlfn.STDEV.P('中国汇率&amp;期货（ln）'!AA74:AA93)</f>
      </c>
      <c r="AB74" s="9">
        <f>_xlfn.STDEV.P('中国汇率&amp;期货（ln）'!AB74:AB93)</f>
      </c>
      <c r="AC74" s="9">
        <f>_xlfn.STDEV.P('中国汇率&amp;期货（ln）'!AC74:AC93)</f>
      </c>
      <c r="AD74" s="9">
        <f>_xlfn.STDEV.P('中国汇率&amp;期货（ln）'!AD74:AD93)</f>
      </c>
      <c r="AE74" s="9">
        <f>_xlfn.STDEV.P('中国汇率&amp;期货（ln）'!AE74:AE93)</f>
      </c>
      <c r="AF74" s="9">
        <f>_xlfn.STDEV.P('中国汇率&amp;期货（ln）'!AF74:AF93)</f>
      </c>
      <c r="AG74" s="9">
        <f>_xlfn.STDEV.P('中国汇率&amp;期货（ln）'!AG74:AG93)</f>
      </c>
      <c r="AH74" s="9">
        <f>_xlfn.STDEV.P('中国汇率&amp;期货（ln）'!AH74:AH93)</f>
      </c>
      <c r="AI74" s="9">
        <f>_xlfn.STDEV.P('中国汇率&amp;期货（ln）'!AI74:AI93)</f>
      </c>
      <c r="AJ74" s="9">
        <f>_xlfn.STDEV.P('中国汇率&amp;期货（ln）'!AJ74:AJ93)</f>
      </c>
      <c r="AK74" s="9">
        <f>_xlfn.STDEV.P('中国汇率&amp;期货（ln）'!AK74:AK93)</f>
      </c>
      <c r="AL74" s="9">
        <f>_xlfn.STDEV.P('中国汇率&amp;期货（ln）'!AL74:AL93)</f>
      </c>
      <c r="AM74" s="9">
        <f>_xlfn.STDEV.P('中国汇率&amp;期货（ln）'!AM74:AM93)</f>
      </c>
      <c r="AN74" s="9">
        <f>_xlfn.STDEV.P('中国汇率&amp;期货（ln）'!AN74:AN93)</f>
      </c>
      <c r="AO74" s="9">
        <f>_xlfn.STDEV.P('中国汇率&amp;期货（ln）'!AO74:AO93)</f>
      </c>
      <c r="AP74" s="9">
        <f>_xlfn.STDEV.P('中国汇率&amp;期货（ln）'!AP74:AP93)</f>
      </c>
      <c r="AQ74" s="9">
        <f>_xlfn.STDEV.P('中国汇率&amp;期货（ln）'!AQ74:AQ93)</f>
      </c>
      <c r="AR74" s="9">
        <f>_xlfn.STDEV.P('中国汇率&amp;期货（ln）'!AR74:AR93)</f>
      </c>
      <c r="AS74" s="9">
        <f>_xlfn.STDEV.P('中国汇率&amp;期货（ln）'!AS74:AS93)</f>
      </c>
      <c r="AT74" s="9">
        <f>_xlfn.STDEV.P('中国汇率&amp;期货（ln）'!AT74:AT93)</f>
      </c>
      <c r="AU74" s="9">
        <f>_xlfn.STDEV.P('中国汇率&amp;期货（ln）'!AU74:AU93)</f>
      </c>
      <c r="AV74" s="9">
        <f>_xlfn.STDEV.P('中国汇率&amp;期货（ln）'!AV74:AV93)</f>
      </c>
      <c r="AW74" s="9">
        <f>_xlfn.STDEV.P('中国汇率&amp;期货（ln）'!AW74:AW93)</f>
      </c>
      <c r="AX74" s="9">
        <f>_xlfn.STDEV.P('中国汇率&amp;期货（ln）'!AX74:AX93)</f>
      </c>
      <c r="AY74" s="9">
        <f>_xlfn.STDEV.P('中国汇率&amp;期货（ln）'!AY74:AY93)</f>
      </c>
      <c r="AZ74" s="9">
        <f>_xlfn.STDEV.P('中国汇率&amp;期货（ln）'!AZ74:AZ93)</f>
      </c>
      <c r="BA74" s="9">
        <f>_xlfn.STDEV.P('中国汇率&amp;期货（ln）'!BA74:BA93)</f>
      </c>
      <c r="BB74" s="9">
        <f>_xlfn.STDEV.P('中国汇率&amp;期货（ln）'!BB74:BB93)</f>
      </c>
      <c r="BC74" s="9">
        <f>_xlfn.STDEV.P('中国汇率&amp;期货（ln）'!BC74:BC93)</f>
      </c>
      <c r="BD74" s="9">
        <f>_xlfn.STDEV.P('中国汇率&amp;期货（ln）'!BD74:BD93)</f>
      </c>
      <c r="BE74" s="9">
        <f>_xlfn.STDEV.P('中国汇率&amp;期货（ln）'!BE74:BE93)</f>
      </c>
    </row>
    <row x14ac:dyDescent="0.25" r="75" customHeight="1" ht="18.75">
      <c r="A75" s="1"/>
      <c r="B75" s="9">
        <f>_xlfn.STDEV.P('中国汇率&amp;期货（ln）'!B75:B94)</f>
      </c>
      <c r="C75" s="9">
        <f>_xlfn.STDEV.P('中国汇率&amp;期货（ln）'!C75:C94)</f>
      </c>
      <c r="D75" s="9">
        <f>_xlfn.STDEV.P('中国汇率&amp;期货（ln）'!D75:D94)</f>
      </c>
      <c r="E75" s="9">
        <f>_xlfn.STDEV.P('中国汇率&amp;期货（ln）'!E75:E94)</f>
      </c>
      <c r="F75" s="9">
        <f>_xlfn.STDEV.P('中国汇率&amp;期货（ln）'!F75:F94)</f>
      </c>
      <c r="G75" s="9">
        <f>_xlfn.STDEV.P('中国汇率&amp;期货（ln）'!G75:G94)</f>
      </c>
      <c r="H75" s="9">
        <f>_xlfn.STDEV.P('中国汇率&amp;期货（ln）'!H75:H94)</f>
      </c>
      <c r="I75" s="9">
        <f>_xlfn.STDEV.P('中国汇率&amp;期货（ln）'!I75:I94)</f>
      </c>
      <c r="J75" s="9">
        <f>_xlfn.STDEV.P('中国汇率&amp;期货（ln）'!J75:J94)</f>
      </c>
      <c r="K75" s="9">
        <f>_xlfn.STDEV.P('中国汇率&amp;期货（ln）'!K75:K94)</f>
      </c>
      <c r="L75" s="9">
        <f>_xlfn.STDEV.P('中国汇率&amp;期货（ln）'!L75:L94)</f>
      </c>
      <c r="M75" s="9">
        <f>_xlfn.STDEV.P('中国汇率&amp;期货（ln）'!M75:M94)</f>
      </c>
      <c r="N75" s="9">
        <f>_xlfn.STDEV.P('中国汇率&amp;期货（ln）'!N75:N94)</f>
      </c>
      <c r="O75" s="9">
        <f>_xlfn.STDEV.P('中国汇率&amp;期货（ln）'!O75:O94)</f>
      </c>
      <c r="P75" s="9">
        <f>_xlfn.STDEV.P('中国汇率&amp;期货（ln）'!P75:P94)</f>
      </c>
      <c r="Q75" s="9">
        <f>_xlfn.STDEV.P('中国汇率&amp;期货（ln）'!Q75:Q94)</f>
      </c>
      <c r="R75" s="9">
        <f>_xlfn.STDEV.P('中国汇率&amp;期货（ln）'!R75:R94)</f>
      </c>
      <c r="S75" s="9">
        <f>_xlfn.STDEV.P('中国汇率&amp;期货（ln）'!S75:S94)</f>
      </c>
      <c r="T75" s="9">
        <f>_xlfn.STDEV.P('中国汇率&amp;期货（ln）'!T75:T94)</f>
      </c>
      <c r="U75" s="9">
        <f>_xlfn.STDEV.P('中国汇率&amp;期货（ln）'!U75:U94)</f>
      </c>
      <c r="V75" s="9">
        <f>_xlfn.STDEV.P('中国汇率&amp;期货（ln）'!V75:V94)</f>
      </c>
      <c r="W75" s="9">
        <f>_xlfn.STDEV.P('中国汇率&amp;期货（ln）'!W75:W94)</f>
      </c>
      <c r="X75" s="9">
        <f>_xlfn.STDEV.P('中国汇率&amp;期货（ln）'!X75:X94)</f>
      </c>
      <c r="Y75" s="9">
        <f>_xlfn.STDEV.P('中国汇率&amp;期货（ln）'!Y75:Y94)</f>
      </c>
      <c r="Z75" s="9">
        <f>_xlfn.STDEV.P('中国汇率&amp;期货（ln）'!Z75:Z94)</f>
      </c>
      <c r="AA75" s="9">
        <f>_xlfn.STDEV.P('中国汇率&amp;期货（ln）'!AA75:AA94)</f>
      </c>
      <c r="AB75" s="9">
        <f>_xlfn.STDEV.P('中国汇率&amp;期货（ln）'!AB75:AB94)</f>
      </c>
      <c r="AC75" s="9">
        <f>_xlfn.STDEV.P('中国汇率&amp;期货（ln）'!AC75:AC94)</f>
      </c>
      <c r="AD75" s="9">
        <f>_xlfn.STDEV.P('中国汇率&amp;期货（ln）'!AD75:AD94)</f>
      </c>
      <c r="AE75" s="9">
        <f>_xlfn.STDEV.P('中国汇率&amp;期货（ln）'!AE75:AE94)</f>
      </c>
      <c r="AF75" s="9">
        <f>_xlfn.STDEV.P('中国汇率&amp;期货（ln）'!AF75:AF94)</f>
      </c>
      <c r="AG75" s="9">
        <f>_xlfn.STDEV.P('中国汇率&amp;期货（ln）'!AG75:AG94)</f>
      </c>
      <c r="AH75" s="9">
        <f>_xlfn.STDEV.P('中国汇率&amp;期货（ln）'!AH75:AH94)</f>
      </c>
      <c r="AI75" s="9">
        <f>_xlfn.STDEV.P('中国汇率&amp;期货（ln）'!AI75:AI94)</f>
      </c>
      <c r="AJ75" s="9">
        <f>_xlfn.STDEV.P('中国汇率&amp;期货（ln）'!AJ75:AJ94)</f>
      </c>
      <c r="AK75" s="9">
        <f>_xlfn.STDEV.P('中国汇率&amp;期货（ln）'!AK75:AK94)</f>
      </c>
      <c r="AL75" s="9">
        <f>_xlfn.STDEV.P('中国汇率&amp;期货（ln）'!AL75:AL94)</f>
      </c>
      <c r="AM75" s="9">
        <f>_xlfn.STDEV.P('中国汇率&amp;期货（ln）'!AM75:AM94)</f>
      </c>
      <c r="AN75" s="9">
        <f>_xlfn.STDEV.P('中国汇率&amp;期货（ln）'!AN75:AN94)</f>
      </c>
      <c r="AO75" s="9">
        <f>_xlfn.STDEV.P('中国汇率&amp;期货（ln）'!AO75:AO94)</f>
      </c>
      <c r="AP75" s="9">
        <f>_xlfn.STDEV.P('中国汇率&amp;期货（ln）'!AP75:AP94)</f>
      </c>
      <c r="AQ75" s="9">
        <f>_xlfn.STDEV.P('中国汇率&amp;期货（ln）'!AQ75:AQ94)</f>
      </c>
      <c r="AR75" s="9">
        <f>_xlfn.STDEV.P('中国汇率&amp;期货（ln）'!AR75:AR94)</f>
      </c>
      <c r="AS75" s="9">
        <f>_xlfn.STDEV.P('中国汇率&amp;期货（ln）'!AS75:AS94)</f>
      </c>
      <c r="AT75" s="9">
        <f>_xlfn.STDEV.P('中国汇率&amp;期货（ln）'!AT75:AT94)</f>
      </c>
      <c r="AU75" s="9">
        <f>_xlfn.STDEV.P('中国汇率&amp;期货（ln）'!AU75:AU94)</f>
      </c>
      <c r="AV75" s="9">
        <f>_xlfn.STDEV.P('中国汇率&amp;期货（ln）'!AV75:AV94)</f>
      </c>
      <c r="AW75" s="9">
        <f>_xlfn.STDEV.P('中国汇率&amp;期货（ln）'!AW75:AW94)</f>
      </c>
      <c r="AX75" s="9">
        <f>_xlfn.STDEV.P('中国汇率&amp;期货（ln）'!AX75:AX94)</f>
      </c>
      <c r="AY75" s="9">
        <f>_xlfn.STDEV.P('中国汇率&amp;期货（ln）'!AY75:AY94)</f>
      </c>
      <c r="AZ75" s="9">
        <f>_xlfn.STDEV.P('中国汇率&amp;期货（ln）'!AZ75:AZ94)</f>
      </c>
      <c r="BA75" s="9">
        <f>_xlfn.STDEV.P('中国汇率&amp;期货（ln）'!BA75:BA94)</f>
      </c>
      <c r="BB75" s="9">
        <f>_xlfn.STDEV.P('中国汇率&amp;期货（ln）'!BB75:BB94)</f>
      </c>
      <c r="BC75" s="9">
        <f>_xlfn.STDEV.P('中国汇率&amp;期货（ln）'!BC75:BC94)</f>
      </c>
      <c r="BD75" s="9">
        <f>_xlfn.STDEV.P('中国汇率&amp;期货（ln）'!BD75:BD94)</f>
      </c>
      <c r="BE75" s="9">
        <f>_xlfn.STDEV.P('中国汇率&amp;期货（ln）'!BE75:BE94)</f>
      </c>
    </row>
    <row x14ac:dyDescent="0.25" r="76" customHeight="1" ht="18.75">
      <c r="A76" s="1"/>
      <c r="B76" s="9">
        <f>_xlfn.STDEV.P('中国汇率&amp;期货（ln）'!B76:B95)</f>
      </c>
      <c r="C76" s="9">
        <f>_xlfn.STDEV.P('中国汇率&amp;期货（ln）'!C76:C95)</f>
      </c>
      <c r="D76" s="9">
        <f>_xlfn.STDEV.P('中国汇率&amp;期货（ln）'!D76:D95)</f>
      </c>
      <c r="E76" s="9">
        <f>_xlfn.STDEV.P('中国汇率&amp;期货（ln）'!E76:E95)</f>
      </c>
      <c r="F76" s="9">
        <f>_xlfn.STDEV.P('中国汇率&amp;期货（ln）'!F76:F95)</f>
      </c>
      <c r="G76" s="9">
        <f>_xlfn.STDEV.P('中国汇率&amp;期货（ln）'!G76:G95)</f>
      </c>
      <c r="H76" s="9">
        <f>_xlfn.STDEV.P('中国汇率&amp;期货（ln）'!H76:H95)</f>
      </c>
      <c r="I76" s="9">
        <f>_xlfn.STDEV.P('中国汇率&amp;期货（ln）'!I76:I95)</f>
      </c>
      <c r="J76" s="9">
        <f>_xlfn.STDEV.P('中国汇率&amp;期货（ln）'!J76:J95)</f>
      </c>
      <c r="K76" s="9">
        <f>_xlfn.STDEV.P('中国汇率&amp;期货（ln）'!K76:K95)</f>
      </c>
      <c r="L76" s="9">
        <f>_xlfn.STDEV.P('中国汇率&amp;期货（ln）'!L76:L95)</f>
      </c>
      <c r="M76" s="9">
        <f>_xlfn.STDEV.P('中国汇率&amp;期货（ln）'!M76:M95)</f>
      </c>
      <c r="N76" s="9">
        <f>_xlfn.STDEV.P('中国汇率&amp;期货（ln）'!N76:N95)</f>
      </c>
      <c r="O76" s="9">
        <f>_xlfn.STDEV.P('中国汇率&amp;期货（ln）'!O76:O95)</f>
      </c>
      <c r="P76" s="9">
        <f>_xlfn.STDEV.P('中国汇率&amp;期货（ln）'!P76:P95)</f>
      </c>
      <c r="Q76" s="9">
        <f>_xlfn.STDEV.P('中国汇率&amp;期货（ln）'!Q76:Q95)</f>
      </c>
      <c r="R76" s="9">
        <f>_xlfn.STDEV.P('中国汇率&amp;期货（ln）'!R76:R95)</f>
      </c>
      <c r="S76" s="9">
        <f>_xlfn.STDEV.P('中国汇率&amp;期货（ln）'!S76:S95)</f>
      </c>
      <c r="T76" s="9">
        <f>_xlfn.STDEV.P('中国汇率&amp;期货（ln）'!T76:T95)</f>
      </c>
      <c r="U76" s="9">
        <f>_xlfn.STDEV.P('中国汇率&amp;期货（ln）'!U76:U95)</f>
      </c>
      <c r="V76" s="9">
        <f>_xlfn.STDEV.P('中国汇率&amp;期货（ln）'!V76:V95)</f>
      </c>
      <c r="W76" s="9">
        <f>_xlfn.STDEV.P('中国汇率&amp;期货（ln）'!W76:W95)</f>
      </c>
      <c r="X76" s="9">
        <f>_xlfn.STDEV.P('中国汇率&amp;期货（ln）'!X76:X95)</f>
      </c>
      <c r="Y76" s="9">
        <f>_xlfn.STDEV.P('中国汇率&amp;期货（ln）'!Y76:Y95)</f>
      </c>
      <c r="Z76" s="9">
        <f>_xlfn.STDEV.P('中国汇率&amp;期货（ln）'!Z76:Z95)</f>
      </c>
      <c r="AA76" s="9">
        <f>_xlfn.STDEV.P('中国汇率&amp;期货（ln）'!AA76:AA95)</f>
      </c>
      <c r="AB76" s="9">
        <f>_xlfn.STDEV.P('中国汇率&amp;期货（ln）'!AB76:AB95)</f>
      </c>
      <c r="AC76" s="9">
        <f>_xlfn.STDEV.P('中国汇率&amp;期货（ln）'!AC76:AC95)</f>
      </c>
      <c r="AD76" s="9">
        <f>_xlfn.STDEV.P('中国汇率&amp;期货（ln）'!AD76:AD95)</f>
      </c>
      <c r="AE76" s="9">
        <f>_xlfn.STDEV.P('中国汇率&amp;期货（ln）'!AE76:AE95)</f>
      </c>
      <c r="AF76" s="9">
        <f>_xlfn.STDEV.P('中国汇率&amp;期货（ln）'!AF76:AF95)</f>
      </c>
      <c r="AG76" s="9">
        <f>_xlfn.STDEV.P('中国汇率&amp;期货（ln）'!AG76:AG95)</f>
      </c>
      <c r="AH76" s="9">
        <f>_xlfn.STDEV.P('中国汇率&amp;期货（ln）'!AH76:AH95)</f>
      </c>
      <c r="AI76" s="9">
        <f>_xlfn.STDEV.P('中国汇率&amp;期货（ln）'!AI76:AI95)</f>
      </c>
      <c r="AJ76" s="9">
        <f>_xlfn.STDEV.P('中国汇率&amp;期货（ln）'!AJ76:AJ95)</f>
      </c>
      <c r="AK76" s="9">
        <f>_xlfn.STDEV.P('中国汇率&amp;期货（ln）'!AK76:AK95)</f>
      </c>
      <c r="AL76" s="9">
        <f>_xlfn.STDEV.P('中国汇率&amp;期货（ln）'!AL76:AL95)</f>
      </c>
      <c r="AM76" s="9">
        <f>_xlfn.STDEV.P('中国汇率&amp;期货（ln）'!AM76:AM95)</f>
      </c>
      <c r="AN76" s="9">
        <f>_xlfn.STDEV.P('中国汇率&amp;期货（ln）'!AN76:AN95)</f>
      </c>
      <c r="AO76" s="9">
        <f>_xlfn.STDEV.P('中国汇率&amp;期货（ln）'!AO76:AO95)</f>
      </c>
      <c r="AP76" s="9">
        <f>_xlfn.STDEV.P('中国汇率&amp;期货（ln）'!AP76:AP95)</f>
      </c>
      <c r="AQ76" s="9">
        <f>_xlfn.STDEV.P('中国汇率&amp;期货（ln）'!AQ76:AQ95)</f>
      </c>
      <c r="AR76" s="9">
        <f>_xlfn.STDEV.P('中国汇率&amp;期货（ln）'!AR76:AR95)</f>
      </c>
      <c r="AS76" s="9">
        <f>_xlfn.STDEV.P('中国汇率&amp;期货（ln）'!AS76:AS95)</f>
      </c>
      <c r="AT76" s="9">
        <f>_xlfn.STDEV.P('中国汇率&amp;期货（ln）'!AT76:AT95)</f>
      </c>
      <c r="AU76" s="9">
        <f>_xlfn.STDEV.P('中国汇率&amp;期货（ln）'!AU76:AU95)</f>
      </c>
      <c r="AV76" s="9">
        <f>_xlfn.STDEV.P('中国汇率&amp;期货（ln）'!AV76:AV95)</f>
      </c>
      <c r="AW76" s="9">
        <f>_xlfn.STDEV.P('中国汇率&amp;期货（ln）'!AW76:AW95)</f>
      </c>
      <c r="AX76" s="9">
        <f>_xlfn.STDEV.P('中国汇率&amp;期货（ln）'!AX76:AX95)</f>
      </c>
      <c r="AY76" s="9">
        <f>_xlfn.STDEV.P('中国汇率&amp;期货（ln）'!AY76:AY95)</f>
      </c>
      <c r="AZ76" s="9">
        <f>_xlfn.STDEV.P('中国汇率&amp;期货（ln）'!AZ76:AZ95)</f>
      </c>
      <c r="BA76" s="9">
        <f>_xlfn.STDEV.P('中国汇率&amp;期货（ln）'!BA76:BA95)</f>
      </c>
      <c r="BB76" s="9">
        <f>_xlfn.STDEV.P('中国汇率&amp;期货（ln）'!BB76:BB95)</f>
      </c>
      <c r="BC76" s="9">
        <f>_xlfn.STDEV.P('中国汇率&amp;期货（ln）'!BC76:BC95)</f>
      </c>
      <c r="BD76" s="9">
        <f>_xlfn.STDEV.P('中国汇率&amp;期货（ln）'!BD76:BD95)</f>
      </c>
      <c r="BE76" s="9">
        <f>_xlfn.STDEV.P('中国汇率&amp;期货（ln）'!BE76:BE95)</f>
      </c>
    </row>
    <row x14ac:dyDescent="0.25" r="77" customHeight="1" ht="18.75">
      <c r="A77" s="1"/>
      <c r="B77" s="9">
        <f>_xlfn.STDEV.P('中国汇率&amp;期货（ln）'!B77:B96)</f>
      </c>
      <c r="C77" s="9">
        <f>_xlfn.STDEV.P('中国汇率&amp;期货（ln）'!C77:C96)</f>
      </c>
      <c r="D77" s="9">
        <f>_xlfn.STDEV.P('中国汇率&amp;期货（ln）'!D77:D96)</f>
      </c>
      <c r="E77" s="9">
        <f>_xlfn.STDEV.P('中国汇率&amp;期货（ln）'!E77:E96)</f>
      </c>
      <c r="F77" s="9">
        <f>_xlfn.STDEV.P('中国汇率&amp;期货（ln）'!F77:F96)</f>
      </c>
      <c r="G77" s="9">
        <f>_xlfn.STDEV.P('中国汇率&amp;期货（ln）'!G77:G96)</f>
      </c>
      <c r="H77" s="9">
        <f>_xlfn.STDEV.P('中国汇率&amp;期货（ln）'!H77:H96)</f>
      </c>
      <c r="I77" s="9">
        <f>_xlfn.STDEV.P('中国汇率&amp;期货（ln）'!I77:I96)</f>
      </c>
      <c r="J77" s="9">
        <f>_xlfn.STDEV.P('中国汇率&amp;期货（ln）'!J77:J96)</f>
      </c>
      <c r="K77" s="9">
        <f>_xlfn.STDEV.P('中国汇率&amp;期货（ln）'!K77:K96)</f>
      </c>
      <c r="L77" s="9">
        <f>_xlfn.STDEV.P('中国汇率&amp;期货（ln）'!L77:L96)</f>
      </c>
      <c r="M77" s="9">
        <f>_xlfn.STDEV.P('中国汇率&amp;期货（ln）'!M77:M96)</f>
      </c>
      <c r="N77" s="9">
        <f>_xlfn.STDEV.P('中国汇率&amp;期货（ln）'!N77:N96)</f>
      </c>
      <c r="O77" s="9">
        <f>_xlfn.STDEV.P('中国汇率&amp;期货（ln）'!O77:O96)</f>
      </c>
      <c r="P77" s="9">
        <f>_xlfn.STDEV.P('中国汇率&amp;期货（ln）'!P77:P96)</f>
      </c>
      <c r="Q77" s="9">
        <f>_xlfn.STDEV.P('中国汇率&amp;期货（ln）'!Q77:Q96)</f>
      </c>
      <c r="R77" s="9">
        <f>_xlfn.STDEV.P('中国汇率&amp;期货（ln）'!R77:R96)</f>
      </c>
      <c r="S77" s="9">
        <f>_xlfn.STDEV.P('中国汇率&amp;期货（ln）'!S77:S96)</f>
      </c>
      <c r="T77" s="9">
        <f>_xlfn.STDEV.P('中国汇率&amp;期货（ln）'!T77:T96)</f>
      </c>
      <c r="U77" s="9">
        <f>_xlfn.STDEV.P('中国汇率&amp;期货（ln）'!U77:U96)</f>
      </c>
      <c r="V77" s="9">
        <f>_xlfn.STDEV.P('中国汇率&amp;期货（ln）'!V77:V96)</f>
      </c>
      <c r="W77" s="9">
        <f>_xlfn.STDEV.P('中国汇率&amp;期货（ln）'!W77:W96)</f>
      </c>
      <c r="X77" s="9">
        <f>_xlfn.STDEV.P('中国汇率&amp;期货（ln）'!X77:X96)</f>
      </c>
      <c r="Y77" s="9">
        <f>_xlfn.STDEV.P('中国汇率&amp;期货（ln）'!Y77:Y96)</f>
      </c>
      <c r="Z77" s="9">
        <f>_xlfn.STDEV.P('中国汇率&amp;期货（ln）'!Z77:Z96)</f>
      </c>
      <c r="AA77" s="9">
        <f>_xlfn.STDEV.P('中国汇率&amp;期货（ln）'!AA77:AA96)</f>
      </c>
      <c r="AB77" s="9">
        <f>_xlfn.STDEV.P('中国汇率&amp;期货（ln）'!AB77:AB96)</f>
      </c>
      <c r="AC77" s="9">
        <f>_xlfn.STDEV.P('中国汇率&amp;期货（ln）'!AC77:AC96)</f>
      </c>
      <c r="AD77" s="9">
        <f>_xlfn.STDEV.P('中国汇率&amp;期货（ln）'!AD77:AD96)</f>
      </c>
      <c r="AE77" s="9">
        <f>_xlfn.STDEV.P('中国汇率&amp;期货（ln）'!AE77:AE96)</f>
      </c>
      <c r="AF77" s="9">
        <f>_xlfn.STDEV.P('中国汇率&amp;期货（ln）'!AF77:AF96)</f>
      </c>
      <c r="AG77" s="9">
        <f>_xlfn.STDEV.P('中国汇率&amp;期货（ln）'!AG77:AG96)</f>
      </c>
      <c r="AH77" s="9">
        <f>_xlfn.STDEV.P('中国汇率&amp;期货（ln）'!AH77:AH96)</f>
      </c>
      <c r="AI77" s="9">
        <f>_xlfn.STDEV.P('中国汇率&amp;期货（ln）'!AI77:AI96)</f>
      </c>
      <c r="AJ77" s="9">
        <f>_xlfn.STDEV.P('中国汇率&amp;期货（ln）'!AJ77:AJ96)</f>
      </c>
      <c r="AK77" s="9">
        <f>_xlfn.STDEV.P('中国汇率&amp;期货（ln）'!AK77:AK96)</f>
      </c>
      <c r="AL77" s="9">
        <f>_xlfn.STDEV.P('中国汇率&amp;期货（ln）'!AL77:AL96)</f>
      </c>
      <c r="AM77" s="9">
        <f>_xlfn.STDEV.P('中国汇率&amp;期货（ln）'!AM77:AM96)</f>
      </c>
      <c r="AN77" s="9">
        <f>_xlfn.STDEV.P('中国汇率&amp;期货（ln）'!AN77:AN96)</f>
      </c>
      <c r="AO77" s="9">
        <f>_xlfn.STDEV.P('中国汇率&amp;期货（ln）'!AO77:AO96)</f>
      </c>
      <c r="AP77" s="9">
        <f>_xlfn.STDEV.P('中国汇率&amp;期货（ln）'!AP77:AP96)</f>
      </c>
      <c r="AQ77" s="9">
        <f>_xlfn.STDEV.P('中国汇率&amp;期货（ln）'!AQ77:AQ96)</f>
      </c>
      <c r="AR77" s="9">
        <f>_xlfn.STDEV.P('中国汇率&amp;期货（ln）'!AR77:AR96)</f>
      </c>
      <c r="AS77" s="9">
        <f>_xlfn.STDEV.P('中国汇率&amp;期货（ln）'!AS77:AS96)</f>
      </c>
      <c r="AT77" s="9">
        <f>_xlfn.STDEV.P('中国汇率&amp;期货（ln）'!AT77:AT96)</f>
      </c>
      <c r="AU77" s="9">
        <f>_xlfn.STDEV.P('中国汇率&amp;期货（ln）'!AU77:AU96)</f>
      </c>
      <c r="AV77" s="9">
        <f>_xlfn.STDEV.P('中国汇率&amp;期货（ln）'!AV77:AV96)</f>
      </c>
      <c r="AW77" s="9">
        <f>_xlfn.STDEV.P('中国汇率&amp;期货（ln）'!AW77:AW96)</f>
      </c>
      <c r="AX77" s="9">
        <f>_xlfn.STDEV.P('中国汇率&amp;期货（ln）'!AX77:AX96)</f>
      </c>
      <c r="AY77" s="9">
        <f>_xlfn.STDEV.P('中国汇率&amp;期货（ln）'!AY77:AY96)</f>
      </c>
      <c r="AZ77" s="9">
        <f>_xlfn.STDEV.P('中国汇率&amp;期货（ln）'!AZ77:AZ96)</f>
      </c>
      <c r="BA77" s="9">
        <f>_xlfn.STDEV.P('中国汇率&amp;期货（ln）'!BA77:BA96)</f>
      </c>
      <c r="BB77" s="9">
        <f>_xlfn.STDEV.P('中国汇率&amp;期货（ln）'!BB77:BB96)</f>
      </c>
      <c r="BC77" s="9">
        <f>_xlfn.STDEV.P('中国汇率&amp;期货（ln）'!BC77:BC96)</f>
      </c>
      <c r="BD77" s="9">
        <f>_xlfn.STDEV.P('中国汇率&amp;期货（ln）'!BD77:BD96)</f>
      </c>
      <c r="BE77" s="9">
        <f>_xlfn.STDEV.P('中国汇率&amp;期货（ln）'!BE77:BE96)</f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77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x14ac:dyDescent="0.25" r="2" customHeight="1" ht="18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x14ac:dyDescent="0.25" r="3" customHeight="1" ht="18.75">
      <c r="A3" s="1"/>
      <c r="B3" s="3">
        <f>'中国汇率&amp;期货（数据表）'!B3</f>
      </c>
      <c r="C3" s="3">
        <f>'中国汇率&amp;期货（数据表）'!C3</f>
      </c>
      <c r="D3" s="3">
        <f>'中国汇率&amp;期货（数据表）'!D3</f>
      </c>
      <c r="E3" s="3">
        <f>'中国汇率&amp;期货（数据表）'!E3</f>
      </c>
      <c r="F3" s="3">
        <f>'中国汇率&amp;期货（数据表）'!F3</f>
      </c>
      <c r="G3" s="3">
        <f>'中国汇率&amp;期货（数据表）'!G3</f>
      </c>
      <c r="H3" s="3">
        <f>'中国汇率&amp;期货（数据表）'!H3</f>
      </c>
      <c r="I3" s="3">
        <f>'中国汇率&amp;期货（数据表）'!I3</f>
      </c>
      <c r="J3" s="3">
        <f>'中国汇率&amp;期货（数据表）'!J3</f>
      </c>
      <c r="K3" s="3">
        <f>'中国汇率&amp;期货（数据表）'!K3</f>
      </c>
      <c r="L3" s="3">
        <f>'中国汇率&amp;期货（数据表）'!L3</f>
      </c>
      <c r="M3" s="3">
        <f>'中国汇率&amp;期货（数据表）'!M3</f>
      </c>
      <c r="N3" s="3">
        <f>'中国汇率&amp;期货（数据表）'!N3</f>
      </c>
      <c r="O3" s="3">
        <f>'中国汇率&amp;期货（数据表）'!O3</f>
      </c>
      <c r="P3" s="3">
        <f>'中国汇率&amp;期货（数据表）'!P3</f>
      </c>
      <c r="Q3" s="3">
        <f>'中国汇率&amp;期货（数据表）'!Q3</f>
      </c>
      <c r="R3" s="3">
        <f>'中国汇率&amp;期货（数据表）'!R3</f>
      </c>
      <c r="S3" s="3">
        <f>'中国汇率&amp;期货（数据表）'!S3</f>
      </c>
      <c r="T3" s="3">
        <f>'中国汇率&amp;期货（数据表）'!T3</f>
      </c>
      <c r="U3" s="3">
        <f>'中国汇率&amp;期货（数据表）'!U3</f>
      </c>
      <c r="V3" s="3">
        <f>'中国汇率&amp;期货（数据表）'!V3</f>
      </c>
      <c r="W3" s="3">
        <f>'中国汇率&amp;期货（数据表）'!W3</f>
      </c>
      <c r="X3" s="3">
        <f>'中国汇率&amp;期货（数据表）'!X3</f>
      </c>
      <c r="Y3" s="3">
        <f>'中国汇率&amp;期货（数据表）'!Y3</f>
      </c>
      <c r="Z3" s="3">
        <f>'中国汇率&amp;期货（数据表）'!Z3</f>
      </c>
      <c r="AA3" s="3">
        <f>'中国汇率&amp;期货（数据表）'!AA3</f>
      </c>
      <c r="AB3" s="3">
        <f>'中国汇率&amp;期货（数据表）'!AB3</f>
      </c>
      <c r="AC3" s="3">
        <f>'中国汇率&amp;期货（数据表）'!AC3</f>
      </c>
      <c r="AD3" s="3">
        <f>'中国汇率&amp;期货（数据表）'!AD3</f>
      </c>
      <c r="AE3" s="3">
        <f>'中国汇率&amp;期货（数据表）'!AE3</f>
      </c>
      <c r="AF3" s="3">
        <f>'中国汇率&amp;期货（数据表）'!AF3</f>
      </c>
      <c r="AG3" s="3">
        <f>'中国汇率&amp;期货（数据表）'!AG3</f>
      </c>
      <c r="AH3" s="3">
        <f>'中国汇率&amp;期货（数据表）'!AH3</f>
      </c>
      <c r="AI3" s="3">
        <f>'中国汇率&amp;期货（数据表）'!AI3</f>
      </c>
      <c r="AJ3" s="3">
        <f>'中国汇率&amp;期货（数据表）'!AJ3</f>
      </c>
      <c r="AK3" s="3">
        <f>'中国汇率&amp;期货（数据表）'!AK3</f>
      </c>
      <c r="AL3" s="3">
        <f>'中国汇率&amp;期货（数据表）'!AL3</f>
      </c>
      <c r="AM3" s="3">
        <f>'中国汇率&amp;期货（数据表）'!AM3</f>
      </c>
      <c r="AN3" s="3">
        <f>'中国汇率&amp;期货（数据表）'!AN3</f>
      </c>
      <c r="AO3" s="3">
        <f>'中国汇率&amp;期货（数据表）'!AO3</f>
      </c>
      <c r="AP3" s="3">
        <f>'中国汇率&amp;期货（数据表）'!AP3</f>
      </c>
      <c r="AQ3" s="3">
        <f>'中国汇率&amp;期货（数据表）'!AQ3</f>
      </c>
      <c r="AR3" s="3">
        <f>'中国汇率&amp;期货（数据表）'!AR3</f>
      </c>
      <c r="AS3" s="3">
        <f>'中国汇率&amp;期货（数据表）'!AS3</f>
      </c>
      <c r="AT3" s="3">
        <f>'中国汇率&amp;期货（数据表）'!AT3</f>
      </c>
      <c r="AU3" s="3">
        <f>'中国汇率&amp;期货（数据表）'!AU3</f>
      </c>
      <c r="AV3" s="3">
        <f>'中国汇率&amp;期货（数据表）'!AV3</f>
      </c>
      <c r="AW3" s="3">
        <f>'中国汇率&amp;期货（数据表）'!AW3</f>
      </c>
      <c r="AX3" s="3">
        <f>'中国汇率&amp;期货（数据表）'!AX3</f>
      </c>
      <c r="AY3" s="3">
        <f>'中国汇率&amp;期货（数据表）'!AY3</f>
      </c>
      <c r="AZ3" s="3">
        <f>'中国汇率&amp;期货（数据表）'!AZ3</f>
      </c>
      <c r="BA3" s="3">
        <f>'中国汇率&amp;期货（数据表）'!BA3</f>
      </c>
      <c r="BB3" s="3">
        <f>'中国汇率&amp;期货（数据表）'!BB3</f>
      </c>
      <c r="BC3" s="3">
        <f>'中国汇率&amp;期货（数据表）'!BC3</f>
      </c>
      <c r="BD3" s="3">
        <f>'中国汇率&amp;期货（数据表）'!BD3</f>
      </c>
      <c r="BE3" s="3">
        <f>'中国汇率&amp;期货（数据表）'!BE3</f>
      </c>
    </row>
    <row x14ac:dyDescent="0.25" r="4" customHeight="1" ht="18.75">
      <c r="A4" s="1"/>
      <c r="B4" s="3">
        <f>'中国汇率&amp;期货（数据表）'!B4</f>
      </c>
      <c r="C4" s="3">
        <f>'中国汇率&amp;期货（数据表）'!C4</f>
      </c>
      <c r="D4" s="3">
        <f>'中国汇率&amp;期货（数据表）'!D4</f>
      </c>
      <c r="E4" s="3">
        <f>'中国汇率&amp;期货（数据表）'!E4</f>
      </c>
      <c r="F4" s="3">
        <f>'中国汇率&amp;期货（数据表）'!F4</f>
      </c>
      <c r="G4" s="3">
        <f>'中国汇率&amp;期货（数据表）'!G4</f>
      </c>
      <c r="H4" s="3">
        <f>'中国汇率&amp;期货（数据表）'!H4</f>
      </c>
      <c r="I4" s="3">
        <f>'中国汇率&amp;期货（数据表）'!I4</f>
      </c>
      <c r="J4" s="3">
        <f>'中国汇率&amp;期货（数据表）'!J4</f>
      </c>
      <c r="K4" s="3">
        <f>'中国汇率&amp;期货（数据表）'!K4</f>
      </c>
      <c r="L4" s="3">
        <f>'中国汇率&amp;期货（数据表）'!L4</f>
      </c>
      <c r="M4" s="3">
        <f>'中国汇率&amp;期货（数据表）'!M4</f>
      </c>
      <c r="N4" s="3">
        <f>'中国汇率&amp;期货（数据表）'!N4</f>
      </c>
      <c r="O4" s="3">
        <f>'中国汇率&amp;期货（数据表）'!O4</f>
      </c>
      <c r="P4" s="3">
        <f>'中国汇率&amp;期货（数据表）'!P4</f>
      </c>
      <c r="Q4" s="3">
        <f>'中国汇率&amp;期货（数据表）'!Q4</f>
      </c>
      <c r="R4" s="3">
        <f>'中国汇率&amp;期货（数据表）'!R4</f>
      </c>
      <c r="S4" s="3">
        <f>'中国汇率&amp;期货（数据表）'!S4</f>
      </c>
      <c r="T4" s="3">
        <f>'中国汇率&amp;期货（数据表）'!T4</f>
      </c>
      <c r="U4" s="3">
        <f>'中国汇率&amp;期货（数据表）'!U4</f>
      </c>
      <c r="V4" s="3">
        <f>'中国汇率&amp;期货（数据表）'!V4</f>
      </c>
      <c r="W4" s="3">
        <f>'中国汇率&amp;期货（数据表）'!W4</f>
      </c>
      <c r="X4" s="3">
        <f>'中国汇率&amp;期货（数据表）'!X4</f>
      </c>
      <c r="Y4" s="3">
        <f>'中国汇率&amp;期货（数据表）'!Y4</f>
      </c>
      <c r="Z4" s="3">
        <f>'中国汇率&amp;期货（数据表）'!Z4</f>
      </c>
      <c r="AA4" s="3">
        <f>'中国汇率&amp;期货（数据表）'!AA4</f>
      </c>
      <c r="AB4" s="3">
        <f>'中国汇率&amp;期货（数据表）'!AB4</f>
      </c>
      <c r="AC4" s="3">
        <f>'中国汇率&amp;期货（数据表）'!AC4</f>
      </c>
      <c r="AD4" s="3">
        <f>'中国汇率&amp;期货（数据表）'!AD4</f>
      </c>
      <c r="AE4" s="3">
        <f>'中国汇率&amp;期货（数据表）'!AE4</f>
      </c>
      <c r="AF4" s="3">
        <f>'中国汇率&amp;期货（数据表）'!AF4</f>
      </c>
      <c r="AG4" s="3">
        <f>'中国汇率&amp;期货（数据表）'!AG4</f>
      </c>
      <c r="AH4" s="3">
        <f>'中国汇率&amp;期货（数据表）'!AH4</f>
      </c>
      <c r="AI4" s="3">
        <f>'中国汇率&amp;期货（数据表）'!AI4</f>
      </c>
      <c r="AJ4" s="3">
        <f>'中国汇率&amp;期货（数据表）'!AJ4</f>
      </c>
      <c r="AK4" s="3">
        <f>'中国汇率&amp;期货（数据表）'!AK4</f>
      </c>
      <c r="AL4" s="3">
        <f>'中国汇率&amp;期货（数据表）'!AL4</f>
      </c>
      <c r="AM4" s="3">
        <f>'中国汇率&amp;期货（数据表）'!AM4</f>
      </c>
      <c r="AN4" s="3">
        <f>'中国汇率&amp;期货（数据表）'!AN4</f>
      </c>
      <c r="AO4" s="3">
        <f>'中国汇率&amp;期货（数据表）'!AO4</f>
      </c>
      <c r="AP4" s="3">
        <f>'中国汇率&amp;期货（数据表）'!AP4</f>
      </c>
      <c r="AQ4" s="3">
        <f>'中国汇率&amp;期货（数据表）'!AQ4</f>
      </c>
      <c r="AR4" s="3">
        <f>'中国汇率&amp;期货（数据表）'!AR4</f>
      </c>
      <c r="AS4" s="3">
        <f>'中国汇率&amp;期货（数据表）'!AS4</f>
      </c>
      <c r="AT4" s="3">
        <f>'中国汇率&amp;期货（数据表）'!AT4</f>
      </c>
      <c r="AU4" s="3">
        <f>'中国汇率&amp;期货（数据表）'!AU4</f>
      </c>
      <c r="AV4" s="3">
        <f>'中国汇率&amp;期货（数据表）'!AV4</f>
      </c>
      <c r="AW4" s="3">
        <f>'中国汇率&amp;期货（数据表）'!AW4</f>
      </c>
      <c r="AX4" s="3">
        <f>'中国汇率&amp;期货（数据表）'!AX4</f>
      </c>
      <c r="AY4" s="3">
        <f>'中国汇率&amp;期货（数据表）'!AY4</f>
      </c>
      <c r="AZ4" s="3">
        <f>'中国汇率&amp;期货（数据表）'!AZ4</f>
      </c>
      <c r="BA4" s="3">
        <f>'中国汇率&amp;期货（数据表）'!BA4</f>
      </c>
      <c r="BB4" s="3">
        <f>'中国汇率&amp;期货（数据表）'!BB4</f>
      </c>
      <c r="BC4" s="3">
        <f>'中国汇率&amp;期货（数据表）'!BC4</f>
      </c>
      <c r="BD4" s="3">
        <f>'中国汇率&amp;期货（数据表）'!BD4</f>
      </c>
      <c r="BE4" s="3">
        <f>'中国汇率&amp;期货（数据表）'!BE4</f>
      </c>
    </row>
    <row x14ac:dyDescent="0.25" r="5" customHeight="1" ht="18.75">
      <c r="A5" s="1"/>
      <c r="B5" s="4">
        <f>'中国汇率&amp;期货（change）'!B5/'中国汇率&amp;期货（vol）'!B5</f>
      </c>
      <c r="C5" s="4">
        <f>'中国汇率&amp;期货（change）'!C5/'中国汇率&amp;期货（vol）'!C5</f>
      </c>
      <c r="D5" s="4">
        <f>'中国汇率&amp;期货（change）'!D5/'中国汇率&amp;期货（vol）'!D5</f>
      </c>
      <c r="E5" s="4">
        <f>'中国汇率&amp;期货（change）'!E5/'中国汇率&amp;期货（vol）'!E5</f>
      </c>
      <c r="F5" s="4">
        <f>'中国汇率&amp;期货（change）'!F5/'中国汇率&amp;期货（vol）'!F5</f>
      </c>
      <c r="G5" s="4">
        <f>'中国汇率&amp;期货（change）'!G5/'中国汇率&amp;期货（vol）'!G5</f>
      </c>
      <c r="H5" s="4">
        <f>'中国汇率&amp;期货（change）'!H5/'中国汇率&amp;期货（vol）'!H5</f>
      </c>
      <c r="I5" s="4">
        <f>'中国汇率&amp;期货（change）'!I5/'中国汇率&amp;期货（vol）'!I5</f>
      </c>
      <c r="J5" s="4">
        <f>'中国汇率&amp;期货（change）'!J5/'中国汇率&amp;期货（vol）'!J5</f>
      </c>
      <c r="K5" s="4">
        <f>'中国汇率&amp;期货（change）'!K5/'中国汇率&amp;期货（vol）'!K5</f>
      </c>
      <c r="L5" s="4">
        <f>'中国汇率&amp;期货（change）'!L5/'中国汇率&amp;期货（vol）'!L5</f>
      </c>
      <c r="M5" s="4">
        <f>'中国汇率&amp;期货（change）'!M5/'中国汇率&amp;期货（vol）'!M5</f>
      </c>
      <c r="N5" s="4">
        <f>'中国汇率&amp;期货（change）'!N5/'中国汇率&amp;期货（vol）'!N5</f>
      </c>
      <c r="O5" s="4">
        <f>'中国汇率&amp;期货（change）'!O5/'中国汇率&amp;期货（vol）'!O5</f>
      </c>
      <c r="P5" s="4">
        <f>'中国汇率&amp;期货（change）'!P5/'中国汇率&amp;期货（vol）'!P5</f>
      </c>
      <c r="Q5" s="4">
        <f>'中国汇率&amp;期货（change）'!Q5/'中国汇率&amp;期货（vol）'!Q5</f>
      </c>
      <c r="R5" s="4">
        <f>'中国汇率&amp;期货（change）'!R5/'中国汇率&amp;期货（vol）'!R5</f>
      </c>
      <c r="S5" s="4">
        <f>'中国汇率&amp;期货（change）'!S5/'中国汇率&amp;期货（vol）'!S5</f>
      </c>
      <c r="T5" s="4">
        <f>'中国汇率&amp;期货（change）'!T5/'中国汇率&amp;期货（vol）'!T5</f>
      </c>
      <c r="U5" s="4">
        <f>'中国汇率&amp;期货（change）'!U5/'中国汇率&amp;期货（vol）'!U5</f>
      </c>
      <c r="V5" s="4">
        <f>'中国汇率&amp;期货（change）'!V5/'中国汇率&amp;期货（vol）'!V5</f>
      </c>
      <c r="W5" s="4">
        <f>'中国汇率&amp;期货（change）'!W5/'中国汇率&amp;期货（vol）'!W5</f>
      </c>
      <c r="X5" s="4">
        <f>'中国汇率&amp;期货（change）'!X5/'中国汇率&amp;期货（vol）'!X5</f>
      </c>
      <c r="Y5" s="4">
        <f>'中国汇率&amp;期货（change）'!Y5/'中国汇率&amp;期货（vol）'!Y5</f>
      </c>
      <c r="Z5" s="4">
        <f>'中国汇率&amp;期货（change）'!Z5/'中国汇率&amp;期货（vol）'!Z5</f>
      </c>
      <c r="AA5" s="4">
        <f>'中国汇率&amp;期货（change）'!AA5/'中国汇率&amp;期货（vol）'!AA5</f>
      </c>
      <c r="AB5" s="4">
        <f>'中国汇率&amp;期货（change）'!AB5/'中国汇率&amp;期货（vol）'!AB5</f>
      </c>
      <c r="AC5" s="4">
        <f>'中国汇率&amp;期货（change）'!AC5/'中国汇率&amp;期货（vol）'!AC5</f>
      </c>
      <c r="AD5" s="4">
        <f>'中国汇率&amp;期货（change）'!AD5/'中国汇率&amp;期货（vol）'!AD5</f>
      </c>
      <c r="AE5" s="4">
        <f>'中国汇率&amp;期货（change）'!AE5/'中国汇率&amp;期货（vol）'!AE5</f>
      </c>
      <c r="AF5" s="4">
        <f>'中国汇率&amp;期货（change）'!AF5/'中国汇率&amp;期货（vol）'!AF5</f>
      </c>
      <c r="AG5" s="4">
        <f>'中国汇率&amp;期货（change）'!AG5/'中国汇率&amp;期货（vol）'!AG5</f>
      </c>
      <c r="AH5" s="4">
        <f>'中国汇率&amp;期货（change）'!AH5/'中国汇率&amp;期货（vol）'!AH5</f>
      </c>
      <c r="AI5" s="4">
        <f>'中国汇率&amp;期货（change）'!AI5/'中国汇率&amp;期货（vol）'!AI5</f>
      </c>
      <c r="AJ5" s="4">
        <f>'中国汇率&amp;期货（change）'!AJ5/'中国汇率&amp;期货（vol）'!AJ5</f>
      </c>
      <c r="AK5" s="4">
        <f>'中国汇率&amp;期货（change）'!AK5/'中国汇率&amp;期货（vol）'!AK5</f>
      </c>
      <c r="AL5" s="4">
        <f>'中国汇率&amp;期货（change）'!AL5/'中国汇率&amp;期货（vol）'!AL5</f>
      </c>
      <c r="AM5" s="4">
        <f>'中国汇率&amp;期货（change）'!AM5/'中国汇率&amp;期货（vol）'!AM5</f>
      </c>
      <c r="AN5" s="4">
        <f>'中国汇率&amp;期货（change）'!AN5/'中国汇率&amp;期货（vol）'!AN5</f>
      </c>
      <c r="AO5" s="4">
        <f>'中国汇率&amp;期货（change）'!AO5/'中国汇率&amp;期货（vol）'!AO5</f>
      </c>
      <c r="AP5" s="4">
        <f>'中国汇率&amp;期货（change）'!AP5/'中国汇率&amp;期货（vol）'!AP5</f>
      </c>
      <c r="AQ5" s="4">
        <f>'中国汇率&amp;期货（change）'!AQ5/'中国汇率&amp;期货（vol）'!AQ5</f>
      </c>
      <c r="AR5" s="4">
        <f>'中国汇率&amp;期货（change）'!AR5/'中国汇率&amp;期货（vol）'!AR5</f>
      </c>
      <c r="AS5" s="4">
        <f>'中国汇率&amp;期货（change）'!AS5/'中国汇率&amp;期货（vol）'!AS5</f>
      </c>
      <c r="AT5" s="4">
        <f>'中国汇率&amp;期货（change）'!AT5/'中国汇率&amp;期货（vol）'!AT5</f>
      </c>
      <c r="AU5" s="4">
        <f>'中国汇率&amp;期货（change）'!AU5/'中国汇率&amp;期货（vol）'!AU5</f>
      </c>
      <c r="AV5" s="4">
        <f>'中国汇率&amp;期货（change）'!AV5/'中国汇率&amp;期货（vol）'!AV5</f>
      </c>
      <c r="AW5" s="4">
        <f>'中国汇率&amp;期货（change）'!AW5/'中国汇率&amp;期货（vol）'!AW5</f>
      </c>
      <c r="AX5" s="4">
        <f>'中国汇率&amp;期货（change）'!AX5/'中国汇率&amp;期货（vol）'!AX5</f>
      </c>
      <c r="AY5" s="4">
        <f>'中国汇率&amp;期货（change）'!AY5/'中国汇率&amp;期货（vol）'!AY5</f>
      </c>
      <c r="AZ5" s="4">
        <f>'中国汇率&amp;期货（change）'!AZ5/'中国汇率&amp;期货（vol）'!AZ5</f>
      </c>
      <c r="BA5" s="4">
        <f>'中国汇率&amp;期货（change）'!BA5/'中国汇率&amp;期货（vol）'!BA5</f>
      </c>
      <c r="BB5" s="4">
        <f>'中国汇率&amp;期货（change）'!BB5/'中国汇率&amp;期货（vol）'!BB5</f>
      </c>
      <c r="BC5" s="4">
        <f>'中国汇率&amp;期货（change）'!BC5/'中国汇率&amp;期货（vol）'!BC5</f>
      </c>
      <c r="BD5" s="4">
        <f>'中国汇率&amp;期货（change）'!BD5/'中国汇率&amp;期货（vol）'!BD5</f>
      </c>
      <c r="BE5" s="4">
        <f>'中国汇率&amp;期货（change）'!BE5/'中国汇率&amp;期货（vol）'!BE5</f>
      </c>
    </row>
    <row x14ac:dyDescent="0.25" r="6" customHeight="1" ht="18.75">
      <c r="A6" s="1"/>
      <c r="B6" s="4">
        <f>'中国汇率&amp;期货（change）'!B6/'中国汇率&amp;期货（vol）'!B6</f>
      </c>
      <c r="C6" s="4">
        <f>'中国汇率&amp;期货（change）'!C6/'中国汇率&amp;期货（vol）'!C6</f>
      </c>
      <c r="D6" s="4">
        <f>'中国汇率&amp;期货（change）'!D6/'中国汇率&amp;期货（vol）'!D6</f>
      </c>
      <c r="E6" s="4">
        <f>'中国汇率&amp;期货（change）'!E6/'中国汇率&amp;期货（vol）'!E6</f>
      </c>
      <c r="F6" s="4">
        <f>'中国汇率&amp;期货（change）'!F6/'中国汇率&amp;期货（vol）'!F6</f>
      </c>
      <c r="G6" s="4">
        <f>'中国汇率&amp;期货（change）'!G6/'中国汇率&amp;期货（vol）'!G6</f>
      </c>
      <c r="H6" s="4">
        <f>'中国汇率&amp;期货（change）'!H6/'中国汇率&amp;期货（vol）'!H6</f>
      </c>
      <c r="I6" s="4">
        <f>'中国汇率&amp;期货（change）'!I6/'中国汇率&amp;期货（vol）'!I6</f>
      </c>
      <c r="J6" s="4">
        <f>'中国汇率&amp;期货（change）'!J6/'中国汇率&amp;期货（vol）'!J6</f>
      </c>
      <c r="K6" s="4">
        <f>'中国汇率&amp;期货（change）'!K6/'中国汇率&amp;期货（vol）'!K6</f>
      </c>
      <c r="L6" s="5">
        <f>'中国汇率&amp;期货（change）'!L6/'中国汇率&amp;期货（vol）'!L6</f>
      </c>
      <c r="M6" s="4">
        <f>'中国汇率&amp;期货（change）'!M6/'中国汇率&amp;期货（vol）'!M6</f>
      </c>
      <c r="N6" s="4">
        <f>'中国汇率&amp;期货（change）'!N6/'中国汇率&amp;期货（vol）'!N6</f>
      </c>
      <c r="O6" s="4">
        <f>'中国汇率&amp;期货（change）'!O6/'中国汇率&amp;期货（vol）'!O6</f>
      </c>
      <c r="P6" s="4">
        <f>'中国汇率&amp;期货（change）'!P6/'中国汇率&amp;期货（vol）'!P6</f>
      </c>
      <c r="Q6" s="4">
        <f>'中国汇率&amp;期货（change）'!Q6/'中国汇率&amp;期货（vol）'!Q6</f>
      </c>
      <c r="R6" s="4">
        <f>'中国汇率&amp;期货（change）'!R6/'中国汇率&amp;期货（vol）'!R6</f>
      </c>
      <c r="S6" s="4">
        <f>'中国汇率&amp;期货（change）'!S6/'中国汇率&amp;期货（vol）'!S6</f>
      </c>
      <c r="T6" s="4">
        <f>'中国汇率&amp;期货（change）'!T6/'中国汇率&amp;期货（vol）'!T6</f>
      </c>
      <c r="U6" s="4">
        <f>'中国汇率&amp;期货（change）'!U6/'中国汇率&amp;期货（vol）'!U6</f>
      </c>
      <c r="V6" s="4">
        <f>'中国汇率&amp;期货（change）'!V6/'中国汇率&amp;期货（vol）'!V6</f>
      </c>
      <c r="W6" s="4">
        <f>'中国汇率&amp;期货（change）'!W6/'中国汇率&amp;期货（vol）'!W6</f>
      </c>
      <c r="X6" s="4">
        <f>'中国汇率&amp;期货（change）'!X6/'中国汇率&amp;期货（vol）'!X6</f>
      </c>
      <c r="Y6" s="4">
        <f>'中国汇率&amp;期货（change）'!Y6/'中国汇率&amp;期货（vol）'!Y6</f>
      </c>
      <c r="Z6" s="4">
        <f>'中国汇率&amp;期货（change）'!Z6/'中国汇率&amp;期货（vol）'!Z6</f>
      </c>
      <c r="AA6" s="4">
        <f>'中国汇率&amp;期货（change）'!AA6/'中国汇率&amp;期货（vol）'!AA6</f>
      </c>
      <c r="AB6" s="4">
        <f>'中国汇率&amp;期货（change）'!AB6/'中国汇率&amp;期货（vol）'!AB6</f>
      </c>
      <c r="AC6" s="4">
        <f>'中国汇率&amp;期货（change）'!AC6/'中国汇率&amp;期货（vol）'!AC6</f>
      </c>
      <c r="AD6" s="4">
        <f>'中国汇率&amp;期货（change）'!AD6/'中国汇率&amp;期货（vol）'!AD6</f>
      </c>
      <c r="AE6" s="4">
        <f>'中国汇率&amp;期货（change）'!AE6/'中国汇率&amp;期货（vol）'!AE6</f>
      </c>
      <c r="AF6" s="4">
        <f>'中国汇率&amp;期货（change）'!AF6/'中国汇率&amp;期货（vol）'!AF6</f>
      </c>
      <c r="AG6" s="4">
        <f>'中国汇率&amp;期货（change）'!AG6/'中国汇率&amp;期货（vol）'!AG6</f>
      </c>
      <c r="AH6" s="4">
        <f>'中国汇率&amp;期货（change）'!AH6/'中国汇率&amp;期货（vol）'!AH6</f>
      </c>
      <c r="AI6" s="4">
        <f>'中国汇率&amp;期货（change）'!AI6/'中国汇率&amp;期货（vol）'!AI6</f>
      </c>
      <c r="AJ6" s="4">
        <f>'中国汇率&amp;期货（change）'!AJ6/'中国汇率&amp;期货（vol）'!AJ6</f>
      </c>
      <c r="AK6" s="4">
        <f>'中国汇率&amp;期货（change）'!AK6/'中国汇率&amp;期货（vol）'!AK6</f>
      </c>
      <c r="AL6" s="4">
        <f>'中国汇率&amp;期货（change）'!AL6/'中国汇率&amp;期货（vol）'!AL6</f>
      </c>
      <c r="AM6" s="4">
        <f>'中国汇率&amp;期货（change）'!AM6/'中国汇率&amp;期货（vol）'!AM6</f>
      </c>
      <c r="AN6" s="4">
        <f>'中国汇率&amp;期货（change）'!AN6/'中国汇率&amp;期货（vol）'!AN6</f>
      </c>
      <c r="AO6" s="4">
        <f>'中国汇率&amp;期货（change）'!AO6/'中国汇率&amp;期货（vol）'!AO6</f>
      </c>
      <c r="AP6" s="4">
        <f>'中国汇率&amp;期货（change）'!AP6/'中国汇率&amp;期货（vol）'!AP6</f>
      </c>
      <c r="AQ6" s="4">
        <f>'中国汇率&amp;期货（change）'!AQ6/'中国汇率&amp;期货（vol）'!AQ6</f>
      </c>
      <c r="AR6" s="4">
        <f>'中国汇率&amp;期货（change）'!AR6/'中国汇率&amp;期货（vol）'!AR6</f>
      </c>
      <c r="AS6" s="4">
        <f>'中国汇率&amp;期货（change）'!AS6/'中国汇率&amp;期货（vol）'!AS6</f>
      </c>
      <c r="AT6" s="4">
        <f>'中国汇率&amp;期货（change）'!AT6/'中国汇率&amp;期货（vol）'!AT6</f>
      </c>
      <c r="AU6" s="4">
        <f>'中国汇率&amp;期货（change）'!AU6/'中国汇率&amp;期货（vol）'!AU6</f>
      </c>
      <c r="AV6" s="4">
        <f>'中国汇率&amp;期货（change）'!AV6/'中国汇率&amp;期货（vol）'!AV6</f>
      </c>
      <c r="AW6" s="4">
        <f>'中国汇率&amp;期货（change）'!AW6/'中国汇率&amp;期货（vol）'!AW6</f>
      </c>
      <c r="AX6" s="4">
        <f>'中国汇率&amp;期货（change）'!AX6/'中国汇率&amp;期货（vol）'!AX6</f>
      </c>
      <c r="AY6" s="4">
        <f>'中国汇率&amp;期货（change）'!AY6/'中国汇率&amp;期货（vol）'!AY6</f>
      </c>
      <c r="AZ6" s="4">
        <f>'中国汇率&amp;期货（change）'!AZ6/'中国汇率&amp;期货（vol）'!AZ6</f>
      </c>
      <c r="BA6" s="4">
        <f>'中国汇率&amp;期货（change）'!BA6/'中国汇率&amp;期货（vol）'!BA6</f>
      </c>
      <c r="BB6" s="4">
        <f>'中国汇率&amp;期货（change）'!BB6/'中国汇率&amp;期货（vol）'!BB6</f>
      </c>
      <c r="BC6" s="4">
        <f>'中国汇率&amp;期货（change）'!BC6/'中国汇率&amp;期货（vol）'!BC6</f>
      </c>
      <c r="BD6" s="4">
        <f>'中国汇率&amp;期货（change）'!BD6/'中国汇率&amp;期货（vol）'!BD6</f>
      </c>
      <c r="BE6" s="4">
        <f>'中国汇率&amp;期货（change）'!BE6/'中国汇率&amp;期货（vol）'!BE6</f>
      </c>
    </row>
    <row x14ac:dyDescent="0.25" r="7" customHeight="1" ht="18.75">
      <c r="A7" s="1"/>
      <c r="B7" s="4">
        <f>'中国汇率&amp;期货（change）'!B7/'中国汇率&amp;期货（vol）'!B7</f>
      </c>
      <c r="C7" s="4">
        <f>'中国汇率&amp;期货（change）'!C7/'中国汇率&amp;期货（vol）'!C7</f>
      </c>
      <c r="D7" s="4">
        <f>'中国汇率&amp;期货（change）'!D7/'中国汇率&amp;期货（vol）'!D7</f>
      </c>
      <c r="E7" s="4">
        <f>'中国汇率&amp;期货（change）'!E7/'中国汇率&amp;期货（vol）'!E7</f>
      </c>
      <c r="F7" s="4">
        <f>'中国汇率&amp;期货（change）'!F7/'中国汇率&amp;期货（vol）'!F7</f>
      </c>
      <c r="G7" s="4">
        <f>'中国汇率&amp;期货（change）'!G7/'中国汇率&amp;期货（vol）'!G7</f>
      </c>
      <c r="H7" s="4">
        <f>'中国汇率&amp;期货（change）'!H7/'中国汇率&amp;期货（vol）'!H7</f>
      </c>
      <c r="I7" s="4">
        <f>'中国汇率&amp;期货（change）'!I7/'中国汇率&amp;期货（vol）'!I7</f>
      </c>
      <c r="J7" s="4">
        <f>'中国汇率&amp;期货（change）'!J7/'中国汇率&amp;期货（vol）'!J7</f>
      </c>
      <c r="K7" s="4">
        <f>'中国汇率&amp;期货（change）'!K7/'中国汇率&amp;期货（vol）'!K7</f>
      </c>
      <c r="L7" s="4">
        <f>'中国汇率&amp;期货（change）'!L7/'中国汇率&amp;期货（vol）'!L7</f>
      </c>
      <c r="M7" s="4">
        <f>'中国汇率&amp;期货（change）'!M7/'中国汇率&amp;期货（vol）'!M7</f>
      </c>
      <c r="N7" s="4">
        <f>'中国汇率&amp;期货（change）'!N7/'中国汇率&amp;期货（vol）'!N7</f>
      </c>
      <c r="O7" s="4">
        <f>'中国汇率&amp;期货（change）'!O7/'中国汇率&amp;期货（vol）'!O7</f>
      </c>
      <c r="P7" s="4">
        <f>'中国汇率&amp;期货（change）'!P7/'中国汇率&amp;期货（vol）'!P7</f>
      </c>
      <c r="Q7" s="4">
        <f>'中国汇率&amp;期货（change）'!Q7/'中国汇率&amp;期货（vol）'!Q7</f>
      </c>
      <c r="R7" s="4">
        <f>'中国汇率&amp;期货（change）'!R7/'中国汇率&amp;期货（vol）'!R7</f>
      </c>
      <c r="S7" s="4">
        <f>'中国汇率&amp;期货（change）'!S7/'中国汇率&amp;期货（vol）'!S7</f>
      </c>
      <c r="T7" s="4">
        <f>'中国汇率&amp;期货（change）'!T7/'中国汇率&amp;期货（vol）'!T7</f>
      </c>
      <c r="U7" s="4">
        <f>'中国汇率&amp;期货（change）'!U7/'中国汇率&amp;期货（vol）'!U7</f>
      </c>
      <c r="V7" s="4">
        <f>'中国汇率&amp;期货（change）'!V7/'中国汇率&amp;期货（vol）'!V7</f>
      </c>
      <c r="W7" s="4">
        <f>'中国汇率&amp;期货（change）'!W7/'中国汇率&amp;期货（vol）'!W7</f>
      </c>
      <c r="X7" s="4">
        <f>'中国汇率&amp;期货（change）'!X7/'中国汇率&amp;期货（vol）'!X7</f>
      </c>
      <c r="Y7" s="4">
        <f>'中国汇率&amp;期货（change）'!Y7/'中国汇率&amp;期货（vol）'!Y7</f>
      </c>
      <c r="Z7" s="4">
        <f>'中国汇率&amp;期货（change）'!Z7/'中国汇率&amp;期货（vol）'!Z7</f>
      </c>
      <c r="AA7" s="4">
        <f>'中国汇率&amp;期货（change）'!AA7/'中国汇率&amp;期货（vol）'!AA7</f>
      </c>
      <c r="AB7" s="4">
        <f>'中国汇率&amp;期货（change）'!AB7/'中国汇率&amp;期货（vol）'!AB7</f>
      </c>
      <c r="AC7" s="4">
        <f>'中国汇率&amp;期货（change）'!AC7/'中国汇率&amp;期货（vol）'!AC7</f>
      </c>
      <c r="AD7" s="4">
        <f>'中国汇率&amp;期货（change）'!AD7/'中国汇率&amp;期货（vol）'!AD7</f>
      </c>
      <c r="AE7" s="4">
        <f>'中国汇率&amp;期货（change）'!AE7/'中国汇率&amp;期货（vol）'!AE7</f>
      </c>
      <c r="AF7" s="4">
        <f>'中国汇率&amp;期货（change）'!AF7/'中国汇率&amp;期货（vol）'!AF7</f>
      </c>
      <c r="AG7" s="4">
        <f>'中国汇率&amp;期货（change）'!AG7/'中国汇率&amp;期货（vol）'!AG7</f>
      </c>
      <c r="AH7" s="4">
        <f>'中国汇率&amp;期货（change）'!AH7/'中国汇率&amp;期货（vol）'!AH7</f>
      </c>
      <c r="AI7" s="4">
        <f>'中国汇率&amp;期货（change）'!AI7/'中国汇率&amp;期货（vol）'!AI7</f>
      </c>
      <c r="AJ7" s="4">
        <f>'中国汇率&amp;期货（change）'!AJ7/'中国汇率&amp;期货（vol）'!AJ7</f>
      </c>
      <c r="AK7" s="4">
        <f>'中国汇率&amp;期货（change）'!AK7/'中国汇率&amp;期货（vol）'!AK7</f>
      </c>
      <c r="AL7" s="4">
        <f>'中国汇率&amp;期货（change）'!AL7/'中国汇率&amp;期货（vol）'!AL7</f>
      </c>
      <c r="AM7" s="4">
        <f>'中国汇率&amp;期货（change）'!AM7/'中国汇率&amp;期货（vol）'!AM7</f>
      </c>
      <c r="AN7" s="4">
        <f>'中国汇率&amp;期货（change）'!AN7/'中国汇率&amp;期货（vol）'!AN7</f>
      </c>
      <c r="AO7" s="4">
        <f>'中国汇率&amp;期货（change）'!AO7/'中国汇率&amp;期货（vol）'!AO7</f>
      </c>
      <c r="AP7" s="4">
        <f>'中国汇率&amp;期货（change）'!AP7/'中国汇率&amp;期货（vol）'!AP7</f>
      </c>
      <c r="AQ7" s="4">
        <f>'中国汇率&amp;期货（change）'!AQ7/'中国汇率&amp;期货（vol）'!AQ7</f>
      </c>
      <c r="AR7" s="4">
        <f>'中国汇率&amp;期货（change）'!AR7/'中国汇率&amp;期货（vol）'!AR7</f>
      </c>
      <c r="AS7" s="4">
        <f>'中国汇率&amp;期货（change）'!AS7/'中国汇率&amp;期货（vol）'!AS7</f>
      </c>
      <c r="AT7" s="4">
        <f>'中国汇率&amp;期货（change）'!AT7/'中国汇率&amp;期货（vol）'!AT7</f>
      </c>
      <c r="AU7" s="4">
        <f>'中国汇率&amp;期货（change）'!AU7/'中国汇率&amp;期货（vol）'!AU7</f>
      </c>
      <c r="AV7" s="4">
        <f>'中国汇率&amp;期货（change）'!AV7/'中国汇率&amp;期货（vol）'!AV7</f>
      </c>
      <c r="AW7" s="4">
        <f>'中国汇率&amp;期货（change）'!AW7/'中国汇率&amp;期货（vol）'!AW7</f>
      </c>
      <c r="AX7" s="4">
        <f>'中国汇率&amp;期货（change）'!AX7/'中国汇率&amp;期货（vol）'!AX7</f>
      </c>
      <c r="AY7" s="4">
        <f>'中国汇率&amp;期货（change）'!AY7/'中国汇率&amp;期货（vol）'!AY7</f>
      </c>
      <c r="AZ7" s="4">
        <f>'中国汇率&amp;期货（change）'!AZ7/'中国汇率&amp;期货（vol）'!AZ7</f>
      </c>
      <c r="BA7" s="4">
        <f>'中国汇率&amp;期货（change）'!BA7/'中国汇率&amp;期货（vol）'!BA7</f>
      </c>
      <c r="BB7" s="4">
        <f>'中国汇率&amp;期货（change）'!BB7/'中国汇率&amp;期货（vol）'!BB7</f>
      </c>
      <c r="BC7" s="4">
        <f>'中国汇率&amp;期货（change）'!BC7/'中国汇率&amp;期货（vol）'!BC7</f>
      </c>
      <c r="BD7" s="4">
        <f>'中国汇率&amp;期货（change）'!BD7/'中国汇率&amp;期货（vol）'!BD7</f>
      </c>
      <c r="BE7" s="4">
        <f>'中国汇率&amp;期货（change）'!BE7/'中国汇率&amp;期货（vol）'!BE7</f>
      </c>
    </row>
    <row x14ac:dyDescent="0.25" r="8" customHeight="1" ht="18.75">
      <c r="A8" s="1"/>
      <c r="B8" s="4">
        <f>'中国汇率&amp;期货（change）'!B8/'中国汇率&amp;期货（vol）'!B8</f>
      </c>
      <c r="C8" s="4">
        <f>'中国汇率&amp;期货（change）'!C8/'中国汇率&amp;期货（vol）'!C8</f>
      </c>
      <c r="D8" s="4">
        <f>'中国汇率&amp;期货（change）'!D8/'中国汇率&amp;期货（vol）'!D8</f>
      </c>
      <c r="E8" s="4">
        <f>'中国汇率&amp;期货（change）'!E8/'中国汇率&amp;期货（vol）'!E8</f>
      </c>
      <c r="F8" s="4">
        <f>'中国汇率&amp;期货（change）'!F8/'中国汇率&amp;期货（vol）'!F8</f>
      </c>
      <c r="G8" s="4">
        <f>'中国汇率&amp;期货（change）'!G8/'中国汇率&amp;期货（vol）'!G8</f>
      </c>
      <c r="H8" s="4">
        <f>'中国汇率&amp;期货（change）'!H8/'中国汇率&amp;期货（vol）'!H8</f>
      </c>
      <c r="I8" s="4">
        <f>'中国汇率&amp;期货（change）'!I8/'中国汇率&amp;期货（vol）'!I8</f>
      </c>
      <c r="J8" s="4">
        <f>'中国汇率&amp;期货（change）'!J8/'中国汇率&amp;期货（vol）'!J8</f>
      </c>
      <c r="K8" s="4">
        <f>'中国汇率&amp;期货（change）'!K8/'中国汇率&amp;期货（vol）'!K8</f>
      </c>
      <c r="L8" s="4">
        <f>'中国汇率&amp;期货（change）'!L8/'中国汇率&amp;期货（vol）'!L8</f>
      </c>
      <c r="M8" s="4">
        <f>'中国汇率&amp;期货（change）'!M8/'中国汇率&amp;期货（vol）'!M8</f>
      </c>
      <c r="N8" s="4">
        <f>'中国汇率&amp;期货（change）'!N8/'中国汇率&amp;期货（vol）'!N8</f>
      </c>
      <c r="O8" s="4">
        <f>'中国汇率&amp;期货（change）'!O8/'中国汇率&amp;期货（vol）'!O8</f>
      </c>
      <c r="P8" s="4">
        <f>'中国汇率&amp;期货（change）'!P8/'中国汇率&amp;期货（vol）'!P8</f>
      </c>
      <c r="Q8" s="4">
        <f>'中国汇率&amp;期货（change）'!Q8/'中国汇率&amp;期货（vol）'!Q8</f>
      </c>
      <c r="R8" s="4">
        <f>'中国汇率&amp;期货（change）'!R8/'中国汇率&amp;期货（vol）'!R8</f>
      </c>
      <c r="S8" s="4">
        <f>'中国汇率&amp;期货（change）'!S8/'中国汇率&amp;期货（vol）'!S8</f>
      </c>
      <c r="T8" s="4">
        <f>'中国汇率&amp;期货（change）'!T8/'中国汇率&amp;期货（vol）'!T8</f>
      </c>
      <c r="U8" s="4">
        <f>'中国汇率&amp;期货（change）'!U8/'中国汇率&amp;期货（vol）'!U8</f>
      </c>
      <c r="V8" s="4">
        <f>'中国汇率&amp;期货（change）'!V8/'中国汇率&amp;期货（vol）'!V8</f>
      </c>
      <c r="W8" s="4">
        <f>'中国汇率&amp;期货（change）'!W8/'中国汇率&amp;期货（vol）'!W8</f>
      </c>
      <c r="X8" s="4">
        <f>'中国汇率&amp;期货（change）'!X8/'中国汇率&amp;期货（vol）'!X8</f>
      </c>
      <c r="Y8" s="4">
        <f>'中国汇率&amp;期货（change）'!Y8/'中国汇率&amp;期货（vol）'!Y8</f>
      </c>
      <c r="Z8" s="4">
        <f>'中国汇率&amp;期货（change）'!Z8/'中国汇率&amp;期货（vol）'!Z8</f>
      </c>
      <c r="AA8" s="4">
        <f>'中国汇率&amp;期货（change）'!AA8/'中国汇率&amp;期货（vol）'!AA8</f>
      </c>
      <c r="AB8" s="4">
        <f>'中国汇率&amp;期货（change）'!AB8/'中国汇率&amp;期货（vol）'!AB8</f>
      </c>
      <c r="AC8" s="4">
        <f>'中国汇率&amp;期货（change）'!AC8/'中国汇率&amp;期货（vol）'!AC8</f>
      </c>
      <c r="AD8" s="4">
        <f>'中国汇率&amp;期货（change）'!AD8/'中国汇率&amp;期货（vol）'!AD8</f>
      </c>
      <c r="AE8" s="4">
        <f>'中国汇率&amp;期货（change）'!AE8/'中国汇率&amp;期货（vol）'!AE8</f>
      </c>
      <c r="AF8" s="4">
        <f>'中国汇率&amp;期货（change）'!AF8/'中国汇率&amp;期货（vol）'!AF8</f>
      </c>
      <c r="AG8" s="4">
        <f>'中国汇率&amp;期货（change）'!AG8/'中国汇率&amp;期货（vol）'!AG8</f>
      </c>
      <c r="AH8" s="4">
        <f>'中国汇率&amp;期货（change）'!AH8/'中国汇率&amp;期货（vol）'!AH8</f>
      </c>
      <c r="AI8" s="4">
        <f>'中国汇率&amp;期货（change）'!AI8/'中国汇率&amp;期货（vol）'!AI8</f>
      </c>
      <c r="AJ8" s="4">
        <f>'中国汇率&amp;期货（change）'!AJ8/'中国汇率&amp;期货（vol）'!AJ8</f>
      </c>
      <c r="AK8" s="4">
        <f>'中国汇率&amp;期货（change）'!AK8/'中国汇率&amp;期货（vol）'!AK8</f>
      </c>
      <c r="AL8" s="4">
        <f>'中国汇率&amp;期货（change）'!AL8/'中国汇率&amp;期货（vol）'!AL8</f>
      </c>
      <c r="AM8" s="4">
        <f>'中国汇率&amp;期货（change）'!AM8/'中国汇率&amp;期货（vol）'!AM8</f>
      </c>
      <c r="AN8" s="4">
        <f>'中国汇率&amp;期货（change）'!AN8/'中国汇率&amp;期货（vol）'!AN8</f>
      </c>
      <c r="AO8" s="4">
        <f>'中国汇率&amp;期货（change）'!AO8/'中国汇率&amp;期货（vol）'!AO8</f>
      </c>
      <c r="AP8" s="4">
        <f>'中国汇率&amp;期货（change）'!AP8/'中国汇率&amp;期货（vol）'!AP8</f>
      </c>
      <c r="AQ8" s="4">
        <f>'中国汇率&amp;期货（change）'!AQ8/'中国汇率&amp;期货（vol）'!AQ8</f>
      </c>
      <c r="AR8" s="4">
        <f>'中国汇率&amp;期货（change）'!AR8/'中国汇率&amp;期货（vol）'!AR8</f>
      </c>
      <c r="AS8" s="4">
        <f>'中国汇率&amp;期货（change）'!AS8/'中国汇率&amp;期货（vol）'!AS8</f>
      </c>
      <c r="AT8" s="4">
        <f>'中国汇率&amp;期货（change）'!AT8/'中国汇率&amp;期货（vol）'!AT8</f>
      </c>
      <c r="AU8" s="4">
        <f>'中国汇率&amp;期货（change）'!AU8/'中国汇率&amp;期货（vol）'!AU8</f>
      </c>
      <c r="AV8" s="4">
        <f>'中国汇率&amp;期货（change）'!AV8/'中国汇率&amp;期货（vol）'!AV8</f>
      </c>
      <c r="AW8" s="4">
        <f>'中国汇率&amp;期货（change）'!AW8/'中国汇率&amp;期货（vol）'!AW8</f>
      </c>
      <c r="AX8" s="4">
        <f>'中国汇率&amp;期货（change）'!AX8/'中国汇率&amp;期货（vol）'!AX8</f>
      </c>
      <c r="AY8" s="4">
        <f>'中国汇率&amp;期货（change）'!AY8/'中国汇率&amp;期货（vol）'!AY8</f>
      </c>
      <c r="AZ8" s="4">
        <f>'中国汇率&amp;期货（change）'!AZ8/'中国汇率&amp;期货（vol）'!AZ8</f>
      </c>
      <c r="BA8" s="4">
        <f>'中国汇率&amp;期货（change）'!BA8/'中国汇率&amp;期货（vol）'!BA8</f>
      </c>
      <c r="BB8" s="4">
        <f>'中国汇率&amp;期货（change）'!BB8/'中国汇率&amp;期货（vol）'!BB8</f>
      </c>
      <c r="BC8" s="4">
        <f>'中国汇率&amp;期货（change）'!BC8/'中国汇率&amp;期货（vol）'!BC8</f>
      </c>
      <c r="BD8" s="4">
        <f>'中国汇率&amp;期货（change）'!BD8/'中国汇率&amp;期货（vol）'!BD8</f>
      </c>
      <c r="BE8" s="4">
        <f>'中国汇率&amp;期货（change）'!BE8/'中国汇率&amp;期货（vol）'!BE8</f>
      </c>
    </row>
    <row x14ac:dyDescent="0.25" r="9" customHeight="1" ht="18.75">
      <c r="A9" s="1"/>
      <c r="B9" s="4">
        <f>'中国汇率&amp;期货（change）'!B9/'中国汇率&amp;期货（vol）'!B9</f>
      </c>
      <c r="C9" s="4">
        <f>'中国汇率&amp;期货（change）'!C9/'中国汇率&amp;期货（vol）'!C9</f>
      </c>
      <c r="D9" s="4">
        <f>'中国汇率&amp;期货（change）'!D9/'中国汇率&amp;期货（vol）'!D9</f>
      </c>
      <c r="E9" s="4">
        <f>'中国汇率&amp;期货（change）'!E9/'中国汇率&amp;期货（vol）'!E9</f>
      </c>
      <c r="F9" s="4">
        <f>'中国汇率&amp;期货（change）'!F9/'中国汇率&amp;期货（vol）'!F9</f>
      </c>
      <c r="G9" s="4">
        <f>'中国汇率&amp;期货（change）'!G9/'中国汇率&amp;期货（vol）'!G9</f>
      </c>
      <c r="H9" s="4">
        <f>'中国汇率&amp;期货（change）'!H9/'中国汇率&amp;期货（vol）'!H9</f>
      </c>
      <c r="I9" s="4">
        <f>'中国汇率&amp;期货（change）'!I9/'中国汇率&amp;期货（vol）'!I9</f>
      </c>
      <c r="J9" s="4">
        <f>'中国汇率&amp;期货（change）'!J9/'中国汇率&amp;期货（vol）'!J9</f>
      </c>
      <c r="K9" s="4">
        <f>'中国汇率&amp;期货（change）'!K9/'中国汇率&amp;期货（vol）'!K9</f>
      </c>
      <c r="L9" s="4">
        <f>'中国汇率&amp;期货（change）'!L9/'中国汇率&amp;期货（vol）'!L9</f>
      </c>
      <c r="M9" s="4">
        <f>'中国汇率&amp;期货（change）'!M9/'中国汇率&amp;期货（vol）'!M9</f>
      </c>
      <c r="N9" s="4">
        <f>'中国汇率&amp;期货（change）'!N9/'中国汇率&amp;期货（vol）'!N9</f>
      </c>
      <c r="O9" s="4">
        <f>'中国汇率&amp;期货（change）'!O9/'中国汇率&amp;期货（vol）'!O9</f>
      </c>
      <c r="P9" s="4">
        <f>'中国汇率&amp;期货（change）'!P9/'中国汇率&amp;期货（vol）'!P9</f>
      </c>
      <c r="Q9" s="4">
        <f>'中国汇率&amp;期货（change）'!Q9/'中国汇率&amp;期货（vol）'!Q9</f>
      </c>
      <c r="R9" s="4">
        <f>'中国汇率&amp;期货（change）'!R9/'中国汇率&amp;期货（vol）'!R9</f>
      </c>
      <c r="S9" s="4">
        <f>'中国汇率&amp;期货（change）'!S9/'中国汇率&amp;期货（vol）'!S9</f>
      </c>
      <c r="T9" s="4">
        <f>'中国汇率&amp;期货（change）'!T9/'中国汇率&amp;期货（vol）'!T9</f>
      </c>
      <c r="U9" s="4">
        <f>'中国汇率&amp;期货（change）'!U9/'中国汇率&amp;期货（vol）'!U9</f>
      </c>
      <c r="V9" s="4">
        <f>'中国汇率&amp;期货（change）'!V9/'中国汇率&amp;期货（vol）'!V9</f>
      </c>
      <c r="W9" s="4">
        <f>'中国汇率&amp;期货（change）'!W9/'中国汇率&amp;期货（vol）'!W9</f>
      </c>
      <c r="X9" s="4">
        <f>'中国汇率&amp;期货（change）'!X9/'中国汇率&amp;期货（vol）'!X9</f>
      </c>
      <c r="Y9" s="4">
        <f>'中国汇率&amp;期货（change）'!Y9/'中国汇率&amp;期货（vol）'!Y9</f>
      </c>
      <c r="Z9" s="4">
        <f>'中国汇率&amp;期货（change）'!Z9/'中国汇率&amp;期货（vol）'!Z9</f>
      </c>
      <c r="AA9" s="4">
        <f>'中国汇率&amp;期货（change）'!AA9/'中国汇率&amp;期货（vol）'!AA9</f>
      </c>
      <c r="AB9" s="4">
        <f>'中国汇率&amp;期货（change）'!AB9/'中国汇率&amp;期货（vol）'!AB9</f>
      </c>
      <c r="AC9" s="4">
        <f>'中国汇率&amp;期货（change）'!AC9/'中国汇率&amp;期货（vol）'!AC9</f>
      </c>
      <c r="AD9" s="4">
        <f>'中国汇率&amp;期货（change）'!AD9/'中国汇率&amp;期货（vol）'!AD9</f>
      </c>
      <c r="AE9" s="4">
        <f>'中国汇率&amp;期货（change）'!AE9/'中国汇率&amp;期货（vol）'!AE9</f>
      </c>
      <c r="AF9" s="4">
        <f>'中国汇率&amp;期货（change）'!AF9/'中国汇率&amp;期货（vol）'!AF9</f>
      </c>
      <c r="AG9" s="4">
        <f>'中国汇率&amp;期货（change）'!AG9/'中国汇率&amp;期货（vol）'!AG9</f>
      </c>
      <c r="AH9" s="4">
        <f>'中国汇率&amp;期货（change）'!AH9/'中国汇率&amp;期货（vol）'!AH9</f>
      </c>
      <c r="AI9" s="4">
        <f>'中国汇率&amp;期货（change）'!AI9/'中国汇率&amp;期货（vol）'!AI9</f>
      </c>
      <c r="AJ9" s="4">
        <f>'中国汇率&amp;期货（change）'!AJ9/'中国汇率&amp;期货（vol）'!AJ9</f>
      </c>
      <c r="AK9" s="4">
        <f>'中国汇率&amp;期货（change）'!AK9/'中国汇率&amp;期货（vol）'!AK9</f>
      </c>
      <c r="AL9" s="4">
        <f>'中国汇率&amp;期货（change）'!AL9/'中国汇率&amp;期货（vol）'!AL9</f>
      </c>
      <c r="AM9" s="4">
        <f>'中国汇率&amp;期货（change）'!AM9/'中国汇率&amp;期货（vol）'!AM9</f>
      </c>
      <c r="AN9" s="4">
        <f>'中国汇率&amp;期货（change）'!AN9/'中国汇率&amp;期货（vol）'!AN9</f>
      </c>
      <c r="AO9" s="4">
        <f>'中国汇率&amp;期货（change）'!AO9/'中国汇率&amp;期货（vol）'!AO9</f>
      </c>
      <c r="AP9" s="4">
        <f>'中国汇率&amp;期货（change）'!AP9/'中国汇率&amp;期货（vol）'!AP9</f>
      </c>
      <c r="AQ9" s="4">
        <f>'中国汇率&amp;期货（change）'!AQ9/'中国汇率&amp;期货（vol）'!AQ9</f>
      </c>
      <c r="AR9" s="4">
        <f>'中国汇率&amp;期货（change）'!AR9/'中国汇率&amp;期货（vol）'!AR9</f>
      </c>
      <c r="AS9" s="4">
        <f>'中国汇率&amp;期货（change）'!AS9/'中国汇率&amp;期货（vol）'!AS9</f>
      </c>
      <c r="AT9" s="4">
        <f>'中国汇率&amp;期货（change）'!AT9/'中国汇率&amp;期货（vol）'!AT9</f>
      </c>
      <c r="AU9" s="4">
        <f>'中国汇率&amp;期货（change）'!AU9/'中国汇率&amp;期货（vol）'!AU9</f>
      </c>
      <c r="AV9" s="4">
        <f>'中国汇率&amp;期货（change）'!AV9/'中国汇率&amp;期货（vol）'!AV9</f>
      </c>
      <c r="AW9" s="4">
        <f>'中国汇率&amp;期货（change）'!AW9/'中国汇率&amp;期货（vol）'!AW9</f>
      </c>
      <c r="AX9" s="4">
        <f>'中国汇率&amp;期货（change）'!AX9/'中国汇率&amp;期货（vol）'!AX9</f>
      </c>
      <c r="AY9" s="4">
        <f>'中国汇率&amp;期货（change）'!AY9/'中国汇率&amp;期货（vol）'!AY9</f>
      </c>
      <c r="AZ9" s="4">
        <f>'中国汇率&amp;期货（change）'!AZ9/'中国汇率&amp;期货（vol）'!AZ9</f>
      </c>
      <c r="BA9" s="4">
        <f>'中国汇率&amp;期货（change）'!BA9/'中国汇率&amp;期货（vol）'!BA9</f>
      </c>
      <c r="BB9" s="4">
        <f>'中国汇率&amp;期货（change）'!BB9/'中国汇率&amp;期货（vol）'!BB9</f>
      </c>
      <c r="BC9" s="4">
        <f>'中国汇率&amp;期货（change）'!BC9/'中国汇率&amp;期货（vol）'!BC9</f>
      </c>
      <c r="BD9" s="4">
        <f>'中国汇率&amp;期货（change）'!BD9/'中国汇率&amp;期货（vol）'!BD9</f>
      </c>
      <c r="BE9" s="4">
        <f>'中国汇率&amp;期货（change）'!BE9/'中国汇率&amp;期货（vol）'!BE9</f>
      </c>
    </row>
    <row x14ac:dyDescent="0.25" r="10" customHeight="1" ht="18.75">
      <c r="A10" s="1"/>
      <c r="B10" s="4">
        <f>'中国汇率&amp;期货（change）'!B10/'中国汇率&amp;期货（vol）'!B10</f>
      </c>
      <c r="C10" s="4">
        <f>'中国汇率&amp;期货（change）'!C10/'中国汇率&amp;期货（vol）'!C10</f>
      </c>
      <c r="D10" s="4">
        <f>'中国汇率&amp;期货（change）'!D10/'中国汇率&amp;期货（vol）'!D10</f>
      </c>
      <c r="E10" s="4">
        <f>'中国汇率&amp;期货（change）'!E10/'中国汇率&amp;期货（vol）'!E10</f>
      </c>
      <c r="F10" s="4">
        <f>'中国汇率&amp;期货（change）'!F10/'中国汇率&amp;期货（vol）'!F10</f>
      </c>
      <c r="G10" s="4">
        <f>'中国汇率&amp;期货（change）'!G10/'中国汇率&amp;期货（vol）'!G10</f>
      </c>
      <c r="H10" s="4">
        <f>'中国汇率&amp;期货（change）'!H10/'中国汇率&amp;期货（vol）'!H10</f>
      </c>
      <c r="I10" s="4">
        <f>'中国汇率&amp;期货（change）'!I10/'中国汇率&amp;期货（vol）'!I10</f>
      </c>
      <c r="J10" s="4">
        <f>'中国汇率&amp;期货（change）'!J10/'中国汇率&amp;期货（vol）'!J10</f>
      </c>
      <c r="K10" s="4">
        <f>'中国汇率&amp;期货（change）'!K10/'中国汇率&amp;期货（vol）'!K10</f>
      </c>
      <c r="L10" s="4">
        <f>'中国汇率&amp;期货（change）'!L10/'中国汇率&amp;期货（vol）'!L10</f>
      </c>
      <c r="M10" s="4">
        <f>'中国汇率&amp;期货（change）'!M10/'中国汇率&amp;期货（vol）'!M10</f>
      </c>
      <c r="N10" s="4">
        <f>'中国汇率&amp;期货（change）'!N10/'中国汇率&amp;期货（vol）'!N10</f>
      </c>
      <c r="O10" s="4">
        <f>'中国汇率&amp;期货（change）'!O10/'中国汇率&amp;期货（vol）'!O10</f>
      </c>
      <c r="P10" s="4">
        <f>'中国汇率&amp;期货（change）'!P10/'中国汇率&amp;期货（vol）'!P10</f>
      </c>
      <c r="Q10" s="4">
        <f>'中国汇率&amp;期货（change）'!Q10/'中国汇率&amp;期货（vol）'!Q10</f>
      </c>
      <c r="R10" s="4">
        <f>'中国汇率&amp;期货（change）'!R10/'中国汇率&amp;期货（vol）'!R10</f>
      </c>
      <c r="S10" s="4">
        <f>'中国汇率&amp;期货（change）'!S10/'中国汇率&amp;期货（vol）'!S10</f>
      </c>
      <c r="T10" s="4">
        <f>'中国汇率&amp;期货（change）'!T10/'中国汇率&amp;期货（vol）'!T10</f>
      </c>
      <c r="U10" s="4">
        <f>'中国汇率&amp;期货（change）'!U10/'中国汇率&amp;期货（vol）'!U10</f>
      </c>
      <c r="V10" s="4">
        <f>'中国汇率&amp;期货（change）'!V10/'中国汇率&amp;期货（vol）'!V10</f>
      </c>
      <c r="W10" s="4">
        <f>'中国汇率&amp;期货（change）'!W10/'中国汇率&amp;期货（vol）'!W10</f>
      </c>
      <c r="X10" s="4">
        <f>'中国汇率&amp;期货（change）'!X10/'中国汇率&amp;期货（vol）'!X10</f>
      </c>
      <c r="Y10" s="4">
        <f>'中国汇率&amp;期货（change）'!Y10/'中国汇率&amp;期货（vol）'!Y10</f>
      </c>
      <c r="Z10" s="4">
        <f>'中国汇率&amp;期货（change）'!Z10/'中国汇率&amp;期货（vol）'!Z10</f>
      </c>
      <c r="AA10" s="4">
        <f>'中国汇率&amp;期货（change）'!AA10/'中国汇率&amp;期货（vol）'!AA10</f>
      </c>
      <c r="AB10" s="4">
        <f>'中国汇率&amp;期货（change）'!AB10/'中国汇率&amp;期货（vol）'!AB10</f>
      </c>
      <c r="AC10" s="4">
        <f>'中国汇率&amp;期货（change）'!AC10/'中国汇率&amp;期货（vol）'!AC10</f>
      </c>
      <c r="AD10" s="4">
        <f>'中国汇率&amp;期货（change）'!AD10/'中国汇率&amp;期货（vol）'!AD10</f>
      </c>
      <c r="AE10" s="4">
        <f>'中国汇率&amp;期货（change）'!AE10/'中国汇率&amp;期货（vol）'!AE10</f>
      </c>
      <c r="AF10" s="4">
        <f>'中国汇率&amp;期货（change）'!AF10/'中国汇率&amp;期货（vol）'!AF10</f>
      </c>
      <c r="AG10" s="4">
        <f>'中国汇率&amp;期货（change）'!AG10/'中国汇率&amp;期货（vol）'!AG10</f>
      </c>
      <c r="AH10" s="4">
        <f>'中国汇率&amp;期货（change）'!AH10/'中国汇率&amp;期货（vol）'!AH10</f>
      </c>
      <c r="AI10" s="4">
        <f>'中国汇率&amp;期货（change）'!AI10/'中国汇率&amp;期货（vol）'!AI10</f>
      </c>
      <c r="AJ10" s="4">
        <f>'中国汇率&amp;期货（change）'!AJ10/'中国汇率&amp;期货（vol）'!AJ10</f>
      </c>
      <c r="AK10" s="4">
        <f>'中国汇率&amp;期货（change）'!AK10/'中国汇率&amp;期货（vol）'!AK10</f>
      </c>
      <c r="AL10" s="4">
        <f>'中国汇率&amp;期货（change）'!AL10/'中国汇率&amp;期货（vol）'!AL10</f>
      </c>
      <c r="AM10" s="4">
        <f>'中国汇率&amp;期货（change）'!AM10/'中国汇率&amp;期货（vol）'!AM10</f>
      </c>
      <c r="AN10" s="4">
        <f>'中国汇率&amp;期货（change）'!AN10/'中国汇率&amp;期货（vol）'!AN10</f>
      </c>
      <c r="AO10" s="4">
        <f>'中国汇率&amp;期货（change）'!AO10/'中国汇率&amp;期货（vol）'!AO10</f>
      </c>
      <c r="AP10" s="4">
        <f>'中国汇率&amp;期货（change）'!AP10/'中国汇率&amp;期货（vol）'!AP10</f>
      </c>
      <c r="AQ10" s="4">
        <f>'中国汇率&amp;期货（change）'!AQ10/'中国汇率&amp;期货（vol）'!AQ10</f>
      </c>
      <c r="AR10" s="4">
        <f>'中国汇率&amp;期货（change）'!AR10/'中国汇率&amp;期货（vol）'!AR10</f>
      </c>
      <c r="AS10" s="4">
        <f>'中国汇率&amp;期货（change）'!AS10/'中国汇率&amp;期货（vol）'!AS10</f>
      </c>
      <c r="AT10" s="4">
        <f>'中国汇率&amp;期货（change）'!AT10/'中国汇率&amp;期货（vol）'!AT10</f>
      </c>
      <c r="AU10" s="4">
        <f>'中国汇率&amp;期货（change）'!AU10/'中国汇率&amp;期货（vol）'!AU10</f>
      </c>
      <c r="AV10" s="4">
        <f>'中国汇率&amp;期货（change）'!AV10/'中国汇率&amp;期货（vol）'!AV10</f>
      </c>
      <c r="AW10" s="4">
        <f>'中国汇率&amp;期货（change）'!AW10/'中国汇率&amp;期货（vol）'!AW10</f>
      </c>
      <c r="AX10" s="4">
        <f>'中国汇率&amp;期货（change）'!AX10/'中国汇率&amp;期货（vol）'!AX10</f>
      </c>
      <c r="AY10" s="4">
        <f>'中国汇率&amp;期货（change）'!AY10/'中国汇率&amp;期货（vol）'!AY10</f>
      </c>
      <c r="AZ10" s="4">
        <f>'中国汇率&amp;期货（change）'!AZ10/'中国汇率&amp;期货（vol）'!AZ10</f>
      </c>
      <c r="BA10" s="4">
        <f>'中国汇率&amp;期货（change）'!BA10/'中国汇率&amp;期货（vol）'!BA10</f>
      </c>
      <c r="BB10" s="4">
        <f>'中国汇率&amp;期货（change）'!BB10/'中国汇率&amp;期货（vol）'!BB10</f>
      </c>
      <c r="BC10" s="4">
        <f>'中国汇率&amp;期货（change）'!BC10/'中国汇率&amp;期货（vol）'!BC10</f>
      </c>
      <c r="BD10" s="4">
        <f>'中国汇率&amp;期货（change）'!BD10/'中国汇率&amp;期货（vol）'!BD10</f>
      </c>
      <c r="BE10" s="4">
        <f>'中国汇率&amp;期货（change）'!BE10/'中国汇率&amp;期货（vol）'!BE10</f>
      </c>
    </row>
    <row x14ac:dyDescent="0.25" r="11" customHeight="1" ht="18.75">
      <c r="A11" s="1"/>
      <c r="B11" s="4">
        <f>'中国汇率&amp;期货（change）'!B11/'中国汇率&amp;期货（vol）'!B11</f>
      </c>
      <c r="C11" s="4">
        <f>'中国汇率&amp;期货（change）'!C11/'中国汇率&amp;期货（vol）'!C11</f>
      </c>
      <c r="D11" s="4">
        <f>'中国汇率&amp;期货（change）'!D11/'中国汇率&amp;期货（vol）'!D11</f>
      </c>
      <c r="E11" s="4">
        <f>'中国汇率&amp;期货（change）'!E11/'中国汇率&amp;期货（vol）'!E11</f>
      </c>
      <c r="F11" s="4">
        <f>'中国汇率&amp;期货（change）'!F11/'中国汇率&amp;期货（vol）'!F11</f>
      </c>
      <c r="G11" s="4">
        <f>'中国汇率&amp;期货（change）'!G11/'中国汇率&amp;期货（vol）'!G11</f>
      </c>
      <c r="H11" s="4">
        <f>'中国汇率&amp;期货（change）'!H11/'中国汇率&amp;期货（vol）'!H11</f>
      </c>
      <c r="I11" s="4">
        <f>'中国汇率&amp;期货（change）'!I11/'中国汇率&amp;期货（vol）'!I11</f>
      </c>
      <c r="J11" s="4">
        <f>'中国汇率&amp;期货（change）'!J11/'中国汇率&amp;期货（vol）'!J11</f>
      </c>
      <c r="K11" s="4">
        <f>'中国汇率&amp;期货（change）'!K11/'中国汇率&amp;期货（vol）'!K11</f>
      </c>
      <c r="L11" s="4">
        <f>'中国汇率&amp;期货（change）'!L11/'中国汇率&amp;期货（vol）'!L11</f>
      </c>
      <c r="M11" s="4">
        <f>'中国汇率&amp;期货（change）'!M11/'中国汇率&amp;期货（vol）'!M11</f>
      </c>
      <c r="N11" s="4">
        <f>'中国汇率&amp;期货（change）'!N11/'中国汇率&amp;期货（vol）'!N11</f>
      </c>
      <c r="O11" s="4">
        <f>'中国汇率&amp;期货（change）'!O11/'中国汇率&amp;期货（vol）'!O11</f>
      </c>
      <c r="P11" s="4">
        <f>'中国汇率&amp;期货（change）'!P11/'中国汇率&amp;期货（vol）'!P11</f>
      </c>
      <c r="Q11" s="4">
        <f>'中国汇率&amp;期货（change）'!Q11/'中国汇率&amp;期货（vol）'!Q11</f>
      </c>
      <c r="R11" s="4">
        <f>'中国汇率&amp;期货（change）'!R11/'中国汇率&amp;期货（vol）'!R11</f>
      </c>
      <c r="S11" s="4">
        <f>'中国汇率&amp;期货（change）'!S11/'中国汇率&amp;期货（vol）'!S11</f>
      </c>
      <c r="T11" s="4">
        <f>'中国汇率&amp;期货（change）'!T11/'中国汇率&amp;期货（vol）'!T11</f>
      </c>
      <c r="U11" s="4">
        <f>'中国汇率&amp;期货（change）'!U11/'中国汇率&amp;期货（vol）'!U11</f>
      </c>
      <c r="V11" s="4">
        <f>'中国汇率&amp;期货（change）'!V11/'中国汇率&amp;期货（vol）'!V11</f>
      </c>
      <c r="W11" s="4">
        <f>'中国汇率&amp;期货（change）'!W11/'中国汇率&amp;期货（vol）'!W11</f>
      </c>
      <c r="X11" s="4">
        <f>'中国汇率&amp;期货（change）'!X11/'中国汇率&amp;期货（vol）'!X11</f>
      </c>
      <c r="Y11" s="4">
        <f>'中国汇率&amp;期货（change）'!Y11/'中国汇率&amp;期货（vol）'!Y11</f>
      </c>
      <c r="Z11" s="4">
        <f>'中国汇率&amp;期货（change）'!Z11/'中国汇率&amp;期货（vol）'!Z11</f>
      </c>
      <c r="AA11" s="4">
        <f>'中国汇率&amp;期货（change）'!AA11/'中国汇率&amp;期货（vol）'!AA11</f>
      </c>
      <c r="AB11" s="4">
        <f>'中国汇率&amp;期货（change）'!AB11/'中国汇率&amp;期货（vol）'!AB11</f>
      </c>
      <c r="AC11" s="4">
        <f>'中国汇率&amp;期货（change）'!AC11/'中国汇率&amp;期货（vol）'!AC11</f>
      </c>
      <c r="AD11" s="4">
        <f>'中国汇率&amp;期货（change）'!AD11/'中国汇率&amp;期货（vol）'!AD11</f>
      </c>
      <c r="AE11" s="4">
        <f>'中国汇率&amp;期货（change）'!AE11/'中国汇率&amp;期货（vol）'!AE11</f>
      </c>
      <c r="AF11" s="4">
        <f>'中国汇率&amp;期货（change）'!AF11/'中国汇率&amp;期货（vol）'!AF11</f>
      </c>
      <c r="AG11" s="4">
        <f>'中国汇率&amp;期货（change）'!AG11/'中国汇率&amp;期货（vol）'!AG11</f>
      </c>
      <c r="AH11" s="4">
        <f>'中国汇率&amp;期货（change）'!AH11/'中国汇率&amp;期货（vol）'!AH11</f>
      </c>
      <c r="AI11" s="4">
        <f>'中国汇率&amp;期货（change）'!AI11/'中国汇率&amp;期货（vol）'!AI11</f>
      </c>
      <c r="AJ11" s="4">
        <f>'中国汇率&amp;期货（change）'!AJ11/'中国汇率&amp;期货（vol）'!AJ11</f>
      </c>
      <c r="AK11" s="4">
        <f>'中国汇率&amp;期货（change）'!AK11/'中国汇率&amp;期货（vol）'!AK11</f>
      </c>
      <c r="AL11" s="4">
        <f>'中国汇率&amp;期货（change）'!AL11/'中国汇率&amp;期货（vol）'!AL11</f>
      </c>
      <c r="AM11" s="4">
        <f>'中国汇率&amp;期货（change）'!AM11/'中国汇率&amp;期货（vol）'!AM11</f>
      </c>
      <c r="AN11" s="4">
        <f>'中国汇率&amp;期货（change）'!AN11/'中国汇率&amp;期货（vol）'!AN11</f>
      </c>
      <c r="AO11" s="4">
        <f>'中国汇率&amp;期货（change）'!AO11/'中国汇率&amp;期货（vol）'!AO11</f>
      </c>
      <c r="AP11" s="4">
        <f>'中国汇率&amp;期货（change）'!AP11/'中国汇率&amp;期货（vol）'!AP11</f>
      </c>
      <c r="AQ11" s="4">
        <f>'中国汇率&amp;期货（change）'!AQ11/'中国汇率&amp;期货（vol）'!AQ11</f>
      </c>
      <c r="AR11" s="4">
        <f>'中国汇率&amp;期货（change）'!AR11/'中国汇率&amp;期货（vol）'!AR11</f>
      </c>
      <c r="AS11" s="4">
        <f>'中国汇率&amp;期货（change）'!AS11/'中国汇率&amp;期货（vol）'!AS11</f>
      </c>
      <c r="AT11" s="4">
        <f>'中国汇率&amp;期货（change）'!AT11/'中国汇率&amp;期货（vol）'!AT11</f>
      </c>
      <c r="AU11" s="4">
        <f>'中国汇率&amp;期货（change）'!AU11/'中国汇率&amp;期货（vol）'!AU11</f>
      </c>
      <c r="AV11" s="4">
        <f>'中国汇率&amp;期货（change）'!AV11/'中国汇率&amp;期货（vol）'!AV11</f>
      </c>
      <c r="AW11" s="4">
        <f>'中国汇率&amp;期货（change）'!AW11/'中国汇率&amp;期货（vol）'!AW11</f>
      </c>
      <c r="AX11" s="4">
        <f>'中国汇率&amp;期货（change）'!AX11/'中国汇率&amp;期货（vol）'!AX11</f>
      </c>
      <c r="AY11" s="4">
        <f>'中国汇率&amp;期货（change）'!AY11/'中国汇率&amp;期货（vol）'!AY11</f>
      </c>
      <c r="AZ11" s="5">
        <f>'中国汇率&amp;期货（change）'!AZ11/'中国汇率&amp;期货（vol）'!AZ11</f>
      </c>
      <c r="BA11" s="4">
        <f>'中国汇率&amp;期货（change）'!BA11/'中国汇率&amp;期货（vol）'!BA11</f>
      </c>
      <c r="BB11" s="4">
        <f>'中国汇率&amp;期货（change）'!BB11/'中国汇率&amp;期货（vol）'!BB11</f>
      </c>
      <c r="BC11" s="4">
        <f>'中国汇率&amp;期货（change）'!BC11/'中国汇率&amp;期货（vol）'!BC11</f>
      </c>
      <c r="BD11" s="4">
        <f>'中国汇率&amp;期货（change）'!BD11/'中国汇率&amp;期货（vol）'!BD11</f>
      </c>
      <c r="BE11" s="4">
        <f>'中国汇率&amp;期货（change）'!BE11/'中国汇率&amp;期货（vol）'!BE11</f>
      </c>
    </row>
    <row x14ac:dyDescent="0.25" r="12" customHeight="1" ht="18.75">
      <c r="A12" s="1"/>
      <c r="B12" s="4">
        <f>'中国汇率&amp;期货（change）'!B12/'中国汇率&amp;期货（vol）'!B12</f>
      </c>
      <c r="C12" s="4">
        <f>'中国汇率&amp;期货（change）'!C12/'中国汇率&amp;期货（vol）'!C12</f>
      </c>
      <c r="D12" s="4">
        <f>'中国汇率&amp;期货（change）'!D12/'中国汇率&amp;期货（vol）'!D12</f>
      </c>
      <c r="E12" s="4">
        <f>'中国汇率&amp;期货（change）'!E12/'中国汇率&amp;期货（vol）'!E12</f>
      </c>
      <c r="F12" s="4">
        <f>'中国汇率&amp;期货（change）'!F12/'中国汇率&amp;期货（vol）'!F12</f>
      </c>
      <c r="G12" s="4">
        <f>'中国汇率&amp;期货（change）'!G12/'中国汇率&amp;期货（vol）'!G12</f>
      </c>
      <c r="H12" s="4">
        <f>'中国汇率&amp;期货（change）'!H12/'中国汇率&amp;期货（vol）'!H12</f>
      </c>
      <c r="I12" s="4">
        <f>'中国汇率&amp;期货（change）'!I12/'中国汇率&amp;期货（vol）'!I12</f>
      </c>
      <c r="J12" s="4">
        <f>'中国汇率&amp;期货（change）'!J12/'中国汇率&amp;期货（vol）'!J12</f>
      </c>
      <c r="K12" s="4">
        <f>'中国汇率&amp;期货（change）'!K12/'中国汇率&amp;期货（vol）'!K12</f>
      </c>
      <c r="L12" s="4">
        <f>'中国汇率&amp;期货（change）'!L12/'中国汇率&amp;期货（vol）'!L12</f>
      </c>
      <c r="M12" s="4">
        <f>'中国汇率&amp;期货（change）'!M12/'中国汇率&amp;期货（vol）'!M12</f>
      </c>
      <c r="N12" s="4">
        <f>'中国汇率&amp;期货（change）'!N12/'中国汇率&amp;期货（vol）'!N12</f>
      </c>
      <c r="O12" s="4">
        <f>'中国汇率&amp;期货（change）'!O12/'中国汇率&amp;期货（vol）'!O12</f>
      </c>
      <c r="P12" s="4">
        <f>'中国汇率&amp;期货（change）'!P12/'中国汇率&amp;期货（vol）'!P12</f>
      </c>
      <c r="Q12" s="4">
        <f>'中国汇率&amp;期货（change）'!Q12/'中国汇率&amp;期货（vol）'!Q12</f>
      </c>
      <c r="R12" s="4">
        <f>'中国汇率&amp;期货（change）'!R12/'中国汇率&amp;期货（vol）'!R12</f>
      </c>
      <c r="S12" s="4">
        <f>'中国汇率&amp;期货（change）'!S12/'中国汇率&amp;期货（vol）'!S12</f>
      </c>
      <c r="T12" s="4">
        <f>'中国汇率&amp;期货（change）'!T12/'中国汇率&amp;期货（vol）'!T12</f>
      </c>
      <c r="U12" s="4">
        <f>'中国汇率&amp;期货（change）'!U12/'中国汇率&amp;期货（vol）'!U12</f>
      </c>
      <c r="V12" s="4">
        <f>'中国汇率&amp;期货（change）'!V12/'中国汇率&amp;期货（vol）'!V12</f>
      </c>
      <c r="W12" s="4">
        <f>'中国汇率&amp;期货（change）'!W12/'中国汇率&amp;期货（vol）'!W12</f>
      </c>
      <c r="X12" s="4">
        <f>'中国汇率&amp;期货（change）'!X12/'中国汇率&amp;期货（vol）'!X12</f>
      </c>
      <c r="Y12" s="4">
        <f>'中国汇率&amp;期货（change）'!Y12/'中国汇率&amp;期货（vol）'!Y12</f>
      </c>
      <c r="Z12" s="4">
        <f>'中国汇率&amp;期货（change）'!Z12/'中国汇率&amp;期货（vol）'!Z12</f>
      </c>
      <c r="AA12" s="4">
        <f>'中国汇率&amp;期货（change）'!AA12/'中国汇率&amp;期货（vol）'!AA12</f>
      </c>
      <c r="AB12" s="4">
        <f>'中国汇率&amp;期货（change）'!AB12/'中国汇率&amp;期货（vol）'!AB12</f>
      </c>
      <c r="AC12" s="4">
        <f>'中国汇率&amp;期货（change）'!AC12/'中国汇率&amp;期货（vol）'!AC12</f>
      </c>
      <c r="AD12" s="4">
        <f>'中国汇率&amp;期货（change）'!AD12/'中国汇率&amp;期货（vol）'!AD12</f>
      </c>
      <c r="AE12" s="4">
        <f>'中国汇率&amp;期货（change）'!AE12/'中国汇率&amp;期货（vol）'!AE12</f>
      </c>
      <c r="AF12" s="4">
        <f>'中国汇率&amp;期货（change）'!AF12/'中国汇率&amp;期货（vol）'!AF12</f>
      </c>
      <c r="AG12" s="4">
        <f>'中国汇率&amp;期货（change）'!AG12/'中国汇率&amp;期货（vol）'!AG12</f>
      </c>
      <c r="AH12" s="4">
        <f>'中国汇率&amp;期货（change）'!AH12/'中国汇率&amp;期货（vol）'!AH12</f>
      </c>
      <c r="AI12" s="4">
        <f>'中国汇率&amp;期货（change）'!AI12/'中国汇率&amp;期货（vol）'!AI12</f>
      </c>
      <c r="AJ12" s="4">
        <f>'中国汇率&amp;期货（change）'!AJ12/'中国汇率&amp;期货（vol）'!AJ12</f>
      </c>
      <c r="AK12" s="4">
        <f>'中国汇率&amp;期货（change）'!AK12/'中国汇率&amp;期货（vol）'!AK12</f>
      </c>
      <c r="AL12" s="4">
        <f>'中国汇率&amp;期货（change）'!AL12/'中国汇率&amp;期货（vol）'!AL12</f>
      </c>
      <c r="AM12" s="4">
        <f>'中国汇率&amp;期货（change）'!AM12/'中国汇率&amp;期货（vol）'!AM12</f>
      </c>
      <c r="AN12" s="4">
        <f>'中国汇率&amp;期货（change）'!AN12/'中国汇率&amp;期货（vol）'!AN12</f>
      </c>
      <c r="AO12" s="4">
        <f>'中国汇率&amp;期货（change）'!AO12/'中国汇率&amp;期货（vol）'!AO12</f>
      </c>
      <c r="AP12" s="4">
        <f>'中国汇率&amp;期货（change）'!AP12/'中国汇率&amp;期货（vol）'!AP12</f>
      </c>
      <c r="AQ12" s="4">
        <f>'中国汇率&amp;期货（change）'!AQ12/'中国汇率&amp;期货（vol）'!AQ12</f>
      </c>
      <c r="AR12" s="4">
        <f>'中国汇率&amp;期货（change）'!AR12/'中国汇率&amp;期货（vol）'!AR12</f>
      </c>
      <c r="AS12" s="4">
        <f>'中国汇率&amp;期货（change）'!AS12/'中国汇率&amp;期货（vol）'!AS12</f>
      </c>
      <c r="AT12" s="4">
        <f>'中国汇率&amp;期货（change）'!AT12/'中国汇率&amp;期货（vol）'!AT12</f>
      </c>
      <c r="AU12" s="4">
        <f>'中国汇率&amp;期货（change）'!AU12/'中国汇率&amp;期货（vol）'!AU12</f>
      </c>
      <c r="AV12" s="4">
        <f>'中国汇率&amp;期货（change）'!AV12/'中国汇率&amp;期货（vol）'!AV12</f>
      </c>
      <c r="AW12" s="4">
        <f>'中国汇率&amp;期货（change）'!AW12/'中国汇率&amp;期货（vol）'!AW12</f>
      </c>
      <c r="AX12" s="4">
        <f>'中国汇率&amp;期货（change）'!AX12/'中国汇率&amp;期货（vol）'!AX12</f>
      </c>
      <c r="AY12" s="4">
        <f>'中国汇率&amp;期货（change）'!AY12/'中国汇率&amp;期货（vol）'!AY12</f>
      </c>
      <c r="AZ12" s="4">
        <f>'中国汇率&amp;期货（change）'!AZ12/'中国汇率&amp;期货（vol）'!AZ12</f>
      </c>
      <c r="BA12" s="4">
        <f>'中国汇率&amp;期货（change）'!BA12/'中国汇率&amp;期货（vol）'!BA12</f>
      </c>
      <c r="BB12" s="4">
        <f>'中国汇率&amp;期货（change）'!BB12/'中国汇率&amp;期货（vol）'!BB12</f>
      </c>
      <c r="BC12" s="4">
        <f>'中国汇率&amp;期货（change）'!BC12/'中国汇率&amp;期货（vol）'!BC12</f>
      </c>
      <c r="BD12" s="4">
        <f>'中国汇率&amp;期货（change）'!BD12/'中国汇率&amp;期货（vol）'!BD12</f>
      </c>
      <c r="BE12" s="4">
        <f>'中国汇率&amp;期货（change）'!BE12/'中国汇率&amp;期货（vol）'!BE12</f>
      </c>
    </row>
    <row x14ac:dyDescent="0.25" r="13" customHeight="1" ht="18.75">
      <c r="A13" s="1"/>
      <c r="B13" s="4">
        <f>'中国汇率&amp;期货（change）'!B13/'中国汇率&amp;期货（vol）'!B13</f>
      </c>
      <c r="C13" s="4">
        <f>'中国汇率&amp;期货（change）'!C13/'中国汇率&amp;期货（vol）'!C13</f>
      </c>
      <c r="D13" s="4">
        <f>'中国汇率&amp;期货（change）'!D13/'中国汇率&amp;期货（vol）'!D13</f>
      </c>
      <c r="E13" s="4">
        <f>'中国汇率&amp;期货（change）'!E13/'中国汇率&amp;期货（vol）'!E13</f>
      </c>
      <c r="F13" s="4">
        <f>'中国汇率&amp;期货（change）'!F13/'中国汇率&amp;期货（vol）'!F13</f>
      </c>
      <c r="G13" s="4">
        <f>'中国汇率&amp;期货（change）'!G13/'中国汇率&amp;期货（vol）'!G13</f>
      </c>
      <c r="H13" s="4">
        <f>'中国汇率&amp;期货（change）'!H13/'中国汇率&amp;期货（vol）'!H13</f>
      </c>
      <c r="I13" s="4">
        <f>'中国汇率&amp;期货（change）'!I13/'中国汇率&amp;期货（vol）'!I13</f>
      </c>
      <c r="J13" s="4">
        <f>'中国汇率&amp;期货（change）'!J13/'中国汇率&amp;期货（vol）'!J13</f>
      </c>
      <c r="K13" s="4">
        <f>'中国汇率&amp;期货（change）'!K13/'中国汇率&amp;期货（vol）'!K13</f>
      </c>
      <c r="L13" s="4">
        <f>'中国汇率&amp;期货（change）'!L13/'中国汇率&amp;期货（vol）'!L13</f>
      </c>
      <c r="M13" s="4">
        <f>'中国汇率&amp;期货（change）'!M13/'中国汇率&amp;期货（vol）'!M13</f>
      </c>
      <c r="N13" s="4">
        <f>'中国汇率&amp;期货（change）'!N13/'中国汇率&amp;期货（vol）'!N13</f>
      </c>
      <c r="O13" s="4">
        <f>'中国汇率&amp;期货（change）'!O13/'中国汇率&amp;期货（vol）'!O13</f>
      </c>
      <c r="P13" s="4">
        <f>'中国汇率&amp;期货（change）'!P13/'中国汇率&amp;期货（vol）'!P13</f>
      </c>
      <c r="Q13" s="4">
        <f>'中国汇率&amp;期货（change）'!Q13/'中国汇率&amp;期货（vol）'!Q13</f>
      </c>
      <c r="R13" s="4">
        <f>'中国汇率&amp;期货（change）'!R13/'中国汇率&amp;期货（vol）'!R13</f>
      </c>
      <c r="S13" s="4">
        <f>'中国汇率&amp;期货（change）'!S13/'中国汇率&amp;期货（vol）'!S13</f>
      </c>
      <c r="T13" s="4">
        <f>'中国汇率&amp;期货（change）'!T13/'中国汇率&amp;期货（vol）'!T13</f>
      </c>
      <c r="U13" s="4">
        <f>'中国汇率&amp;期货（change）'!U13/'中国汇率&amp;期货（vol）'!U13</f>
      </c>
      <c r="V13" s="4">
        <f>'中国汇率&amp;期货（change）'!V13/'中国汇率&amp;期货（vol）'!V13</f>
      </c>
      <c r="W13" s="4">
        <f>'中国汇率&amp;期货（change）'!W13/'中国汇率&amp;期货（vol）'!W13</f>
      </c>
      <c r="X13" s="4">
        <f>'中国汇率&amp;期货（change）'!X13/'中国汇率&amp;期货（vol）'!X13</f>
      </c>
      <c r="Y13" s="4">
        <f>'中国汇率&amp;期货（change）'!Y13/'中国汇率&amp;期货（vol）'!Y13</f>
      </c>
      <c r="Z13" s="4">
        <f>'中国汇率&amp;期货（change）'!Z13/'中国汇率&amp;期货（vol）'!Z13</f>
      </c>
      <c r="AA13" s="4">
        <f>'中国汇率&amp;期货（change）'!AA13/'中国汇率&amp;期货（vol）'!AA13</f>
      </c>
      <c r="AB13" s="4">
        <f>'中国汇率&amp;期货（change）'!AB13/'中国汇率&amp;期货（vol）'!AB13</f>
      </c>
      <c r="AC13" s="4">
        <f>'中国汇率&amp;期货（change）'!AC13/'中国汇率&amp;期货（vol）'!AC13</f>
      </c>
      <c r="AD13" s="4">
        <f>'中国汇率&amp;期货（change）'!AD13/'中国汇率&amp;期货（vol）'!AD13</f>
      </c>
      <c r="AE13" s="4">
        <f>'中国汇率&amp;期货（change）'!AE13/'中国汇率&amp;期货（vol）'!AE13</f>
      </c>
      <c r="AF13" s="4">
        <f>'中国汇率&amp;期货（change）'!AF13/'中国汇率&amp;期货（vol）'!AF13</f>
      </c>
      <c r="AG13" s="4">
        <f>'中国汇率&amp;期货（change）'!AG13/'中国汇率&amp;期货（vol）'!AG13</f>
      </c>
      <c r="AH13" s="4">
        <f>'中国汇率&amp;期货（change）'!AH13/'中国汇率&amp;期货（vol）'!AH13</f>
      </c>
      <c r="AI13" s="4">
        <f>'中国汇率&amp;期货（change）'!AI13/'中国汇率&amp;期货（vol）'!AI13</f>
      </c>
      <c r="AJ13" s="4">
        <f>'中国汇率&amp;期货（change）'!AJ13/'中国汇率&amp;期货（vol）'!AJ13</f>
      </c>
      <c r="AK13" s="4">
        <f>'中国汇率&amp;期货（change）'!AK13/'中国汇率&amp;期货（vol）'!AK13</f>
      </c>
      <c r="AL13" s="4">
        <f>'中国汇率&amp;期货（change）'!AL13/'中国汇率&amp;期货（vol）'!AL13</f>
      </c>
      <c r="AM13" s="4">
        <f>'中国汇率&amp;期货（change）'!AM13/'中国汇率&amp;期货（vol）'!AM13</f>
      </c>
      <c r="AN13" s="4">
        <f>'中国汇率&amp;期货（change）'!AN13/'中国汇率&amp;期货（vol）'!AN13</f>
      </c>
      <c r="AO13" s="4">
        <f>'中国汇率&amp;期货（change）'!AO13/'中国汇率&amp;期货（vol）'!AO13</f>
      </c>
      <c r="AP13" s="4">
        <f>'中国汇率&amp;期货（change）'!AP13/'中国汇率&amp;期货（vol）'!AP13</f>
      </c>
      <c r="AQ13" s="4">
        <f>'中国汇率&amp;期货（change）'!AQ13/'中国汇率&amp;期货（vol）'!AQ13</f>
      </c>
      <c r="AR13" s="4">
        <f>'中国汇率&amp;期货（change）'!AR13/'中国汇率&amp;期货（vol）'!AR13</f>
      </c>
      <c r="AS13" s="4">
        <f>'中国汇率&amp;期货（change）'!AS13/'中国汇率&amp;期货（vol）'!AS13</f>
      </c>
      <c r="AT13" s="4">
        <f>'中国汇率&amp;期货（change）'!AT13/'中国汇率&amp;期货（vol）'!AT13</f>
      </c>
      <c r="AU13" s="4">
        <f>'中国汇率&amp;期货（change）'!AU13/'中国汇率&amp;期货（vol）'!AU13</f>
      </c>
      <c r="AV13" s="4">
        <f>'中国汇率&amp;期货（change）'!AV13/'中国汇率&amp;期货（vol）'!AV13</f>
      </c>
      <c r="AW13" s="4">
        <f>'中国汇率&amp;期货（change）'!AW13/'中国汇率&amp;期货（vol）'!AW13</f>
      </c>
      <c r="AX13" s="4">
        <f>'中国汇率&amp;期货（change）'!AX13/'中国汇率&amp;期货（vol）'!AX13</f>
      </c>
      <c r="AY13" s="4">
        <f>'中国汇率&amp;期货（change）'!AY13/'中国汇率&amp;期货（vol）'!AY13</f>
      </c>
      <c r="AZ13" s="4">
        <f>'中国汇率&amp;期货（change）'!AZ13/'中国汇率&amp;期货（vol）'!AZ13</f>
      </c>
      <c r="BA13" s="4">
        <f>'中国汇率&amp;期货（change）'!BA13/'中国汇率&amp;期货（vol）'!BA13</f>
      </c>
      <c r="BB13" s="4">
        <f>'中国汇率&amp;期货（change）'!BB13/'中国汇率&amp;期货（vol）'!BB13</f>
      </c>
      <c r="BC13" s="4">
        <f>'中国汇率&amp;期货（change）'!BC13/'中国汇率&amp;期货（vol）'!BC13</f>
      </c>
      <c r="BD13" s="4">
        <f>'中国汇率&amp;期货（change）'!BD13/'中国汇率&amp;期货（vol）'!BD13</f>
      </c>
      <c r="BE13" s="4">
        <f>'中国汇率&amp;期货（change）'!BE13/'中国汇率&amp;期货（vol）'!BE13</f>
      </c>
    </row>
    <row x14ac:dyDescent="0.25" r="14" customHeight="1" ht="18.75">
      <c r="A14" s="1"/>
      <c r="B14" s="4">
        <f>'中国汇率&amp;期货（change）'!B14/'中国汇率&amp;期货（vol）'!B14</f>
      </c>
      <c r="C14" s="4">
        <f>'中国汇率&amp;期货（change）'!C14/'中国汇率&amp;期货（vol）'!C14</f>
      </c>
      <c r="D14" s="4">
        <f>'中国汇率&amp;期货（change）'!D14/'中国汇率&amp;期货（vol）'!D14</f>
      </c>
      <c r="E14" s="4">
        <f>'中国汇率&amp;期货（change）'!E14/'中国汇率&amp;期货（vol）'!E14</f>
      </c>
      <c r="F14" s="4">
        <f>'中国汇率&amp;期货（change）'!F14/'中国汇率&amp;期货（vol）'!F14</f>
      </c>
      <c r="G14" s="4">
        <f>'中国汇率&amp;期货（change）'!G14/'中国汇率&amp;期货（vol）'!G14</f>
      </c>
      <c r="H14" s="4">
        <f>'中国汇率&amp;期货（change）'!H14/'中国汇率&amp;期货（vol）'!H14</f>
      </c>
      <c r="I14" s="4">
        <f>'中国汇率&amp;期货（change）'!I14/'中国汇率&amp;期货（vol）'!I14</f>
      </c>
      <c r="J14" s="4">
        <f>'中国汇率&amp;期货（change）'!J14/'中国汇率&amp;期货（vol）'!J14</f>
      </c>
      <c r="K14" s="4">
        <f>'中国汇率&amp;期货（change）'!K14/'中国汇率&amp;期货（vol）'!K14</f>
      </c>
      <c r="L14" s="4">
        <f>'中国汇率&amp;期货（change）'!L14/'中国汇率&amp;期货（vol）'!L14</f>
      </c>
      <c r="M14" s="4">
        <f>'中国汇率&amp;期货（change）'!M14/'中国汇率&amp;期货（vol）'!M14</f>
      </c>
      <c r="N14" s="4">
        <f>'中国汇率&amp;期货（change）'!N14/'中国汇率&amp;期货（vol）'!N14</f>
      </c>
      <c r="O14" s="4">
        <f>'中国汇率&amp;期货（change）'!O14/'中国汇率&amp;期货（vol）'!O14</f>
      </c>
      <c r="P14" s="4">
        <f>'中国汇率&amp;期货（change）'!P14/'中国汇率&amp;期货（vol）'!P14</f>
      </c>
      <c r="Q14" s="4">
        <f>'中国汇率&amp;期货（change）'!Q14/'中国汇率&amp;期货（vol）'!Q14</f>
      </c>
      <c r="R14" s="4">
        <f>'中国汇率&amp;期货（change）'!R14/'中国汇率&amp;期货（vol）'!R14</f>
      </c>
      <c r="S14" s="4">
        <f>'中国汇率&amp;期货（change）'!S14/'中国汇率&amp;期货（vol）'!S14</f>
      </c>
      <c r="T14" s="4">
        <f>'中国汇率&amp;期货（change）'!T14/'中国汇率&amp;期货（vol）'!T14</f>
      </c>
      <c r="U14" s="4">
        <f>'中国汇率&amp;期货（change）'!U14/'中国汇率&amp;期货（vol）'!U14</f>
      </c>
      <c r="V14" s="4">
        <f>'中国汇率&amp;期货（change）'!V14/'中国汇率&amp;期货（vol）'!V14</f>
      </c>
      <c r="W14" s="4">
        <f>'中国汇率&amp;期货（change）'!W14/'中国汇率&amp;期货（vol）'!W14</f>
      </c>
      <c r="X14" s="4">
        <f>'中国汇率&amp;期货（change）'!X14/'中国汇率&amp;期货（vol）'!X14</f>
      </c>
      <c r="Y14" s="4">
        <f>'中国汇率&amp;期货（change）'!Y14/'中国汇率&amp;期货（vol）'!Y14</f>
      </c>
      <c r="Z14" s="4">
        <f>'中国汇率&amp;期货（change）'!Z14/'中国汇率&amp;期货（vol）'!Z14</f>
      </c>
      <c r="AA14" s="4">
        <f>'中国汇率&amp;期货（change）'!AA14/'中国汇率&amp;期货（vol）'!AA14</f>
      </c>
      <c r="AB14" s="4">
        <f>'中国汇率&amp;期货（change）'!AB14/'中国汇率&amp;期货（vol）'!AB14</f>
      </c>
      <c r="AC14" s="4">
        <f>'中国汇率&amp;期货（change）'!AC14/'中国汇率&amp;期货（vol）'!AC14</f>
      </c>
      <c r="AD14" s="4">
        <f>'中国汇率&amp;期货（change）'!AD14/'中国汇率&amp;期货（vol）'!AD14</f>
      </c>
      <c r="AE14" s="4">
        <f>'中国汇率&amp;期货（change）'!AE14/'中国汇率&amp;期货（vol）'!AE14</f>
      </c>
      <c r="AF14" s="4">
        <f>'中国汇率&amp;期货（change）'!AF14/'中国汇率&amp;期货（vol）'!AF14</f>
      </c>
      <c r="AG14" s="4">
        <f>'中国汇率&amp;期货（change）'!AG14/'中国汇率&amp;期货（vol）'!AG14</f>
      </c>
      <c r="AH14" s="4">
        <f>'中国汇率&amp;期货（change）'!AH14/'中国汇率&amp;期货（vol）'!AH14</f>
      </c>
      <c r="AI14" s="4">
        <f>'中国汇率&amp;期货（change）'!AI14/'中国汇率&amp;期货（vol）'!AI14</f>
      </c>
      <c r="AJ14" s="4">
        <f>'中国汇率&amp;期货（change）'!AJ14/'中国汇率&amp;期货（vol）'!AJ14</f>
      </c>
      <c r="AK14" s="4">
        <f>'中国汇率&amp;期货（change）'!AK14/'中国汇率&amp;期货（vol）'!AK14</f>
      </c>
      <c r="AL14" s="4">
        <f>'中国汇率&amp;期货（change）'!AL14/'中国汇率&amp;期货（vol）'!AL14</f>
      </c>
      <c r="AM14" s="4">
        <f>'中国汇率&amp;期货（change）'!AM14/'中国汇率&amp;期货（vol）'!AM14</f>
      </c>
      <c r="AN14" s="4">
        <f>'中国汇率&amp;期货（change）'!AN14/'中国汇率&amp;期货（vol）'!AN14</f>
      </c>
      <c r="AO14" s="4">
        <f>'中国汇率&amp;期货（change）'!AO14/'中国汇率&amp;期货（vol）'!AO14</f>
      </c>
      <c r="AP14" s="4">
        <f>'中国汇率&amp;期货（change）'!AP14/'中国汇率&amp;期货（vol）'!AP14</f>
      </c>
      <c r="AQ14" s="4">
        <f>'中国汇率&amp;期货（change）'!AQ14/'中国汇率&amp;期货（vol）'!AQ14</f>
      </c>
      <c r="AR14" s="4">
        <f>'中国汇率&amp;期货（change）'!AR14/'中国汇率&amp;期货（vol）'!AR14</f>
      </c>
      <c r="AS14" s="4">
        <f>'中国汇率&amp;期货（change）'!AS14/'中国汇率&amp;期货（vol）'!AS14</f>
      </c>
      <c r="AT14" s="4">
        <f>'中国汇率&amp;期货（change）'!AT14/'中国汇率&amp;期货（vol）'!AT14</f>
      </c>
      <c r="AU14" s="4">
        <f>'中国汇率&amp;期货（change）'!AU14/'中国汇率&amp;期货（vol）'!AU14</f>
      </c>
      <c r="AV14" s="4">
        <f>'中国汇率&amp;期货（change）'!AV14/'中国汇率&amp;期货（vol）'!AV14</f>
      </c>
      <c r="AW14" s="4">
        <f>'中国汇率&amp;期货（change）'!AW14/'中国汇率&amp;期货（vol）'!AW14</f>
      </c>
      <c r="AX14" s="4">
        <f>'中国汇率&amp;期货（change）'!AX14/'中国汇率&amp;期货（vol）'!AX14</f>
      </c>
      <c r="AY14" s="4">
        <f>'中国汇率&amp;期货（change）'!AY14/'中国汇率&amp;期货（vol）'!AY14</f>
      </c>
      <c r="AZ14" s="4">
        <f>'中国汇率&amp;期货（change）'!AZ14/'中国汇率&amp;期货（vol）'!AZ14</f>
      </c>
      <c r="BA14" s="4">
        <f>'中国汇率&amp;期货（change）'!BA14/'中国汇率&amp;期货（vol）'!BA14</f>
      </c>
      <c r="BB14" s="4">
        <f>'中国汇率&amp;期货（change）'!BB14/'中国汇率&amp;期货（vol）'!BB14</f>
      </c>
      <c r="BC14" s="4">
        <f>'中国汇率&amp;期货（change）'!BC14/'中国汇率&amp;期货（vol）'!BC14</f>
      </c>
      <c r="BD14" s="4">
        <f>'中国汇率&amp;期货（change）'!BD14/'中国汇率&amp;期货（vol）'!BD14</f>
      </c>
      <c r="BE14" s="4">
        <f>'中国汇率&amp;期货（change）'!BE14/'中国汇率&amp;期货（vol）'!BE14</f>
      </c>
    </row>
    <row x14ac:dyDescent="0.25" r="15" customHeight="1" ht="18.75">
      <c r="A15" s="1"/>
      <c r="B15" s="4">
        <f>'中国汇率&amp;期货（change）'!B15/'中国汇率&amp;期货（vol）'!B15</f>
      </c>
      <c r="C15" s="4">
        <f>'中国汇率&amp;期货（change）'!C15/'中国汇率&amp;期货（vol）'!C15</f>
      </c>
      <c r="D15" s="4">
        <f>'中国汇率&amp;期货（change）'!D15/'中国汇率&amp;期货（vol）'!D15</f>
      </c>
      <c r="E15" s="4">
        <f>'中国汇率&amp;期货（change）'!E15/'中国汇率&amp;期货（vol）'!E15</f>
      </c>
      <c r="F15" s="4">
        <f>'中国汇率&amp;期货（change）'!F15/'中国汇率&amp;期货（vol）'!F15</f>
      </c>
      <c r="G15" s="4">
        <f>'中国汇率&amp;期货（change）'!G15/'中国汇率&amp;期货（vol）'!G15</f>
      </c>
      <c r="H15" s="4">
        <f>'中国汇率&amp;期货（change）'!H15/'中国汇率&amp;期货（vol）'!H15</f>
      </c>
      <c r="I15" s="4">
        <f>'中国汇率&amp;期货（change）'!I15/'中国汇率&amp;期货（vol）'!I15</f>
      </c>
      <c r="J15" s="4">
        <f>'中国汇率&amp;期货（change）'!J15/'中国汇率&amp;期货（vol）'!J15</f>
      </c>
      <c r="K15" s="4">
        <f>'中国汇率&amp;期货（change）'!K15/'中国汇率&amp;期货（vol）'!K15</f>
      </c>
      <c r="L15" s="4">
        <f>'中国汇率&amp;期货（change）'!L15/'中国汇率&amp;期货（vol）'!L15</f>
      </c>
      <c r="M15" s="4">
        <f>'中国汇率&amp;期货（change）'!M15/'中国汇率&amp;期货（vol）'!M15</f>
      </c>
      <c r="N15" s="4">
        <f>'中国汇率&amp;期货（change）'!N15/'中国汇率&amp;期货（vol）'!N15</f>
      </c>
      <c r="O15" s="4">
        <f>'中国汇率&amp;期货（change）'!O15/'中国汇率&amp;期货（vol）'!O15</f>
      </c>
      <c r="P15" s="4">
        <f>'中国汇率&amp;期货（change）'!P15/'中国汇率&amp;期货（vol）'!P15</f>
      </c>
      <c r="Q15" s="4">
        <f>'中国汇率&amp;期货（change）'!Q15/'中国汇率&amp;期货（vol）'!Q15</f>
      </c>
      <c r="R15" s="4">
        <f>'中国汇率&amp;期货（change）'!R15/'中国汇率&amp;期货（vol）'!R15</f>
      </c>
      <c r="S15" s="4">
        <f>'中国汇率&amp;期货（change）'!S15/'中国汇率&amp;期货（vol）'!S15</f>
      </c>
      <c r="T15" s="4">
        <f>'中国汇率&amp;期货（change）'!T15/'中国汇率&amp;期货（vol）'!T15</f>
      </c>
      <c r="U15" s="4">
        <f>'中国汇率&amp;期货（change）'!U15/'中国汇率&amp;期货（vol）'!U15</f>
      </c>
      <c r="V15" s="4">
        <f>'中国汇率&amp;期货（change）'!V15/'中国汇率&amp;期货（vol）'!V15</f>
      </c>
      <c r="W15" s="4">
        <f>'中国汇率&amp;期货（change）'!W15/'中国汇率&amp;期货（vol）'!W15</f>
      </c>
      <c r="X15" s="4">
        <f>'中国汇率&amp;期货（change）'!X15/'中国汇率&amp;期货（vol）'!X15</f>
      </c>
      <c r="Y15" s="4">
        <f>'中国汇率&amp;期货（change）'!Y15/'中国汇率&amp;期货（vol）'!Y15</f>
      </c>
      <c r="Z15" s="4">
        <f>'中国汇率&amp;期货（change）'!Z15/'中国汇率&amp;期货（vol）'!Z15</f>
      </c>
      <c r="AA15" s="4">
        <f>'中国汇率&amp;期货（change）'!AA15/'中国汇率&amp;期货（vol）'!AA15</f>
      </c>
      <c r="AB15" s="4">
        <f>'中国汇率&amp;期货（change）'!AB15/'中国汇率&amp;期货（vol）'!AB15</f>
      </c>
      <c r="AC15" s="4">
        <f>'中国汇率&amp;期货（change）'!AC15/'中国汇率&amp;期货（vol）'!AC15</f>
      </c>
      <c r="AD15" s="4">
        <f>'中国汇率&amp;期货（change）'!AD15/'中国汇率&amp;期货（vol）'!AD15</f>
      </c>
      <c r="AE15" s="4">
        <f>'中国汇率&amp;期货（change）'!AE15/'中国汇率&amp;期货（vol）'!AE15</f>
      </c>
      <c r="AF15" s="4">
        <f>'中国汇率&amp;期货（change）'!AF15/'中国汇率&amp;期货（vol）'!AF15</f>
      </c>
      <c r="AG15" s="4">
        <f>'中国汇率&amp;期货（change）'!AG15/'中国汇率&amp;期货（vol）'!AG15</f>
      </c>
      <c r="AH15" s="4">
        <f>'中国汇率&amp;期货（change）'!AH15/'中国汇率&amp;期货（vol）'!AH15</f>
      </c>
      <c r="AI15" s="4">
        <f>'中国汇率&amp;期货（change）'!AI15/'中国汇率&amp;期货（vol）'!AI15</f>
      </c>
      <c r="AJ15" s="4">
        <f>'中国汇率&amp;期货（change）'!AJ15/'中国汇率&amp;期货（vol）'!AJ15</f>
      </c>
      <c r="AK15" s="4">
        <f>'中国汇率&amp;期货（change）'!AK15/'中国汇率&amp;期货（vol）'!AK15</f>
      </c>
      <c r="AL15" s="4">
        <f>'中国汇率&amp;期货（change）'!AL15/'中国汇率&amp;期货（vol）'!AL15</f>
      </c>
      <c r="AM15" s="4">
        <f>'中国汇率&amp;期货（change）'!AM15/'中国汇率&amp;期货（vol）'!AM15</f>
      </c>
      <c r="AN15" s="4">
        <f>'中国汇率&amp;期货（change）'!AN15/'中国汇率&amp;期货（vol）'!AN15</f>
      </c>
      <c r="AO15" s="4">
        <f>'中国汇率&amp;期货（change）'!AO15/'中国汇率&amp;期货（vol）'!AO15</f>
      </c>
      <c r="AP15" s="4">
        <f>'中国汇率&amp;期货（change）'!AP15/'中国汇率&amp;期货（vol）'!AP15</f>
      </c>
      <c r="AQ15" s="4">
        <f>'中国汇率&amp;期货（change）'!AQ15/'中国汇率&amp;期货（vol）'!AQ15</f>
      </c>
      <c r="AR15" s="4">
        <f>'中国汇率&amp;期货（change）'!AR15/'中国汇率&amp;期货（vol）'!AR15</f>
      </c>
      <c r="AS15" s="4">
        <f>'中国汇率&amp;期货（change）'!AS15/'中国汇率&amp;期货（vol）'!AS15</f>
      </c>
      <c r="AT15" s="4">
        <f>'中国汇率&amp;期货（change）'!AT15/'中国汇率&amp;期货（vol）'!AT15</f>
      </c>
      <c r="AU15" s="4">
        <f>'中国汇率&amp;期货（change）'!AU15/'中国汇率&amp;期货（vol）'!AU15</f>
      </c>
      <c r="AV15" s="4">
        <f>'中国汇率&amp;期货（change）'!AV15/'中国汇率&amp;期货（vol）'!AV15</f>
      </c>
      <c r="AW15" s="4">
        <f>'中国汇率&amp;期货（change）'!AW15/'中国汇率&amp;期货（vol）'!AW15</f>
      </c>
      <c r="AX15" s="4">
        <f>'中国汇率&amp;期货（change）'!AX15/'中国汇率&amp;期货（vol）'!AX15</f>
      </c>
      <c r="AY15" s="4">
        <f>'中国汇率&amp;期货（change）'!AY15/'中国汇率&amp;期货（vol）'!AY15</f>
      </c>
      <c r="AZ15" s="4">
        <f>'中国汇率&amp;期货（change）'!AZ15/'中国汇率&amp;期货（vol）'!AZ15</f>
      </c>
      <c r="BA15" s="4">
        <f>'中国汇率&amp;期货（change）'!BA15/'中国汇率&amp;期货（vol）'!BA15</f>
      </c>
      <c r="BB15" s="4">
        <f>'中国汇率&amp;期货（change）'!BB15/'中国汇率&amp;期货（vol）'!BB15</f>
      </c>
      <c r="BC15" s="4">
        <f>'中国汇率&amp;期货（change）'!BC15/'中国汇率&amp;期货（vol）'!BC15</f>
      </c>
      <c r="BD15" s="4">
        <f>'中国汇率&amp;期货（change）'!BD15/'中国汇率&amp;期货（vol）'!BD15</f>
      </c>
      <c r="BE15" s="4">
        <f>'中国汇率&amp;期货（change）'!BE15/'中国汇率&amp;期货（vol）'!BE15</f>
      </c>
    </row>
    <row x14ac:dyDescent="0.25" r="16" customHeight="1" ht="18.75">
      <c r="A16" s="1"/>
      <c r="B16" s="4">
        <f>'中国汇率&amp;期货（change）'!B16/'中国汇率&amp;期货（vol）'!B16</f>
      </c>
      <c r="C16" s="4">
        <f>'中国汇率&amp;期货（change）'!C16/'中国汇率&amp;期货（vol）'!C16</f>
      </c>
      <c r="D16" s="4">
        <f>'中国汇率&amp;期货（change）'!D16/'中国汇率&amp;期货（vol）'!D16</f>
      </c>
      <c r="E16" s="4">
        <f>'中国汇率&amp;期货（change）'!E16/'中国汇率&amp;期货（vol）'!E16</f>
      </c>
      <c r="F16" s="4">
        <f>'中国汇率&amp;期货（change）'!F16/'中国汇率&amp;期货（vol）'!F16</f>
      </c>
      <c r="G16" s="4">
        <f>'中国汇率&amp;期货（change）'!G16/'中国汇率&amp;期货（vol）'!G16</f>
      </c>
      <c r="H16" s="4">
        <f>'中国汇率&amp;期货（change）'!H16/'中国汇率&amp;期货（vol）'!H16</f>
      </c>
      <c r="I16" s="4">
        <f>'中国汇率&amp;期货（change）'!I16/'中国汇率&amp;期货（vol）'!I16</f>
      </c>
      <c r="J16" s="4">
        <f>'中国汇率&amp;期货（change）'!J16/'中国汇率&amp;期货（vol）'!J16</f>
      </c>
      <c r="K16" s="4">
        <f>'中国汇率&amp;期货（change）'!K16/'中国汇率&amp;期货（vol）'!K16</f>
      </c>
      <c r="L16" s="4">
        <f>'中国汇率&amp;期货（change）'!L16/'中国汇率&amp;期货（vol）'!L16</f>
      </c>
      <c r="M16" s="4">
        <f>'中国汇率&amp;期货（change）'!M16/'中国汇率&amp;期货（vol）'!M16</f>
      </c>
      <c r="N16" s="4">
        <f>'中国汇率&amp;期货（change）'!N16/'中国汇率&amp;期货（vol）'!N16</f>
      </c>
      <c r="O16" s="4">
        <f>'中国汇率&amp;期货（change）'!O16/'中国汇率&amp;期货（vol）'!O16</f>
      </c>
      <c r="P16" s="4">
        <f>'中国汇率&amp;期货（change）'!P16/'中国汇率&amp;期货（vol）'!P16</f>
      </c>
      <c r="Q16" s="4">
        <f>'中国汇率&amp;期货（change）'!Q16/'中国汇率&amp;期货（vol）'!Q16</f>
      </c>
      <c r="R16" s="4">
        <f>'中国汇率&amp;期货（change）'!R16/'中国汇率&amp;期货（vol）'!R16</f>
      </c>
      <c r="S16" s="4">
        <f>'中国汇率&amp;期货（change）'!S16/'中国汇率&amp;期货（vol）'!S16</f>
      </c>
      <c r="T16" s="4">
        <f>'中国汇率&amp;期货（change）'!T16/'中国汇率&amp;期货（vol）'!T16</f>
      </c>
      <c r="U16" s="4">
        <f>'中国汇率&amp;期货（change）'!U16/'中国汇率&amp;期货（vol）'!U16</f>
      </c>
      <c r="V16" s="4">
        <f>'中国汇率&amp;期货（change）'!V16/'中国汇率&amp;期货（vol）'!V16</f>
      </c>
      <c r="W16" s="4">
        <f>'中国汇率&amp;期货（change）'!W16/'中国汇率&amp;期货（vol）'!W16</f>
      </c>
      <c r="X16" s="4">
        <f>'中国汇率&amp;期货（change）'!X16/'中国汇率&amp;期货（vol）'!X16</f>
      </c>
      <c r="Y16" s="4">
        <f>'中国汇率&amp;期货（change）'!Y16/'中国汇率&amp;期货（vol）'!Y16</f>
      </c>
      <c r="Z16" s="4">
        <f>'中国汇率&amp;期货（change）'!Z16/'中国汇率&amp;期货（vol）'!Z16</f>
      </c>
      <c r="AA16" s="4">
        <f>'中国汇率&amp;期货（change）'!AA16/'中国汇率&amp;期货（vol）'!AA16</f>
      </c>
      <c r="AB16" s="4">
        <f>'中国汇率&amp;期货（change）'!AB16/'中国汇率&amp;期货（vol）'!AB16</f>
      </c>
      <c r="AC16" s="4">
        <f>'中国汇率&amp;期货（change）'!AC16/'中国汇率&amp;期货（vol）'!AC16</f>
      </c>
      <c r="AD16" s="4">
        <f>'中国汇率&amp;期货（change）'!AD16/'中国汇率&amp;期货（vol）'!AD16</f>
      </c>
      <c r="AE16" s="4">
        <f>'中国汇率&amp;期货（change）'!AE16/'中国汇率&amp;期货（vol）'!AE16</f>
      </c>
      <c r="AF16" s="4">
        <f>'中国汇率&amp;期货（change）'!AF16/'中国汇率&amp;期货（vol）'!AF16</f>
      </c>
      <c r="AG16" s="4">
        <f>'中国汇率&amp;期货（change）'!AG16/'中国汇率&amp;期货（vol）'!AG16</f>
      </c>
      <c r="AH16" s="4">
        <f>'中国汇率&amp;期货（change）'!AH16/'中国汇率&amp;期货（vol）'!AH16</f>
      </c>
      <c r="AI16" s="4">
        <f>'中国汇率&amp;期货（change）'!AI16/'中国汇率&amp;期货（vol）'!AI16</f>
      </c>
      <c r="AJ16" s="4">
        <f>'中国汇率&amp;期货（change）'!AJ16/'中国汇率&amp;期货（vol）'!AJ16</f>
      </c>
      <c r="AK16" s="4">
        <f>'中国汇率&amp;期货（change）'!AK16/'中国汇率&amp;期货（vol）'!AK16</f>
      </c>
      <c r="AL16" s="4">
        <f>'中国汇率&amp;期货（change）'!AL16/'中国汇率&amp;期货（vol）'!AL16</f>
      </c>
      <c r="AM16" s="4">
        <f>'中国汇率&amp;期货（change）'!AM16/'中国汇率&amp;期货（vol）'!AM16</f>
      </c>
      <c r="AN16" s="4">
        <f>'中国汇率&amp;期货（change）'!AN16/'中国汇率&amp;期货（vol）'!AN16</f>
      </c>
      <c r="AO16" s="4">
        <f>'中国汇率&amp;期货（change）'!AO16/'中国汇率&amp;期货（vol）'!AO16</f>
      </c>
      <c r="AP16" s="4">
        <f>'中国汇率&amp;期货（change）'!AP16/'中国汇率&amp;期货（vol）'!AP16</f>
      </c>
      <c r="AQ16" s="4">
        <f>'中国汇率&amp;期货（change）'!AQ16/'中国汇率&amp;期货（vol）'!AQ16</f>
      </c>
      <c r="AR16" s="4">
        <f>'中国汇率&amp;期货（change）'!AR16/'中国汇率&amp;期货（vol）'!AR16</f>
      </c>
      <c r="AS16" s="4">
        <f>'中国汇率&amp;期货（change）'!AS16/'中国汇率&amp;期货（vol）'!AS16</f>
      </c>
      <c r="AT16" s="4">
        <f>'中国汇率&amp;期货（change）'!AT16/'中国汇率&amp;期货（vol）'!AT16</f>
      </c>
      <c r="AU16" s="4">
        <f>'中国汇率&amp;期货（change）'!AU16/'中国汇率&amp;期货（vol）'!AU16</f>
      </c>
      <c r="AV16" s="4">
        <f>'中国汇率&amp;期货（change）'!AV16/'中国汇率&amp;期货（vol）'!AV16</f>
      </c>
      <c r="AW16" s="4">
        <f>'中国汇率&amp;期货（change）'!AW16/'中国汇率&amp;期货（vol）'!AW16</f>
      </c>
      <c r="AX16" s="4">
        <f>'中国汇率&amp;期货（change）'!AX16/'中国汇率&amp;期货（vol）'!AX16</f>
      </c>
      <c r="AY16" s="4">
        <f>'中国汇率&amp;期货（change）'!AY16/'中国汇率&amp;期货（vol）'!AY16</f>
      </c>
      <c r="AZ16" s="4">
        <f>'中国汇率&amp;期货（change）'!AZ16/'中国汇率&amp;期货（vol）'!AZ16</f>
      </c>
      <c r="BA16" s="4">
        <f>'中国汇率&amp;期货（change）'!BA16/'中国汇率&amp;期货（vol）'!BA16</f>
      </c>
      <c r="BB16" s="4">
        <f>'中国汇率&amp;期货（change）'!BB16/'中国汇率&amp;期货（vol）'!BB16</f>
      </c>
      <c r="BC16" s="4">
        <f>'中国汇率&amp;期货（change）'!BC16/'中国汇率&amp;期货（vol）'!BC16</f>
      </c>
      <c r="BD16" s="4">
        <f>'中国汇率&amp;期货（change）'!BD16/'中国汇率&amp;期货（vol）'!BD16</f>
      </c>
      <c r="BE16" s="4">
        <f>'中国汇率&amp;期货（change）'!BE16/'中国汇率&amp;期货（vol）'!BE16</f>
      </c>
    </row>
    <row x14ac:dyDescent="0.25" r="17" customHeight="1" ht="18.75">
      <c r="A17" s="1"/>
      <c r="B17" s="4">
        <f>'中国汇率&amp;期货（change）'!B17/'中国汇率&amp;期货（vol）'!B17</f>
      </c>
      <c r="C17" s="4">
        <f>'中国汇率&amp;期货（change）'!C17/'中国汇率&amp;期货（vol）'!C17</f>
      </c>
      <c r="D17" s="4">
        <f>'中国汇率&amp;期货（change）'!D17/'中国汇率&amp;期货（vol）'!D17</f>
      </c>
      <c r="E17" s="4">
        <f>'中国汇率&amp;期货（change）'!E17/'中国汇率&amp;期货（vol）'!E17</f>
      </c>
      <c r="F17" s="4">
        <f>'中国汇率&amp;期货（change）'!F17/'中国汇率&amp;期货（vol）'!F17</f>
      </c>
      <c r="G17" s="4">
        <f>'中国汇率&amp;期货（change）'!G17/'中国汇率&amp;期货（vol）'!G17</f>
      </c>
      <c r="H17" s="4">
        <f>'中国汇率&amp;期货（change）'!H17/'中国汇率&amp;期货（vol）'!H17</f>
      </c>
      <c r="I17" s="4">
        <f>'中国汇率&amp;期货（change）'!I17/'中国汇率&amp;期货（vol）'!I17</f>
      </c>
      <c r="J17" s="4">
        <f>'中国汇率&amp;期货（change）'!J17/'中国汇率&amp;期货（vol）'!J17</f>
      </c>
      <c r="K17" s="4">
        <f>'中国汇率&amp;期货（change）'!K17/'中国汇率&amp;期货（vol）'!K17</f>
      </c>
      <c r="L17" s="4">
        <f>'中国汇率&amp;期货（change）'!L17/'中国汇率&amp;期货（vol）'!L17</f>
      </c>
      <c r="M17" s="4">
        <f>'中国汇率&amp;期货（change）'!M17/'中国汇率&amp;期货（vol）'!M17</f>
      </c>
      <c r="N17" s="4">
        <f>'中国汇率&amp;期货（change）'!N17/'中国汇率&amp;期货（vol）'!N17</f>
      </c>
      <c r="O17" s="4">
        <f>'中国汇率&amp;期货（change）'!O17/'中国汇率&amp;期货（vol）'!O17</f>
      </c>
      <c r="P17" s="4">
        <f>'中国汇率&amp;期货（change）'!P17/'中国汇率&amp;期货（vol）'!P17</f>
      </c>
      <c r="Q17" s="4">
        <f>'中国汇率&amp;期货（change）'!Q17/'中国汇率&amp;期货（vol）'!Q17</f>
      </c>
      <c r="R17" s="4">
        <f>'中国汇率&amp;期货（change）'!R17/'中国汇率&amp;期货（vol）'!R17</f>
      </c>
      <c r="S17" s="4">
        <f>'中国汇率&amp;期货（change）'!S17/'中国汇率&amp;期货（vol）'!S17</f>
      </c>
      <c r="T17" s="4">
        <f>'中国汇率&amp;期货（change）'!T17/'中国汇率&amp;期货（vol）'!T17</f>
      </c>
      <c r="U17" s="4">
        <f>'中国汇率&amp;期货（change）'!U17/'中国汇率&amp;期货（vol）'!U17</f>
      </c>
      <c r="V17" s="4">
        <f>'中国汇率&amp;期货（change）'!V17/'中国汇率&amp;期货（vol）'!V17</f>
      </c>
      <c r="W17" s="4">
        <f>'中国汇率&amp;期货（change）'!W17/'中国汇率&amp;期货（vol）'!W17</f>
      </c>
      <c r="X17" s="4">
        <f>'中国汇率&amp;期货（change）'!X17/'中国汇率&amp;期货（vol）'!X17</f>
      </c>
      <c r="Y17" s="4">
        <f>'中国汇率&amp;期货（change）'!Y17/'中国汇率&amp;期货（vol）'!Y17</f>
      </c>
      <c r="Z17" s="4">
        <f>'中国汇率&amp;期货（change）'!Z17/'中国汇率&amp;期货（vol）'!Z17</f>
      </c>
      <c r="AA17" s="4">
        <f>'中国汇率&amp;期货（change）'!AA17/'中国汇率&amp;期货（vol）'!AA17</f>
      </c>
      <c r="AB17" s="4">
        <f>'中国汇率&amp;期货（change）'!AB17/'中国汇率&amp;期货（vol）'!AB17</f>
      </c>
      <c r="AC17" s="4">
        <f>'中国汇率&amp;期货（change）'!AC17/'中国汇率&amp;期货（vol）'!AC17</f>
      </c>
      <c r="AD17" s="4">
        <f>'中国汇率&amp;期货（change）'!AD17/'中国汇率&amp;期货（vol）'!AD17</f>
      </c>
      <c r="AE17" s="4">
        <f>'中国汇率&amp;期货（change）'!AE17/'中国汇率&amp;期货（vol）'!AE17</f>
      </c>
      <c r="AF17" s="4">
        <f>'中国汇率&amp;期货（change）'!AF17/'中国汇率&amp;期货（vol）'!AF17</f>
      </c>
      <c r="AG17" s="4">
        <f>'中国汇率&amp;期货（change）'!AG17/'中国汇率&amp;期货（vol）'!AG17</f>
      </c>
      <c r="AH17" s="4">
        <f>'中国汇率&amp;期货（change）'!AH17/'中国汇率&amp;期货（vol）'!AH17</f>
      </c>
      <c r="AI17" s="4">
        <f>'中国汇率&amp;期货（change）'!AI17/'中国汇率&amp;期货（vol）'!AI17</f>
      </c>
      <c r="AJ17" s="4">
        <f>'中国汇率&amp;期货（change）'!AJ17/'中国汇率&amp;期货（vol）'!AJ17</f>
      </c>
      <c r="AK17" s="4">
        <f>'中国汇率&amp;期货（change）'!AK17/'中国汇率&amp;期货（vol）'!AK17</f>
      </c>
      <c r="AL17" s="4">
        <f>'中国汇率&amp;期货（change）'!AL17/'中国汇率&amp;期货（vol）'!AL17</f>
      </c>
      <c r="AM17" s="4">
        <f>'中国汇率&amp;期货（change）'!AM17/'中国汇率&amp;期货（vol）'!AM17</f>
      </c>
      <c r="AN17" s="4">
        <f>'中国汇率&amp;期货（change）'!AN17/'中国汇率&amp;期货（vol）'!AN17</f>
      </c>
      <c r="AO17" s="4">
        <f>'中国汇率&amp;期货（change）'!AO17/'中国汇率&amp;期货（vol）'!AO17</f>
      </c>
      <c r="AP17" s="4">
        <f>'中国汇率&amp;期货（change）'!AP17/'中国汇率&amp;期货（vol）'!AP17</f>
      </c>
      <c r="AQ17" s="4">
        <f>'中国汇率&amp;期货（change）'!AQ17/'中国汇率&amp;期货（vol）'!AQ17</f>
      </c>
      <c r="AR17" s="4">
        <f>'中国汇率&amp;期货（change）'!AR17/'中国汇率&amp;期货（vol）'!AR17</f>
      </c>
      <c r="AS17" s="4">
        <f>'中国汇率&amp;期货（change）'!AS17/'中国汇率&amp;期货（vol）'!AS17</f>
      </c>
      <c r="AT17" s="4">
        <f>'中国汇率&amp;期货（change）'!AT17/'中国汇率&amp;期货（vol）'!AT17</f>
      </c>
      <c r="AU17" s="4">
        <f>'中国汇率&amp;期货（change）'!AU17/'中国汇率&amp;期货（vol）'!AU17</f>
      </c>
      <c r="AV17" s="4">
        <f>'中国汇率&amp;期货（change）'!AV17/'中国汇率&amp;期货（vol）'!AV17</f>
      </c>
      <c r="AW17" s="4">
        <f>'中国汇率&amp;期货（change）'!AW17/'中国汇率&amp;期货（vol）'!AW17</f>
      </c>
      <c r="AX17" s="4">
        <f>'中国汇率&amp;期货（change）'!AX17/'中国汇率&amp;期货（vol）'!AX17</f>
      </c>
      <c r="AY17" s="4">
        <f>'中国汇率&amp;期货（change）'!AY17/'中国汇率&amp;期货（vol）'!AY17</f>
      </c>
      <c r="AZ17" s="4">
        <f>'中国汇率&amp;期货（change）'!AZ17/'中国汇率&amp;期货（vol）'!AZ17</f>
      </c>
      <c r="BA17" s="4">
        <f>'中国汇率&amp;期货（change）'!BA17/'中国汇率&amp;期货（vol）'!BA17</f>
      </c>
      <c r="BB17" s="4">
        <f>'中国汇率&amp;期货（change）'!BB17/'中国汇率&amp;期货（vol）'!BB17</f>
      </c>
      <c r="BC17" s="4">
        <f>'中国汇率&amp;期货（change）'!BC17/'中国汇率&amp;期货（vol）'!BC17</f>
      </c>
      <c r="BD17" s="4">
        <f>'中国汇率&amp;期货（change）'!BD17/'中国汇率&amp;期货（vol）'!BD17</f>
      </c>
      <c r="BE17" s="4">
        <f>'中国汇率&amp;期货（change）'!BE17/'中国汇率&amp;期货（vol）'!BE17</f>
      </c>
    </row>
    <row x14ac:dyDescent="0.25" r="18" customHeight="1" ht="18.75">
      <c r="A18" s="1"/>
      <c r="B18" s="4">
        <f>'中国汇率&amp;期货（change）'!B18/'中国汇率&amp;期货（vol）'!B18</f>
      </c>
      <c r="C18" s="4">
        <f>'中国汇率&amp;期货（change）'!C18/'中国汇率&amp;期货（vol）'!C18</f>
      </c>
      <c r="D18" s="4">
        <f>'中国汇率&amp;期货（change）'!D18/'中国汇率&amp;期货（vol）'!D18</f>
      </c>
      <c r="E18" s="4">
        <f>'中国汇率&amp;期货（change）'!E18/'中国汇率&amp;期货（vol）'!E18</f>
      </c>
      <c r="F18" s="4">
        <f>'中国汇率&amp;期货（change）'!F18/'中国汇率&amp;期货（vol）'!F18</f>
      </c>
      <c r="G18" s="4">
        <f>'中国汇率&amp;期货（change）'!G18/'中国汇率&amp;期货（vol）'!G18</f>
      </c>
      <c r="H18" s="4">
        <f>'中国汇率&amp;期货（change）'!H18/'中国汇率&amp;期货（vol）'!H18</f>
      </c>
      <c r="I18" s="4">
        <f>'中国汇率&amp;期货（change）'!I18/'中国汇率&amp;期货（vol）'!I18</f>
      </c>
      <c r="J18" s="4">
        <f>'中国汇率&amp;期货（change）'!J18/'中国汇率&amp;期货（vol）'!J18</f>
      </c>
      <c r="K18" s="4">
        <f>'中国汇率&amp;期货（change）'!K18/'中国汇率&amp;期货（vol）'!K18</f>
      </c>
      <c r="L18" s="4">
        <f>'中国汇率&amp;期货（change）'!L18/'中国汇率&amp;期货（vol）'!L18</f>
      </c>
      <c r="M18" s="4">
        <f>'中国汇率&amp;期货（change）'!M18/'中国汇率&amp;期货（vol）'!M18</f>
      </c>
      <c r="N18" s="4">
        <f>'中国汇率&amp;期货（change）'!N18/'中国汇率&amp;期货（vol）'!N18</f>
      </c>
      <c r="O18" s="4">
        <f>'中国汇率&amp;期货（change）'!O18/'中国汇率&amp;期货（vol）'!O18</f>
      </c>
      <c r="P18" s="4">
        <f>'中国汇率&amp;期货（change）'!P18/'中国汇率&amp;期货（vol）'!P18</f>
      </c>
      <c r="Q18" s="4">
        <f>'中国汇率&amp;期货（change）'!Q18/'中国汇率&amp;期货（vol）'!Q18</f>
      </c>
      <c r="R18" s="4">
        <f>'中国汇率&amp;期货（change）'!R18/'中国汇率&amp;期货（vol）'!R18</f>
      </c>
      <c r="S18" s="4">
        <f>'中国汇率&amp;期货（change）'!S18/'中国汇率&amp;期货（vol）'!S18</f>
      </c>
      <c r="T18" s="4">
        <f>'中国汇率&amp;期货（change）'!T18/'中国汇率&amp;期货（vol）'!T18</f>
      </c>
      <c r="U18" s="4">
        <f>'中国汇率&amp;期货（change）'!U18/'中国汇率&amp;期货（vol）'!U18</f>
      </c>
      <c r="V18" s="4">
        <f>'中国汇率&amp;期货（change）'!V18/'中国汇率&amp;期货（vol）'!V18</f>
      </c>
      <c r="W18" s="4">
        <f>'中国汇率&amp;期货（change）'!W18/'中国汇率&amp;期货（vol）'!W18</f>
      </c>
      <c r="X18" s="4">
        <f>'中国汇率&amp;期货（change）'!X18/'中国汇率&amp;期货（vol）'!X18</f>
      </c>
      <c r="Y18" s="4">
        <f>'中国汇率&amp;期货（change）'!Y18/'中国汇率&amp;期货（vol）'!Y18</f>
      </c>
      <c r="Z18" s="4">
        <f>'中国汇率&amp;期货（change）'!Z18/'中国汇率&amp;期货（vol）'!Z18</f>
      </c>
      <c r="AA18" s="4">
        <f>'中国汇率&amp;期货（change）'!AA18/'中国汇率&amp;期货（vol）'!AA18</f>
      </c>
      <c r="AB18" s="4">
        <f>'中国汇率&amp;期货（change）'!AB18/'中国汇率&amp;期货（vol）'!AB18</f>
      </c>
      <c r="AC18" s="4">
        <f>'中国汇率&amp;期货（change）'!AC18/'中国汇率&amp;期货（vol）'!AC18</f>
      </c>
      <c r="AD18" s="4">
        <f>'中国汇率&amp;期货（change）'!AD18/'中国汇率&amp;期货（vol）'!AD18</f>
      </c>
      <c r="AE18" s="4">
        <f>'中国汇率&amp;期货（change）'!AE18/'中国汇率&amp;期货（vol）'!AE18</f>
      </c>
      <c r="AF18" s="4">
        <f>'中国汇率&amp;期货（change）'!AF18/'中国汇率&amp;期货（vol）'!AF18</f>
      </c>
      <c r="AG18" s="4">
        <f>'中国汇率&amp;期货（change）'!AG18/'中国汇率&amp;期货（vol）'!AG18</f>
      </c>
      <c r="AH18" s="4">
        <f>'中国汇率&amp;期货（change）'!AH18/'中国汇率&amp;期货（vol）'!AH18</f>
      </c>
      <c r="AI18" s="4">
        <f>'中国汇率&amp;期货（change）'!AI18/'中国汇率&amp;期货（vol）'!AI18</f>
      </c>
      <c r="AJ18" s="4">
        <f>'中国汇率&amp;期货（change）'!AJ18/'中国汇率&amp;期货（vol）'!AJ18</f>
      </c>
      <c r="AK18" s="4">
        <f>'中国汇率&amp;期货（change）'!AK18/'中国汇率&amp;期货（vol）'!AK18</f>
      </c>
      <c r="AL18" s="4">
        <f>'中国汇率&amp;期货（change）'!AL18/'中国汇率&amp;期货（vol）'!AL18</f>
      </c>
      <c r="AM18" s="4">
        <f>'中国汇率&amp;期货（change）'!AM18/'中国汇率&amp;期货（vol）'!AM18</f>
      </c>
      <c r="AN18" s="4">
        <f>'中国汇率&amp;期货（change）'!AN18/'中国汇率&amp;期货（vol）'!AN18</f>
      </c>
      <c r="AO18" s="4">
        <f>'中国汇率&amp;期货（change）'!AO18/'中国汇率&amp;期货（vol）'!AO18</f>
      </c>
      <c r="AP18" s="4">
        <f>'中国汇率&amp;期货（change）'!AP18/'中国汇率&amp;期货（vol）'!AP18</f>
      </c>
      <c r="AQ18" s="4">
        <f>'中国汇率&amp;期货（change）'!AQ18/'中国汇率&amp;期货（vol）'!AQ18</f>
      </c>
      <c r="AR18" s="4">
        <f>'中国汇率&amp;期货（change）'!AR18/'中国汇率&amp;期货（vol）'!AR18</f>
      </c>
      <c r="AS18" s="4">
        <f>'中国汇率&amp;期货（change）'!AS18/'中国汇率&amp;期货（vol）'!AS18</f>
      </c>
      <c r="AT18" s="4">
        <f>'中国汇率&amp;期货（change）'!AT18/'中国汇率&amp;期货（vol）'!AT18</f>
      </c>
      <c r="AU18" s="4">
        <f>'中国汇率&amp;期货（change）'!AU18/'中国汇率&amp;期货（vol）'!AU18</f>
      </c>
      <c r="AV18" s="4">
        <f>'中国汇率&amp;期货（change）'!AV18/'中国汇率&amp;期货（vol）'!AV18</f>
      </c>
      <c r="AW18" s="4">
        <f>'中国汇率&amp;期货（change）'!AW18/'中国汇率&amp;期货（vol）'!AW18</f>
      </c>
      <c r="AX18" s="4">
        <f>'中国汇率&amp;期货（change）'!AX18/'中国汇率&amp;期货（vol）'!AX18</f>
      </c>
      <c r="AY18" s="4">
        <f>'中国汇率&amp;期货（change）'!AY18/'中国汇率&amp;期货（vol）'!AY18</f>
      </c>
      <c r="AZ18" s="4">
        <f>'中国汇率&amp;期货（change）'!AZ18/'中国汇率&amp;期货（vol）'!AZ18</f>
      </c>
      <c r="BA18" s="4">
        <f>'中国汇率&amp;期货（change）'!BA18/'中国汇率&amp;期货（vol）'!BA18</f>
      </c>
      <c r="BB18" s="4">
        <f>'中国汇率&amp;期货（change）'!BB18/'中国汇率&amp;期货（vol）'!BB18</f>
      </c>
      <c r="BC18" s="4">
        <f>'中国汇率&amp;期货（change）'!BC18/'中国汇率&amp;期货（vol）'!BC18</f>
      </c>
      <c r="BD18" s="4">
        <f>'中国汇率&amp;期货（change）'!BD18/'中国汇率&amp;期货（vol）'!BD18</f>
      </c>
      <c r="BE18" s="4">
        <f>'中国汇率&amp;期货（change）'!BE18/'中国汇率&amp;期货（vol）'!BE18</f>
      </c>
    </row>
    <row x14ac:dyDescent="0.25" r="19" customHeight="1" ht="18.75">
      <c r="A19" s="1"/>
      <c r="B19" s="4">
        <f>'中国汇率&amp;期货（change）'!B19/'中国汇率&amp;期货（vol）'!B19</f>
      </c>
      <c r="C19" s="4">
        <f>'中国汇率&amp;期货（change）'!C19/'中国汇率&amp;期货（vol）'!C19</f>
      </c>
      <c r="D19" s="4">
        <f>'中国汇率&amp;期货（change）'!D19/'中国汇率&amp;期货（vol）'!D19</f>
      </c>
      <c r="E19" s="4">
        <f>'中国汇率&amp;期货（change）'!E19/'中国汇率&amp;期货（vol）'!E19</f>
      </c>
      <c r="F19" s="4">
        <f>'中国汇率&amp;期货（change）'!F19/'中国汇率&amp;期货（vol）'!F19</f>
      </c>
      <c r="G19" s="4">
        <f>'中国汇率&amp;期货（change）'!G19/'中国汇率&amp;期货（vol）'!G19</f>
      </c>
      <c r="H19" s="4">
        <f>'中国汇率&amp;期货（change）'!H19/'中国汇率&amp;期货（vol）'!H19</f>
      </c>
      <c r="I19" s="4">
        <f>'中国汇率&amp;期货（change）'!I19/'中国汇率&amp;期货（vol）'!I19</f>
      </c>
      <c r="J19" s="4">
        <f>'中国汇率&amp;期货（change）'!J19/'中国汇率&amp;期货（vol）'!J19</f>
      </c>
      <c r="K19" s="4">
        <f>'中国汇率&amp;期货（change）'!K19/'中国汇率&amp;期货（vol）'!K19</f>
      </c>
      <c r="L19" s="4">
        <f>'中国汇率&amp;期货（change）'!L19/'中国汇率&amp;期货（vol）'!L19</f>
      </c>
      <c r="M19" s="4">
        <f>'中国汇率&amp;期货（change）'!M19/'中国汇率&amp;期货（vol）'!M19</f>
      </c>
      <c r="N19" s="4">
        <f>'中国汇率&amp;期货（change）'!N19/'中国汇率&amp;期货（vol）'!N19</f>
      </c>
      <c r="O19" s="4">
        <f>'中国汇率&amp;期货（change）'!O19/'中国汇率&amp;期货（vol）'!O19</f>
      </c>
      <c r="P19" s="4">
        <f>'中国汇率&amp;期货（change）'!P19/'中国汇率&amp;期货（vol）'!P19</f>
      </c>
      <c r="Q19" s="4">
        <f>'中国汇率&amp;期货（change）'!Q19/'中国汇率&amp;期货（vol）'!Q19</f>
      </c>
      <c r="R19" s="4">
        <f>'中国汇率&amp;期货（change）'!R19/'中国汇率&amp;期货（vol）'!R19</f>
      </c>
      <c r="S19" s="4">
        <f>'中国汇率&amp;期货（change）'!S19/'中国汇率&amp;期货（vol）'!S19</f>
      </c>
      <c r="T19" s="4">
        <f>'中国汇率&amp;期货（change）'!T19/'中国汇率&amp;期货（vol）'!T19</f>
      </c>
      <c r="U19" s="4">
        <f>'中国汇率&amp;期货（change）'!U19/'中国汇率&amp;期货（vol）'!U19</f>
      </c>
      <c r="V19" s="4">
        <f>'中国汇率&amp;期货（change）'!V19/'中国汇率&amp;期货（vol）'!V19</f>
      </c>
      <c r="W19" s="4">
        <f>'中国汇率&amp;期货（change）'!W19/'中国汇率&amp;期货（vol）'!W19</f>
      </c>
      <c r="X19" s="4">
        <f>'中国汇率&amp;期货（change）'!X19/'中国汇率&amp;期货（vol）'!X19</f>
      </c>
      <c r="Y19" s="4">
        <f>'中国汇率&amp;期货（change）'!Y19/'中国汇率&amp;期货（vol）'!Y19</f>
      </c>
      <c r="Z19" s="4">
        <f>'中国汇率&amp;期货（change）'!Z19/'中国汇率&amp;期货（vol）'!Z19</f>
      </c>
      <c r="AA19" s="4">
        <f>'中国汇率&amp;期货（change）'!AA19/'中国汇率&amp;期货（vol）'!AA19</f>
      </c>
      <c r="AB19" s="4">
        <f>'中国汇率&amp;期货（change）'!AB19/'中国汇率&amp;期货（vol）'!AB19</f>
      </c>
      <c r="AC19" s="4">
        <f>'中国汇率&amp;期货（change）'!AC19/'中国汇率&amp;期货（vol）'!AC19</f>
      </c>
      <c r="AD19" s="4">
        <f>'中国汇率&amp;期货（change）'!AD19/'中国汇率&amp;期货（vol）'!AD19</f>
      </c>
      <c r="AE19" s="4">
        <f>'中国汇率&amp;期货（change）'!AE19/'中国汇率&amp;期货（vol）'!AE19</f>
      </c>
      <c r="AF19" s="4">
        <f>'中国汇率&amp;期货（change）'!AF19/'中国汇率&amp;期货（vol）'!AF19</f>
      </c>
      <c r="AG19" s="4">
        <f>'中国汇率&amp;期货（change）'!AG19/'中国汇率&amp;期货（vol）'!AG19</f>
      </c>
      <c r="AH19" s="4">
        <f>'中国汇率&amp;期货（change）'!AH19/'中国汇率&amp;期货（vol）'!AH19</f>
      </c>
      <c r="AI19" s="4">
        <f>'中国汇率&amp;期货（change）'!AI19/'中国汇率&amp;期货（vol）'!AI19</f>
      </c>
      <c r="AJ19" s="4">
        <f>'中国汇率&amp;期货（change）'!AJ19/'中国汇率&amp;期货（vol）'!AJ19</f>
      </c>
      <c r="AK19" s="4">
        <f>'中国汇率&amp;期货（change）'!AK19/'中国汇率&amp;期货（vol）'!AK19</f>
      </c>
      <c r="AL19" s="4">
        <f>'中国汇率&amp;期货（change）'!AL19/'中国汇率&amp;期货（vol）'!AL19</f>
      </c>
      <c r="AM19" s="4">
        <f>'中国汇率&amp;期货（change）'!AM19/'中国汇率&amp;期货（vol）'!AM19</f>
      </c>
      <c r="AN19" s="4">
        <f>'中国汇率&amp;期货（change）'!AN19/'中国汇率&amp;期货（vol）'!AN19</f>
      </c>
      <c r="AO19" s="4">
        <f>'中国汇率&amp;期货（change）'!AO19/'中国汇率&amp;期货（vol）'!AO19</f>
      </c>
      <c r="AP19" s="4">
        <f>'中国汇率&amp;期货（change）'!AP19/'中国汇率&amp;期货（vol）'!AP19</f>
      </c>
      <c r="AQ19" s="4">
        <f>'中国汇率&amp;期货（change）'!AQ19/'中国汇率&amp;期货（vol）'!AQ19</f>
      </c>
      <c r="AR19" s="4">
        <f>'中国汇率&amp;期货（change）'!AR19/'中国汇率&amp;期货（vol）'!AR19</f>
      </c>
      <c r="AS19" s="4">
        <f>'中国汇率&amp;期货（change）'!AS19/'中国汇率&amp;期货（vol）'!AS19</f>
      </c>
      <c r="AT19" s="4">
        <f>'中国汇率&amp;期货（change）'!AT19/'中国汇率&amp;期货（vol）'!AT19</f>
      </c>
      <c r="AU19" s="4">
        <f>'中国汇率&amp;期货（change）'!AU19/'中国汇率&amp;期货（vol）'!AU19</f>
      </c>
      <c r="AV19" s="4">
        <f>'中国汇率&amp;期货（change）'!AV19/'中国汇率&amp;期货（vol）'!AV19</f>
      </c>
      <c r="AW19" s="4">
        <f>'中国汇率&amp;期货（change）'!AW19/'中国汇率&amp;期货（vol）'!AW19</f>
      </c>
      <c r="AX19" s="4">
        <f>'中国汇率&amp;期货（change）'!AX19/'中国汇率&amp;期货（vol）'!AX19</f>
      </c>
      <c r="AY19" s="4">
        <f>'中国汇率&amp;期货（change）'!AY19/'中国汇率&amp;期货（vol）'!AY19</f>
      </c>
      <c r="AZ19" s="4">
        <f>'中国汇率&amp;期货（change）'!AZ19/'中国汇率&amp;期货（vol）'!AZ19</f>
      </c>
      <c r="BA19" s="4">
        <f>'中国汇率&amp;期货（change）'!BA19/'中国汇率&amp;期货（vol）'!BA19</f>
      </c>
      <c r="BB19" s="4">
        <f>'中国汇率&amp;期货（change）'!BB19/'中国汇率&amp;期货（vol）'!BB19</f>
      </c>
      <c r="BC19" s="4">
        <f>'中国汇率&amp;期货（change）'!BC19/'中国汇率&amp;期货（vol）'!BC19</f>
      </c>
      <c r="BD19" s="4">
        <f>'中国汇率&amp;期货（change）'!BD19/'中国汇率&amp;期货（vol）'!BD19</f>
      </c>
      <c r="BE19" s="4">
        <f>'中国汇率&amp;期货（change）'!BE19/'中国汇率&amp;期货（vol）'!BE19</f>
      </c>
    </row>
    <row x14ac:dyDescent="0.25" r="20" customHeight="1" ht="18.75">
      <c r="A20" s="1"/>
      <c r="B20" s="4">
        <f>'中国汇率&amp;期货（change）'!B20/'中国汇率&amp;期货（vol）'!B20</f>
      </c>
      <c r="C20" s="4">
        <f>'中国汇率&amp;期货（change）'!C20/'中国汇率&amp;期货（vol）'!C20</f>
      </c>
      <c r="D20" s="4">
        <f>'中国汇率&amp;期货（change）'!D20/'中国汇率&amp;期货（vol）'!D20</f>
      </c>
      <c r="E20" s="4">
        <f>'中国汇率&amp;期货（change）'!E20/'中国汇率&amp;期货（vol）'!E20</f>
      </c>
      <c r="F20" s="4">
        <f>'中国汇率&amp;期货（change）'!F20/'中国汇率&amp;期货（vol）'!F20</f>
      </c>
      <c r="G20" s="4">
        <f>'中国汇率&amp;期货（change）'!G20/'中国汇率&amp;期货（vol）'!G20</f>
      </c>
      <c r="H20" s="4">
        <f>'中国汇率&amp;期货（change）'!H20/'中国汇率&amp;期货（vol）'!H20</f>
      </c>
      <c r="I20" s="4">
        <f>'中国汇率&amp;期货（change）'!I20/'中国汇率&amp;期货（vol）'!I20</f>
      </c>
      <c r="J20" s="4">
        <f>'中国汇率&amp;期货（change）'!J20/'中国汇率&amp;期货（vol）'!J20</f>
      </c>
      <c r="K20" s="4">
        <f>'中国汇率&amp;期货（change）'!K20/'中国汇率&amp;期货（vol）'!K20</f>
      </c>
      <c r="L20" s="4">
        <f>'中国汇率&amp;期货（change）'!L20/'中国汇率&amp;期货（vol）'!L20</f>
      </c>
      <c r="M20" s="4">
        <f>'中国汇率&amp;期货（change）'!M20/'中国汇率&amp;期货（vol）'!M20</f>
      </c>
      <c r="N20" s="4">
        <f>'中国汇率&amp;期货（change）'!N20/'中国汇率&amp;期货（vol）'!N20</f>
      </c>
      <c r="O20" s="4">
        <f>'中国汇率&amp;期货（change）'!O20/'中国汇率&amp;期货（vol）'!O20</f>
      </c>
      <c r="P20" s="4">
        <f>'中国汇率&amp;期货（change）'!P20/'中国汇率&amp;期货（vol）'!P20</f>
      </c>
      <c r="Q20" s="4">
        <f>'中国汇率&amp;期货（change）'!Q20/'中国汇率&amp;期货（vol）'!Q20</f>
      </c>
      <c r="R20" s="4">
        <f>'中国汇率&amp;期货（change）'!R20/'中国汇率&amp;期货（vol）'!R20</f>
      </c>
      <c r="S20" s="4">
        <f>'中国汇率&amp;期货（change）'!S20/'中国汇率&amp;期货（vol）'!S20</f>
      </c>
      <c r="T20" s="4">
        <f>'中国汇率&amp;期货（change）'!T20/'中国汇率&amp;期货（vol）'!T20</f>
      </c>
      <c r="U20" s="4">
        <f>'中国汇率&amp;期货（change）'!U20/'中国汇率&amp;期货（vol）'!U20</f>
      </c>
      <c r="V20" s="4">
        <f>'中国汇率&amp;期货（change）'!V20/'中国汇率&amp;期货（vol）'!V20</f>
      </c>
      <c r="W20" s="4">
        <f>'中国汇率&amp;期货（change）'!W20/'中国汇率&amp;期货（vol）'!W20</f>
      </c>
      <c r="X20" s="4">
        <f>'中国汇率&amp;期货（change）'!X20/'中国汇率&amp;期货（vol）'!X20</f>
      </c>
      <c r="Y20" s="4">
        <f>'中国汇率&amp;期货（change）'!Y20/'中国汇率&amp;期货（vol）'!Y20</f>
      </c>
      <c r="Z20" s="4">
        <f>'中国汇率&amp;期货（change）'!Z20/'中国汇率&amp;期货（vol）'!Z20</f>
      </c>
      <c r="AA20" s="4">
        <f>'中国汇率&amp;期货（change）'!AA20/'中国汇率&amp;期货（vol）'!AA20</f>
      </c>
      <c r="AB20" s="4">
        <f>'中国汇率&amp;期货（change）'!AB20/'中国汇率&amp;期货（vol）'!AB20</f>
      </c>
      <c r="AC20" s="4">
        <f>'中国汇率&amp;期货（change）'!AC20/'中国汇率&amp;期货（vol）'!AC20</f>
      </c>
      <c r="AD20" s="4">
        <f>'中国汇率&amp;期货（change）'!AD20/'中国汇率&amp;期货（vol）'!AD20</f>
      </c>
      <c r="AE20" s="4">
        <f>'中国汇率&amp;期货（change）'!AE20/'中国汇率&amp;期货（vol）'!AE20</f>
      </c>
      <c r="AF20" s="4">
        <f>'中国汇率&amp;期货（change）'!AF20/'中国汇率&amp;期货（vol）'!AF20</f>
      </c>
      <c r="AG20" s="4">
        <f>'中国汇率&amp;期货（change）'!AG20/'中国汇率&amp;期货（vol）'!AG20</f>
      </c>
      <c r="AH20" s="4">
        <f>'中国汇率&amp;期货（change）'!AH20/'中国汇率&amp;期货（vol）'!AH20</f>
      </c>
      <c r="AI20" s="4">
        <f>'中国汇率&amp;期货（change）'!AI20/'中国汇率&amp;期货（vol）'!AI20</f>
      </c>
      <c r="AJ20" s="4">
        <f>'中国汇率&amp;期货（change）'!AJ20/'中国汇率&amp;期货（vol）'!AJ20</f>
      </c>
      <c r="AK20" s="4">
        <f>'中国汇率&amp;期货（change）'!AK20/'中国汇率&amp;期货（vol）'!AK20</f>
      </c>
      <c r="AL20" s="4">
        <f>'中国汇率&amp;期货（change）'!AL20/'中国汇率&amp;期货（vol）'!AL20</f>
      </c>
      <c r="AM20" s="4">
        <f>'中国汇率&amp;期货（change）'!AM20/'中国汇率&amp;期货（vol）'!AM20</f>
      </c>
      <c r="AN20" s="4">
        <f>'中国汇率&amp;期货（change）'!AN20/'中国汇率&amp;期货（vol）'!AN20</f>
      </c>
      <c r="AO20" s="4">
        <f>'中国汇率&amp;期货（change）'!AO20/'中国汇率&amp;期货（vol）'!AO20</f>
      </c>
      <c r="AP20" s="4">
        <f>'中国汇率&amp;期货（change）'!AP20/'中国汇率&amp;期货（vol）'!AP20</f>
      </c>
      <c r="AQ20" s="4">
        <f>'中国汇率&amp;期货（change）'!AQ20/'中国汇率&amp;期货（vol）'!AQ20</f>
      </c>
      <c r="AR20" s="4">
        <f>'中国汇率&amp;期货（change）'!AR20/'中国汇率&amp;期货（vol）'!AR20</f>
      </c>
      <c r="AS20" s="4">
        <f>'中国汇率&amp;期货（change）'!AS20/'中国汇率&amp;期货（vol）'!AS20</f>
      </c>
      <c r="AT20" s="4">
        <f>'中国汇率&amp;期货（change）'!AT20/'中国汇率&amp;期货（vol）'!AT20</f>
      </c>
      <c r="AU20" s="4">
        <f>'中国汇率&amp;期货（change）'!AU20/'中国汇率&amp;期货（vol）'!AU20</f>
      </c>
      <c r="AV20" s="4">
        <f>'中国汇率&amp;期货（change）'!AV20/'中国汇率&amp;期货（vol）'!AV20</f>
      </c>
      <c r="AW20" s="4">
        <f>'中国汇率&amp;期货（change）'!AW20/'中国汇率&amp;期货（vol）'!AW20</f>
      </c>
      <c r="AX20" s="4">
        <f>'中国汇率&amp;期货（change）'!AX20/'中国汇率&amp;期货（vol）'!AX20</f>
      </c>
      <c r="AY20" s="4">
        <f>'中国汇率&amp;期货（change）'!AY20/'中国汇率&amp;期货（vol）'!AY20</f>
      </c>
      <c r="AZ20" s="4">
        <f>'中国汇率&amp;期货（change）'!AZ20/'中国汇率&amp;期货（vol）'!AZ20</f>
      </c>
      <c r="BA20" s="4">
        <f>'中国汇率&amp;期货（change）'!BA20/'中国汇率&amp;期货（vol）'!BA20</f>
      </c>
      <c r="BB20" s="4">
        <f>'中国汇率&amp;期货（change）'!BB20/'中国汇率&amp;期货（vol）'!BB20</f>
      </c>
      <c r="BC20" s="4">
        <f>'中国汇率&amp;期货（change）'!BC20/'中国汇率&amp;期货（vol）'!BC20</f>
      </c>
      <c r="BD20" s="4">
        <f>'中国汇率&amp;期货（change）'!BD20/'中国汇率&amp;期货（vol）'!BD20</f>
      </c>
      <c r="BE20" s="4">
        <f>'中国汇率&amp;期货（change）'!BE20/'中国汇率&amp;期货（vol）'!BE20</f>
      </c>
    </row>
    <row x14ac:dyDescent="0.25" r="21" customHeight="1" ht="18.75">
      <c r="A21" s="1"/>
      <c r="B21" s="4">
        <f>'中国汇率&amp;期货（change）'!B21/'中国汇率&amp;期货（vol）'!B21</f>
      </c>
      <c r="C21" s="4">
        <f>'中国汇率&amp;期货（change）'!C21/'中国汇率&amp;期货（vol）'!C21</f>
      </c>
      <c r="D21" s="4">
        <f>'中国汇率&amp;期货（change）'!D21/'中国汇率&amp;期货（vol）'!D21</f>
      </c>
      <c r="E21" s="4">
        <f>'中国汇率&amp;期货（change）'!E21/'中国汇率&amp;期货（vol）'!E21</f>
      </c>
      <c r="F21" s="4">
        <f>'中国汇率&amp;期货（change）'!F21/'中国汇率&amp;期货（vol）'!F21</f>
      </c>
      <c r="G21" s="4">
        <f>'中国汇率&amp;期货（change）'!G21/'中国汇率&amp;期货（vol）'!G21</f>
      </c>
      <c r="H21" s="4">
        <f>'中国汇率&amp;期货（change）'!H21/'中国汇率&amp;期货（vol）'!H21</f>
      </c>
      <c r="I21" s="4">
        <f>'中国汇率&amp;期货（change）'!I21/'中国汇率&amp;期货（vol）'!I21</f>
      </c>
      <c r="J21" s="4">
        <f>'中国汇率&amp;期货（change）'!J21/'中国汇率&amp;期货（vol）'!J21</f>
      </c>
      <c r="K21" s="4">
        <f>'中国汇率&amp;期货（change）'!K21/'中国汇率&amp;期货（vol）'!K21</f>
      </c>
      <c r="L21" s="4">
        <f>'中国汇率&amp;期货（change）'!L21/'中国汇率&amp;期货（vol）'!L21</f>
      </c>
      <c r="M21" s="4">
        <f>'中国汇率&amp;期货（change）'!M21/'中国汇率&amp;期货（vol）'!M21</f>
      </c>
      <c r="N21" s="4">
        <f>'中国汇率&amp;期货（change）'!N21/'中国汇率&amp;期货（vol）'!N21</f>
      </c>
      <c r="O21" s="4">
        <f>'中国汇率&amp;期货（change）'!O21/'中国汇率&amp;期货（vol）'!O21</f>
      </c>
      <c r="P21" s="4">
        <f>'中国汇率&amp;期货（change）'!P21/'中国汇率&amp;期货（vol）'!P21</f>
      </c>
      <c r="Q21" s="4">
        <f>'中国汇率&amp;期货（change）'!Q21/'中国汇率&amp;期货（vol）'!Q21</f>
      </c>
      <c r="R21" s="4">
        <f>'中国汇率&amp;期货（change）'!R21/'中国汇率&amp;期货（vol）'!R21</f>
      </c>
      <c r="S21" s="4">
        <f>'中国汇率&amp;期货（change）'!S21/'中国汇率&amp;期货（vol）'!S21</f>
      </c>
      <c r="T21" s="4">
        <f>'中国汇率&amp;期货（change）'!T21/'中国汇率&amp;期货（vol）'!T21</f>
      </c>
      <c r="U21" s="4">
        <f>'中国汇率&amp;期货（change）'!U21/'中国汇率&amp;期货（vol）'!U21</f>
      </c>
      <c r="V21" s="4">
        <f>'中国汇率&amp;期货（change）'!V21/'中国汇率&amp;期货（vol）'!V21</f>
      </c>
      <c r="W21" s="4">
        <f>'中国汇率&amp;期货（change）'!W21/'中国汇率&amp;期货（vol）'!W21</f>
      </c>
      <c r="X21" s="4">
        <f>'中国汇率&amp;期货（change）'!X21/'中国汇率&amp;期货（vol）'!X21</f>
      </c>
      <c r="Y21" s="4">
        <f>'中国汇率&amp;期货（change）'!Y21/'中国汇率&amp;期货（vol）'!Y21</f>
      </c>
      <c r="Z21" s="4">
        <f>'中国汇率&amp;期货（change）'!Z21/'中国汇率&amp;期货（vol）'!Z21</f>
      </c>
      <c r="AA21" s="4">
        <f>'中国汇率&amp;期货（change）'!AA21/'中国汇率&amp;期货（vol）'!AA21</f>
      </c>
      <c r="AB21" s="4">
        <f>'中国汇率&amp;期货（change）'!AB21/'中国汇率&amp;期货（vol）'!AB21</f>
      </c>
      <c r="AC21" s="4">
        <f>'中国汇率&amp;期货（change）'!AC21/'中国汇率&amp;期货（vol）'!AC21</f>
      </c>
      <c r="AD21" s="4">
        <f>'中国汇率&amp;期货（change）'!AD21/'中国汇率&amp;期货（vol）'!AD21</f>
      </c>
      <c r="AE21" s="4">
        <f>'中国汇率&amp;期货（change）'!AE21/'中国汇率&amp;期货（vol）'!AE21</f>
      </c>
      <c r="AF21" s="4">
        <f>'中国汇率&amp;期货（change）'!AF21/'中国汇率&amp;期货（vol）'!AF21</f>
      </c>
      <c r="AG21" s="4">
        <f>'中国汇率&amp;期货（change）'!AG21/'中国汇率&amp;期货（vol）'!AG21</f>
      </c>
      <c r="AH21" s="4">
        <f>'中国汇率&amp;期货（change）'!AH21/'中国汇率&amp;期货（vol）'!AH21</f>
      </c>
      <c r="AI21" s="4">
        <f>'中国汇率&amp;期货（change）'!AI21/'中国汇率&amp;期货（vol）'!AI21</f>
      </c>
      <c r="AJ21" s="4">
        <f>'中国汇率&amp;期货（change）'!AJ21/'中国汇率&amp;期货（vol）'!AJ21</f>
      </c>
      <c r="AK21" s="4">
        <f>'中国汇率&amp;期货（change）'!AK21/'中国汇率&amp;期货（vol）'!AK21</f>
      </c>
      <c r="AL21" s="4">
        <f>'中国汇率&amp;期货（change）'!AL21/'中国汇率&amp;期货（vol）'!AL21</f>
      </c>
      <c r="AM21" s="4">
        <f>'中国汇率&amp;期货（change）'!AM21/'中国汇率&amp;期货（vol）'!AM21</f>
      </c>
      <c r="AN21" s="4">
        <f>'中国汇率&amp;期货（change）'!AN21/'中国汇率&amp;期货（vol）'!AN21</f>
      </c>
      <c r="AO21" s="4">
        <f>'中国汇率&amp;期货（change）'!AO21/'中国汇率&amp;期货（vol）'!AO21</f>
      </c>
      <c r="AP21" s="4">
        <f>'中国汇率&amp;期货（change）'!AP21/'中国汇率&amp;期货（vol）'!AP21</f>
      </c>
      <c r="AQ21" s="4">
        <f>'中国汇率&amp;期货（change）'!AQ21/'中国汇率&amp;期货（vol）'!AQ21</f>
      </c>
      <c r="AR21" s="4">
        <f>'中国汇率&amp;期货（change）'!AR21/'中国汇率&amp;期货（vol）'!AR21</f>
      </c>
      <c r="AS21" s="4">
        <f>'中国汇率&amp;期货（change）'!AS21/'中国汇率&amp;期货（vol）'!AS21</f>
      </c>
      <c r="AT21" s="4">
        <f>'中国汇率&amp;期货（change）'!AT21/'中国汇率&amp;期货（vol）'!AT21</f>
      </c>
      <c r="AU21" s="4">
        <f>'中国汇率&amp;期货（change）'!AU21/'中国汇率&amp;期货（vol）'!AU21</f>
      </c>
      <c r="AV21" s="4">
        <f>'中国汇率&amp;期货（change）'!AV21/'中国汇率&amp;期货（vol）'!AV21</f>
      </c>
      <c r="AW21" s="4">
        <f>'中国汇率&amp;期货（change）'!AW21/'中国汇率&amp;期货（vol）'!AW21</f>
      </c>
      <c r="AX21" s="4">
        <f>'中国汇率&amp;期货（change）'!AX21/'中国汇率&amp;期货（vol）'!AX21</f>
      </c>
      <c r="AY21" s="4">
        <f>'中国汇率&amp;期货（change）'!AY21/'中国汇率&amp;期货（vol）'!AY21</f>
      </c>
      <c r="AZ21" s="4">
        <f>'中国汇率&amp;期货（change）'!AZ21/'中国汇率&amp;期货（vol）'!AZ21</f>
      </c>
      <c r="BA21" s="4">
        <f>'中国汇率&amp;期货（change）'!BA21/'中国汇率&amp;期货（vol）'!BA21</f>
      </c>
      <c r="BB21" s="4">
        <f>'中国汇率&amp;期货（change）'!BB21/'中国汇率&amp;期货（vol）'!BB21</f>
      </c>
      <c r="BC21" s="4">
        <f>'中国汇率&amp;期货（change）'!BC21/'中国汇率&amp;期货（vol）'!BC21</f>
      </c>
      <c r="BD21" s="4">
        <f>'中国汇率&amp;期货（change）'!BD21/'中国汇率&amp;期货（vol）'!BD21</f>
      </c>
      <c r="BE21" s="4">
        <f>'中国汇率&amp;期货（change）'!BE21/'中国汇率&amp;期货（vol）'!BE21</f>
      </c>
    </row>
    <row x14ac:dyDescent="0.25" r="22" customHeight="1" ht="18.75">
      <c r="A22" s="1"/>
      <c r="B22" s="4">
        <f>'中国汇率&amp;期货（change）'!B22/'中国汇率&amp;期货（vol）'!B22</f>
      </c>
      <c r="C22" s="4">
        <f>'中国汇率&amp;期货（change）'!C22/'中国汇率&amp;期货（vol）'!C22</f>
      </c>
      <c r="D22" s="4">
        <f>'中国汇率&amp;期货（change）'!D22/'中国汇率&amp;期货（vol）'!D22</f>
      </c>
      <c r="E22" s="4">
        <f>'中国汇率&amp;期货（change）'!E22/'中国汇率&amp;期货（vol）'!E22</f>
      </c>
      <c r="F22" s="4">
        <f>'中国汇率&amp;期货（change）'!F22/'中国汇率&amp;期货（vol）'!F22</f>
      </c>
      <c r="G22" s="4">
        <f>'中国汇率&amp;期货（change）'!G22/'中国汇率&amp;期货（vol）'!G22</f>
      </c>
      <c r="H22" s="4">
        <f>'中国汇率&amp;期货（change）'!H22/'中国汇率&amp;期货（vol）'!H22</f>
      </c>
      <c r="I22" s="4">
        <f>'中国汇率&amp;期货（change）'!I22/'中国汇率&amp;期货（vol）'!I22</f>
      </c>
      <c r="J22" s="4">
        <f>'中国汇率&amp;期货（change）'!J22/'中国汇率&amp;期货（vol）'!J22</f>
      </c>
      <c r="K22" s="4">
        <f>'中国汇率&amp;期货（change）'!K22/'中国汇率&amp;期货（vol）'!K22</f>
      </c>
      <c r="L22" s="4">
        <f>'中国汇率&amp;期货（change）'!L22/'中国汇率&amp;期货（vol）'!L22</f>
      </c>
      <c r="M22" s="4">
        <f>'中国汇率&amp;期货（change）'!M22/'中国汇率&amp;期货（vol）'!M22</f>
      </c>
      <c r="N22" s="4">
        <f>'中国汇率&amp;期货（change）'!N22/'中国汇率&amp;期货（vol）'!N22</f>
      </c>
      <c r="O22" s="4">
        <f>'中国汇率&amp;期货（change）'!O22/'中国汇率&amp;期货（vol）'!O22</f>
      </c>
      <c r="P22" s="4">
        <f>'中国汇率&amp;期货（change）'!P22/'中国汇率&amp;期货（vol）'!P22</f>
      </c>
      <c r="Q22" s="4">
        <f>'中国汇率&amp;期货（change）'!Q22/'中国汇率&amp;期货（vol）'!Q22</f>
      </c>
      <c r="R22" s="4">
        <f>'中国汇率&amp;期货（change）'!R22/'中国汇率&amp;期货（vol）'!R22</f>
      </c>
      <c r="S22" s="4">
        <f>'中国汇率&amp;期货（change）'!S22/'中国汇率&amp;期货（vol）'!S22</f>
      </c>
      <c r="T22" s="4">
        <f>'中国汇率&amp;期货（change）'!T22/'中国汇率&amp;期货（vol）'!T22</f>
      </c>
      <c r="U22" s="4">
        <f>'中国汇率&amp;期货（change）'!U22/'中国汇率&amp;期货（vol）'!U22</f>
      </c>
      <c r="V22" s="4">
        <f>'中国汇率&amp;期货（change）'!V22/'中国汇率&amp;期货（vol）'!V22</f>
      </c>
      <c r="W22" s="4">
        <f>'中国汇率&amp;期货（change）'!W22/'中国汇率&amp;期货（vol）'!W22</f>
      </c>
      <c r="X22" s="4">
        <f>'中国汇率&amp;期货（change）'!X22/'中国汇率&amp;期货（vol）'!X22</f>
      </c>
      <c r="Y22" s="4">
        <f>'中国汇率&amp;期货（change）'!Y22/'中国汇率&amp;期货（vol）'!Y22</f>
      </c>
      <c r="Z22" s="4">
        <f>'中国汇率&amp;期货（change）'!Z22/'中国汇率&amp;期货（vol）'!Z22</f>
      </c>
      <c r="AA22" s="4">
        <f>'中国汇率&amp;期货（change）'!AA22/'中国汇率&amp;期货（vol）'!AA22</f>
      </c>
      <c r="AB22" s="4">
        <f>'中国汇率&amp;期货（change）'!AB22/'中国汇率&amp;期货（vol）'!AB22</f>
      </c>
      <c r="AC22" s="4">
        <f>'中国汇率&amp;期货（change）'!AC22/'中国汇率&amp;期货（vol）'!AC22</f>
      </c>
      <c r="AD22" s="4">
        <f>'中国汇率&amp;期货（change）'!AD22/'中国汇率&amp;期货（vol）'!AD22</f>
      </c>
      <c r="AE22" s="4">
        <f>'中国汇率&amp;期货（change）'!AE22/'中国汇率&amp;期货（vol）'!AE22</f>
      </c>
      <c r="AF22" s="4">
        <f>'中国汇率&amp;期货（change）'!AF22/'中国汇率&amp;期货（vol）'!AF22</f>
      </c>
      <c r="AG22" s="4">
        <f>'中国汇率&amp;期货（change）'!AG22/'中国汇率&amp;期货（vol）'!AG22</f>
      </c>
      <c r="AH22" s="4">
        <f>'中国汇率&amp;期货（change）'!AH22/'中国汇率&amp;期货（vol）'!AH22</f>
      </c>
      <c r="AI22" s="4">
        <f>'中国汇率&amp;期货（change）'!AI22/'中国汇率&amp;期货（vol）'!AI22</f>
      </c>
      <c r="AJ22" s="4">
        <f>'中国汇率&amp;期货（change）'!AJ22/'中国汇率&amp;期货（vol）'!AJ22</f>
      </c>
      <c r="AK22" s="4">
        <f>'中国汇率&amp;期货（change）'!AK22/'中国汇率&amp;期货（vol）'!AK22</f>
      </c>
      <c r="AL22" s="4">
        <f>'中国汇率&amp;期货（change）'!AL22/'中国汇率&amp;期货（vol）'!AL22</f>
      </c>
      <c r="AM22" s="4">
        <f>'中国汇率&amp;期货（change）'!AM22/'中国汇率&amp;期货（vol）'!AM22</f>
      </c>
      <c r="AN22" s="4">
        <f>'中国汇率&amp;期货（change）'!AN22/'中国汇率&amp;期货（vol）'!AN22</f>
      </c>
      <c r="AO22" s="4">
        <f>'中国汇率&amp;期货（change）'!AO22/'中国汇率&amp;期货（vol）'!AO22</f>
      </c>
      <c r="AP22" s="4">
        <f>'中国汇率&amp;期货（change）'!AP22/'中国汇率&amp;期货（vol）'!AP22</f>
      </c>
      <c r="AQ22" s="4">
        <f>'中国汇率&amp;期货（change）'!AQ22/'中国汇率&amp;期货（vol）'!AQ22</f>
      </c>
      <c r="AR22" s="4">
        <f>'中国汇率&amp;期货（change）'!AR22/'中国汇率&amp;期货（vol）'!AR22</f>
      </c>
      <c r="AS22" s="4">
        <f>'中国汇率&amp;期货（change）'!AS22/'中国汇率&amp;期货（vol）'!AS22</f>
      </c>
      <c r="AT22" s="4">
        <f>'中国汇率&amp;期货（change）'!AT22/'中国汇率&amp;期货（vol）'!AT22</f>
      </c>
      <c r="AU22" s="4">
        <f>'中国汇率&amp;期货（change）'!AU22/'中国汇率&amp;期货（vol）'!AU22</f>
      </c>
      <c r="AV22" s="4">
        <f>'中国汇率&amp;期货（change）'!AV22/'中国汇率&amp;期货（vol）'!AV22</f>
      </c>
      <c r="AW22" s="4">
        <f>'中国汇率&amp;期货（change）'!AW22/'中国汇率&amp;期货（vol）'!AW22</f>
      </c>
      <c r="AX22" s="4">
        <f>'中国汇率&amp;期货（change）'!AX22/'中国汇率&amp;期货（vol）'!AX22</f>
      </c>
      <c r="AY22" s="4">
        <f>'中国汇率&amp;期货（change）'!AY22/'中国汇率&amp;期货（vol）'!AY22</f>
      </c>
      <c r="AZ22" s="4">
        <f>'中国汇率&amp;期货（change）'!AZ22/'中国汇率&amp;期货（vol）'!AZ22</f>
      </c>
      <c r="BA22" s="4">
        <f>'中国汇率&amp;期货（change）'!BA22/'中国汇率&amp;期货（vol）'!BA22</f>
      </c>
      <c r="BB22" s="4">
        <f>'中国汇率&amp;期货（change）'!BB22/'中国汇率&amp;期货（vol）'!BB22</f>
      </c>
      <c r="BC22" s="4">
        <f>'中国汇率&amp;期货（change）'!BC22/'中国汇率&amp;期货（vol）'!BC22</f>
      </c>
      <c r="BD22" s="4">
        <f>'中国汇率&amp;期货（change）'!BD22/'中国汇率&amp;期货（vol）'!BD22</f>
      </c>
      <c r="BE22" s="4">
        <f>'中国汇率&amp;期货（change）'!BE22/'中国汇率&amp;期货（vol）'!BE22</f>
      </c>
    </row>
    <row x14ac:dyDescent="0.25" r="23" customHeight="1" ht="18.75">
      <c r="A23" s="1"/>
      <c r="B23" s="4">
        <f>'中国汇率&amp;期货（change）'!B23/'中国汇率&amp;期货（vol）'!B23</f>
      </c>
      <c r="C23" s="4">
        <f>'中国汇率&amp;期货（change）'!C23/'中国汇率&amp;期货（vol）'!C23</f>
      </c>
      <c r="D23" s="4">
        <f>'中国汇率&amp;期货（change）'!D23/'中国汇率&amp;期货（vol）'!D23</f>
      </c>
      <c r="E23" s="4">
        <f>'中国汇率&amp;期货（change）'!E23/'中国汇率&amp;期货（vol）'!E23</f>
      </c>
      <c r="F23" s="4">
        <f>'中国汇率&amp;期货（change）'!F23/'中国汇率&amp;期货（vol）'!F23</f>
      </c>
      <c r="G23" s="4">
        <f>'中国汇率&amp;期货（change）'!G23/'中国汇率&amp;期货（vol）'!G23</f>
      </c>
      <c r="H23" s="4">
        <f>'中国汇率&amp;期货（change）'!H23/'中国汇率&amp;期货（vol）'!H23</f>
      </c>
      <c r="I23" s="4">
        <f>'中国汇率&amp;期货（change）'!I23/'中国汇率&amp;期货（vol）'!I23</f>
      </c>
      <c r="J23" s="4">
        <f>'中国汇率&amp;期货（change）'!J23/'中国汇率&amp;期货（vol）'!J23</f>
      </c>
      <c r="K23" s="4">
        <f>'中国汇率&amp;期货（change）'!K23/'中国汇率&amp;期货（vol）'!K23</f>
      </c>
      <c r="L23" s="4">
        <f>'中国汇率&amp;期货（change）'!L23/'中国汇率&amp;期货（vol）'!L23</f>
      </c>
      <c r="M23" s="4">
        <f>'中国汇率&amp;期货（change）'!M23/'中国汇率&amp;期货（vol）'!M23</f>
      </c>
      <c r="N23" s="4">
        <f>'中国汇率&amp;期货（change）'!N23/'中国汇率&amp;期货（vol）'!N23</f>
      </c>
      <c r="O23" s="4">
        <f>'中国汇率&amp;期货（change）'!O23/'中国汇率&amp;期货（vol）'!O23</f>
      </c>
      <c r="P23" s="4">
        <f>'中国汇率&amp;期货（change）'!P23/'中国汇率&amp;期货（vol）'!P23</f>
      </c>
      <c r="Q23" s="4">
        <f>'中国汇率&amp;期货（change）'!Q23/'中国汇率&amp;期货（vol）'!Q23</f>
      </c>
      <c r="R23" s="4">
        <f>'中国汇率&amp;期货（change）'!R23/'中国汇率&amp;期货（vol）'!R23</f>
      </c>
      <c r="S23" s="4">
        <f>'中国汇率&amp;期货（change）'!S23/'中国汇率&amp;期货（vol）'!S23</f>
      </c>
      <c r="T23" s="4">
        <f>'中国汇率&amp;期货（change）'!T23/'中国汇率&amp;期货（vol）'!T23</f>
      </c>
      <c r="U23" s="4">
        <f>'中国汇率&amp;期货（change）'!U23/'中国汇率&amp;期货（vol）'!U23</f>
      </c>
      <c r="V23" s="4">
        <f>'中国汇率&amp;期货（change）'!V23/'中国汇率&amp;期货（vol）'!V23</f>
      </c>
      <c r="W23" s="4">
        <f>'中国汇率&amp;期货（change）'!W23/'中国汇率&amp;期货（vol）'!W23</f>
      </c>
      <c r="X23" s="4">
        <f>'中国汇率&amp;期货（change）'!X23/'中国汇率&amp;期货（vol）'!X23</f>
      </c>
      <c r="Y23" s="4">
        <f>'中国汇率&amp;期货（change）'!Y23/'中国汇率&amp;期货（vol）'!Y23</f>
      </c>
      <c r="Z23" s="4">
        <f>'中国汇率&amp;期货（change）'!Z23/'中国汇率&amp;期货（vol）'!Z23</f>
      </c>
      <c r="AA23" s="4">
        <f>'中国汇率&amp;期货（change）'!AA23/'中国汇率&amp;期货（vol）'!AA23</f>
      </c>
      <c r="AB23" s="4">
        <f>'中国汇率&amp;期货（change）'!AB23/'中国汇率&amp;期货（vol）'!AB23</f>
      </c>
      <c r="AC23" s="4">
        <f>'中国汇率&amp;期货（change）'!AC23/'中国汇率&amp;期货（vol）'!AC23</f>
      </c>
      <c r="AD23" s="4">
        <f>'中国汇率&amp;期货（change）'!AD23/'中国汇率&amp;期货（vol）'!AD23</f>
      </c>
      <c r="AE23" s="4">
        <f>'中国汇率&amp;期货（change）'!AE23/'中国汇率&amp;期货（vol）'!AE23</f>
      </c>
      <c r="AF23" s="4">
        <f>'中国汇率&amp;期货（change）'!AF23/'中国汇率&amp;期货（vol）'!AF23</f>
      </c>
      <c r="AG23" s="4">
        <f>'中国汇率&amp;期货（change）'!AG23/'中国汇率&amp;期货（vol）'!AG23</f>
      </c>
      <c r="AH23" s="4">
        <f>'中国汇率&amp;期货（change）'!AH23/'中国汇率&amp;期货（vol）'!AH23</f>
      </c>
      <c r="AI23" s="4">
        <f>'中国汇率&amp;期货（change）'!AI23/'中国汇率&amp;期货（vol）'!AI23</f>
      </c>
      <c r="AJ23" s="4">
        <f>'中国汇率&amp;期货（change）'!AJ23/'中国汇率&amp;期货（vol）'!AJ23</f>
      </c>
      <c r="AK23" s="4">
        <f>'中国汇率&amp;期货（change）'!AK23/'中国汇率&amp;期货（vol）'!AK23</f>
      </c>
      <c r="AL23" s="4">
        <f>'中国汇率&amp;期货（change）'!AL23/'中国汇率&amp;期货（vol）'!AL23</f>
      </c>
      <c r="AM23" s="4">
        <f>'中国汇率&amp;期货（change）'!AM23/'中国汇率&amp;期货（vol）'!AM23</f>
      </c>
      <c r="AN23" s="4">
        <f>'中国汇率&amp;期货（change）'!AN23/'中国汇率&amp;期货（vol）'!AN23</f>
      </c>
      <c r="AO23" s="4">
        <f>'中国汇率&amp;期货（change）'!AO23/'中国汇率&amp;期货（vol）'!AO23</f>
      </c>
      <c r="AP23" s="4">
        <f>'中国汇率&amp;期货（change）'!AP23/'中国汇率&amp;期货（vol）'!AP23</f>
      </c>
      <c r="AQ23" s="4">
        <f>'中国汇率&amp;期货（change）'!AQ23/'中国汇率&amp;期货（vol）'!AQ23</f>
      </c>
      <c r="AR23" s="4">
        <f>'中国汇率&amp;期货（change）'!AR23/'中国汇率&amp;期货（vol）'!AR23</f>
      </c>
      <c r="AS23" s="4">
        <f>'中国汇率&amp;期货（change）'!AS23/'中国汇率&amp;期货（vol）'!AS23</f>
      </c>
      <c r="AT23" s="4">
        <f>'中国汇率&amp;期货（change）'!AT23/'中国汇率&amp;期货（vol）'!AT23</f>
      </c>
      <c r="AU23" s="4">
        <f>'中国汇率&amp;期货（change）'!AU23/'中国汇率&amp;期货（vol）'!AU23</f>
      </c>
      <c r="AV23" s="4">
        <f>'中国汇率&amp;期货（change）'!AV23/'中国汇率&amp;期货（vol）'!AV23</f>
      </c>
      <c r="AW23" s="4">
        <f>'中国汇率&amp;期货（change）'!AW23/'中国汇率&amp;期货（vol）'!AW23</f>
      </c>
      <c r="AX23" s="4">
        <f>'中国汇率&amp;期货（change）'!AX23/'中国汇率&amp;期货（vol）'!AX23</f>
      </c>
      <c r="AY23" s="4">
        <f>'中国汇率&amp;期货（change）'!AY23/'中国汇率&amp;期货（vol）'!AY23</f>
      </c>
      <c r="AZ23" s="4">
        <f>'中国汇率&amp;期货（change）'!AZ23/'中国汇率&amp;期货（vol）'!AZ23</f>
      </c>
      <c r="BA23" s="4">
        <f>'中国汇率&amp;期货（change）'!BA23/'中国汇率&amp;期货（vol）'!BA23</f>
      </c>
      <c r="BB23" s="4">
        <f>'中国汇率&amp;期货（change）'!BB23/'中国汇率&amp;期货（vol）'!BB23</f>
      </c>
      <c r="BC23" s="4">
        <f>'中国汇率&amp;期货（change）'!BC23/'中国汇率&amp;期货（vol）'!BC23</f>
      </c>
      <c r="BD23" s="4">
        <f>'中国汇率&amp;期货（change）'!BD23/'中国汇率&amp;期货（vol）'!BD23</f>
      </c>
      <c r="BE23" s="4">
        <f>'中国汇率&amp;期货（change）'!BE23/'中国汇率&amp;期货（vol）'!BE23</f>
      </c>
    </row>
    <row x14ac:dyDescent="0.25" r="24" customHeight="1" ht="18.75">
      <c r="A24" s="1"/>
      <c r="B24" s="4">
        <f>'中国汇率&amp;期货（change）'!B24/'中国汇率&amp;期货（vol）'!B24</f>
      </c>
      <c r="C24" s="4">
        <f>'中国汇率&amp;期货（change）'!C24/'中国汇率&amp;期货（vol）'!C24</f>
      </c>
      <c r="D24" s="4">
        <f>'中国汇率&amp;期货（change）'!D24/'中国汇率&amp;期货（vol）'!D24</f>
      </c>
      <c r="E24" s="4">
        <f>'中国汇率&amp;期货（change）'!E24/'中国汇率&amp;期货（vol）'!E24</f>
      </c>
      <c r="F24" s="4">
        <f>'中国汇率&amp;期货（change）'!F24/'中国汇率&amp;期货（vol）'!F24</f>
      </c>
      <c r="G24" s="4">
        <f>'中国汇率&amp;期货（change）'!G24/'中国汇率&amp;期货（vol）'!G24</f>
      </c>
      <c r="H24" s="4">
        <f>'中国汇率&amp;期货（change）'!H24/'中国汇率&amp;期货（vol）'!H24</f>
      </c>
      <c r="I24" s="4">
        <f>'中国汇率&amp;期货（change）'!I24/'中国汇率&amp;期货（vol）'!I24</f>
      </c>
      <c r="J24" s="4">
        <f>'中国汇率&amp;期货（change）'!J24/'中国汇率&amp;期货（vol）'!J24</f>
      </c>
      <c r="K24" s="4">
        <f>'中国汇率&amp;期货（change）'!K24/'中国汇率&amp;期货（vol）'!K24</f>
      </c>
      <c r="L24" s="4">
        <f>'中国汇率&amp;期货（change）'!L24/'中国汇率&amp;期货（vol）'!L24</f>
      </c>
      <c r="M24" s="4">
        <f>'中国汇率&amp;期货（change）'!M24/'中国汇率&amp;期货（vol）'!M24</f>
      </c>
      <c r="N24" s="4">
        <f>'中国汇率&amp;期货（change）'!N24/'中国汇率&amp;期货（vol）'!N24</f>
      </c>
      <c r="O24" s="4">
        <f>'中国汇率&amp;期货（change）'!O24/'中国汇率&amp;期货（vol）'!O24</f>
      </c>
      <c r="P24" s="4">
        <f>'中国汇率&amp;期货（change）'!P24/'中国汇率&amp;期货（vol）'!P24</f>
      </c>
      <c r="Q24" s="4">
        <f>'中国汇率&amp;期货（change）'!Q24/'中国汇率&amp;期货（vol）'!Q24</f>
      </c>
      <c r="R24" s="4">
        <f>'中国汇率&amp;期货（change）'!R24/'中国汇率&amp;期货（vol）'!R24</f>
      </c>
      <c r="S24" s="4">
        <f>'中国汇率&amp;期货（change）'!S24/'中国汇率&amp;期货（vol）'!S24</f>
      </c>
      <c r="T24" s="4">
        <f>'中国汇率&amp;期货（change）'!T24/'中国汇率&amp;期货（vol）'!T24</f>
      </c>
      <c r="U24" s="4">
        <f>'中国汇率&amp;期货（change）'!U24/'中国汇率&amp;期货（vol）'!U24</f>
      </c>
      <c r="V24" s="4">
        <f>'中国汇率&amp;期货（change）'!V24/'中国汇率&amp;期货（vol）'!V24</f>
      </c>
      <c r="W24" s="4">
        <f>'中国汇率&amp;期货（change）'!W24/'中国汇率&amp;期货（vol）'!W24</f>
      </c>
      <c r="X24" s="4">
        <f>'中国汇率&amp;期货（change）'!X24/'中国汇率&amp;期货（vol）'!X24</f>
      </c>
      <c r="Y24" s="4">
        <f>'中国汇率&amp;期货（change）'!Y24/'中国汇率&amp;期货（vol）'!Y24</f>
      </c>
      <c r="Z24" s="4">
        <f>'中国汇率&amp;期货（change）'!Z24/'中国汇率&amp;期货（vol）'!Z24</f>
      </c>
      <c r="AA24" s="4">
        <f>'中国汇率&amp;期货（change）'!AA24/'中国汇率&amp;期货（vol）'!AA24</f>
      </c>
      <c r="AB24" s="4">
        <f>'中国汇率&amp;期货（change）'!AB24/'中国汇率&amp;期货（vol）'!AB24</f>
      </c>
      <c r="AC24" s="4">
        <f>'中国汇率&amp;期货（change）'!AC24/'中国汇率&amp;期货（vol）'!AC24</f>
      </c>
      <c r="AD24" s="4">
        <f>'中国汇率&amp;期货（change）'!AD24/'中国汇率&amp;期货（vol）'!AD24</f>
      </c>
      <c r="AE24" s="4">
        <f>'中国汇率&amp;期货（change）'!AE24/'中国汇率&amp;期货（vol）'!AE24</f>
      </c>
      <c r="AF24" s="4">
        <f>'中国汇率&amp;期货（change）'!AF24/'中国汇率&amp;期货（vol）'!AF24</f>
      </c>
      <c r="AG24" s="4">
        <f>'中国汇率&amp;期货（change）'!AG24/'中国汇率&amp;期货（vol）'!AG24</f>
      </c>
      <c r="AH24" s="4">
        <f>'中国汇率&amp;期货（change）'!AH24/'中国汇率&amp;期货（vol）'!AH24</f>
      </c>
      <c r="AI24" s="4">
        <f>'中国汇率&amp;期货（change）'!AI24/'中国汇率&amp;期货（vol）'!AI24</f>
      </c>
      <c r="AJ24" s="4">
        <f>'中国汇率&amp;期货（change）'!AJ24/'中国汇率&amp;期货（vol）'!AJ24</f>
      </c>
      <c r="AK24" s="4">
        <f>'中国汇率&amp;期货（change）'!AK24/'中国汇率&amp;期货（vol）'!AK24</f>
      </c>
      <c r="AL24" s="4">
        <f>'中国汇率&amp;期货（change）'!AL24/'中国汇率&amp;期货（vol）'!AL24</f>
      </c>
      <c r="AM24" s="4">
        <f>'中国汇率&amp;期货（change）'!AM24/'中国汇率&amp;期货（vol）'!AM24</f>
      </c>
      <c r="AN24" s="4">
        <f>'中国汇率&amp;期货（change）'!AN24/'中国汇率&amp;期货（vol）'!AN24</f>
      </c>
      <c r="AO24" s="4">
        <f>'中国汇率&amp;期货（change）'!AO24/'中国汇率&amp;期货（vol）'!AO24</f>
      </c>
      <c r="AP24" s="4">
        <f>'中国汇率&amp;期货（change）'!AP24/'中国汇率&amp;期货（vol）'!AP24</f>
      </c>
      <c r="AQ24" s="4">
        <f>'中国汇率&amp;期货（change）'!AQ24/'中国汇率&amp;期货（vol）'!AQ24</f>
      </c>
      <c r="AR24" s="4">
        <f>'中国汇率&amp;期货（change）'!AR24/'中国汇率&amp;期货（vol）'!AR24</f>
      </c>
      <c r="AS24" s="4">
        <f>'中国汇率&amp;期货（change）'!AS24/'中国汇率&amp;期货（vol）'!AS24</f>
      </c>
      <c r="AT24" s="4">
        <f>'中国汇率&amp;期货（change）'!AT24/'中国汇率&amp;期货（vol）'!AT24</f>
      </c>
      <c r="AU24" s="4">
        <f>'中国汇率&amp;期货（change）'!AU24/'中国汇率&amp;期货（vol）'!AU24</f>
      </c>
      <c r="AV24" s="4">
        <f>'中国汇率&amp;期货（change）'!AV24/'中国汇率&amp;期货（vol）'!AV24</f>
      </c>
      <c r="AW24" s="4">
        <f>'中国汇率&amp;期货（change）'!AW24/'中国汇率&amp;期货（vol）'!AW24</f>
      </c>
      <c r="AX24" s="4">
        <f>'中国汇率&amp;期货（change）'!AX24/'中国汇率&amp;期货（vol）'!AX24</f>
      </c>
      <c r="AY24" s="4">
        <f>'中国汇率&amp;期货（change）'!AY24/'中国汇率&amp;期货（vol）'!AY24</f>
      </c>
      <c r="AZ24" s="4">
        <f>'中国汇率&amp;期货（change）'!AZ24/'中国汇率&amp;期货（vol）'!AZ24</f>
      </c>
      <c r="BA24" s="4">
        <f>'中国汇率&amp;期货（change）'!BA24/'中国汇率&amp;期货（vol）'!BA24</f>
      </c>
      <c r="BB24" s="4">
        <f>'中国汇率&amp;期货（change）'!BB24/'中国汇率&amp;期货（vol）'!BB24</f>
      </c>
      <c r="BC24" s="4">
        <f>'中国汇率&amp;期货（change）'!BC24/'中国汇率&amp;期货（vol）'!BC24</f>
      </c>
      <c r="BD24" s="4">
        <f>'中国汇率&amp;期货（change）'!BD24/'中国汇率&amp;期货（vol）'!BD24</f>
      </c>
      <c r="BE24" s="4">
        <f>'中国汇率&amp;期货（change）'!BE24/'中国汇率&amp;期货（vol）'!BE24</f>
      </c>
    </row>
    <row x14ac:dyDescent="0.25" r="25" customHeight="1" ht="18.75">
      <c r="A25" s="1"/>
      <c r="B25" s="4">
        <f>'中国汇率&amp;期货（change）'!B25/'中国汇率&amp;期货（vol）'!B25</f>
      </c>
      <c r="C25" s="4">
        <f>'中国汇率&amp;期货（change）'!C25/'中国汇率&amp;期货（vol）'!C25</f>
      </c>
      <c r="D25" s="4">
        <f>'中国汇率&amp;期货（change）'!D25/'中国汇率&amp;期货（vol）'!D25</f>
      </c>
      <c r="E25" s="4">
        <f>'中国汇率&amp;期货（change）'!E25/'中国汇率&amp;期货（vol）'!E25</f>
      </c>
      <c r="F25" s="4">
        <f>'中国汇率&amp;期货（change）'!F25/'中国汇率&amp;期货（vol）'!F25</f>
      </c>
      <c r="G25" s="4">
        <f>'中国汇率&amp;期货（change）'!G25/'中国汇率&amp;期货（vol）'!G25</f>
      </c>
      <c r="H25" s="4">
        <f>'中国汇率&amp;期货（change）'!H25/'中国汇率&amp;期货（vol）'!H25</f>
      </c>
      <c r="I25" s="4">
        <f>'中国汇率&amp;期货（change）'!I25/'中国汇率&amp;期货（vol）'!I25</f>
      </c>
      <c r="J25" s="4">
        <f>'中国汇率&amp;期货（change）'!J25/'中国汇率&amp;期货（vol）'!J25</f>
      </c>
      <c r="K25" s="4">
        <f>'中国汇率&amp;期货（change）'!K25/'中国汇率&amp;期货（vol）'!K25</f>
      </c>
      <c r="L25" s="4">
        <f>'中国汇率&amp;期货（change）'!L25/'中国汇率&amp;期货（vol）'!L25</f>
      </c>
      <c r="M25" s="4">
        <f>'中国汇率&amp;期货（change）'!M25/'中国汇率&amp;期货（vol）'!M25</f>
      </c>
      <c r="N25" s="4">
        <f>'中国汇率&amp;期货（change）'!N25/'中国汇率&amp;期货（vol）'!N25</f>
      </c>
      <c r="O25" s="4">
        <f>'中国汇率&amp;期货（change）'!O25/'中国汇率&amp;期货（vol）'!O25</f>
      </c>
      <c r="P25" s="4">
        <f>'中国汇率&amp;期货（change）'!P25/'中国汇率&amp;期货（vol）'!P25</f>
      </c>
      <c r="Q25" s="4">
        <f>'中国汇率&amp;期货（change）'!Q25/'中国汇率&amp;期货（vol）'!Q25</f>
      </c>
      <c r="R25" s="4">
        <f>'中国汇率&amp;期货（change）'!R25/'中国汇率&amp;期货（vol）'!R25</f>
      </c>
      <c r="S25" s="4">
        <f>'中国汇率&amp;期货（change）'!S25/'中国汇率&amp;期货（vol）'!S25</f>
      </c>
      <c r="T25" s="4">
        <f>'中国汇率&amp;期货（change）'!T25/'中国汇率&amp;期货（vol）'!T25</f>
      </c>
      <c r="U25" s="4">
        <f>'中国汇率&amp;期货（change）'!U25/'中国汇率&amp;期货（vol）'!U25</f>
      </c>
      <c r="V25" s="4">
        <f>'中国汇率&amp;期货（change）'!V25/'中国汇率&amp;期货（vol）'!V25</f>
      </c>
      <c r="W25" s="4">
        <f>'中国汇率&amp;期货（change）'!W25/'中国汇率&amp;期货（vol）'!W25</f>
      </c>
      <c r="X25" s="4">
        <f>'中国汇率&amp;期货（change）'!X25/'中国汇率&amp;期货（vol）'!X25</f>
      </c>
      <c r="Y25" s="4">
        <f>'中国汇率&amp;期货（change）'!Y25/'中国汇率&amp;期货（vol）'!Y25</f>
      </c>
      <c r="Z25" s="4">
        <f>'中国汇率&amp;期货（change）'!Z25/'中国汇率&amp;期货（vol）'!Z25</f>
      </c>
      <c r="AA25" s="4">
        <f>'中国汇率&amp;期货（change）'!AA25/'中国汇率&amp;期货（vol）'!AA25</f>
      </c>
      <c r="AB25" s="4">
        <f>'中国汇率&amp;期货（change）'!AB25/'中国汇率&amp;期货（vol）'!AB25</f>
      </c>
      <c r="AC25" s="4">
        <f>'中国汇率&amp;期货（change）'!AC25/'中国汇率&amp;期货（vol）'!AC25</f>
      </c>
      <c r="AD25" s="4">
        <f>'中国汇率&amp;期货（change）'!AD25/'中国汇率&amp;期货（vol）'!AD25</f>
      </c>
      <c r="AE25" s="4">
        <f>'中国汇率&amp;期货（change）'!AE25/'中国汇率&amp;期货（vol）'!AE25</f>
      </c>
      <c r="AF25" s="4">
        <f>'中国汇率&amp;期货（change）'!AF25/'中国汇率&amp;期货（vol）'!AF25</f>
      </c>
      <c r="AG25" s="4">
        <f>'中国汇率&amp;期货（change）'!AG25/'中国汇率&amp;期货（vol）'!AG25</f>
      </c>
      <c r="AH25" s="4">
        <f>'中国汇率&amp;期货（change）'!AH25/'中国汇率&amp;期货（vol）'!AH25</f>
      </c>
      <c r="AI25" s="4">
        <f>'中国汇率&amp;期货（change）'!AI25/'中国汇率&amp;期货（vol）'!AI25</f>
      </c>
      <c r="AJ25" s="4">
        <f>'中国汇率&amp;期货（change）'!AJ25/'中国汇率&amp;期货（vol）'!AJ25</f>
      </c>
      <c r="AK25" s="4">
        <f>'中国汇率&amp;期货（change）'!AK25/'中国汇率&amp;期货（vol）'!AK25</f>
      </c>
      <c r="AL25" s="4">
        <f>'中国汇率&amp;期货（change）'!AL25/'中国汇率&amp;期货（vol）'!AL25</f>
      </c>
      <c r="AM25" s="4">
        <f>'中国汇率&amp;期货（change）'!AM25/'中国汇率&amp;期货（vol）'!AM25</f>
      </c>
      <c r="AN25" s="4">
        <f>'中国汇率&amp;期货（change）'!AN25/'中国汇率&amp;期货（vol）'!AN25</f>
      </c>
      <c r="AO25" s="4">
        <f>'中国汇率&amp;期货（change）'!AO25/'中国汇率&amp;期货（vol）'!AO25</f>
      </c>
      <c r="AP25" s="4">
        <f>'中国汇率&amp;期货（change）'!AP25/'中国汇率&amp;期货（vol）'!AP25</f>
      </c>
      <c r="AQ25" s="4">
        <f>'中国汇率&amp;期货（change）'!AQ25/'中国汇率&amp;期货（vol）'!AQ25</f>
      </c>
      <c r="AR25" s="4">
        <f>'中国汇率&amp;期货（change）'!AR25/'中国汇率&amp;期货（vol）'!AR25</f>
      </c>
      <c r="AS25" s="4">
        <f>'中国汇率&amp;期货（change）'!AS25/'中国汇率&amp;期货（vol）'!AS25</f>
      </c>
      <c r="AT25" s="4">
        <f>'中国汇率&amp;期货（change）'!AT25/'中国汇率&amp;期货（vol）'!AT25</f>
      </c>
      <c r="AU25" s="4">
        <f>'中国汇率&amp;期货（change）'!AU25/'中国汇率&amp;期货（vol）'!AU25</f>
      </c>
      <c r="AV25" s="4">
        <f>'中国汇率&amp;期货（change）'!AV25/'中国汇率&amp;期货（vol）'!AV25</f>
      </c>
      <c r="AW25" s="4">
        <f>'中国汇率&amp;期货（change）'!AW25/'中国汇率&amp;期货（vol）'!AW25</f>
      </c>
      <c r="AX25" s="4">
        <f>'中国汇率&amp;期货（change）'!AX25/'中国汇率&amp;期货（vol）'!AX25</f>
      </c>
      <c r="AY25" s="4">
        <f>'中国汇率&amp;期货（change）'!AY25/'中国汇率&amp;期货（vol）'!AY25</f>
      </c>
      <c r="AZ25" s="4">
        <f>'中国汇率&amp;期货（change）'!AZ25/'中国汇率&amp;期货（vol）'!AZ25</f>
      </c>
      <c r="BA25" s="4">
        <f>'中国汇率&amp;期货（change）'!BA25/'中国汇率&amp;期货（vol）'!BA25</f>
      </c>
      <c r="BB25" s="4">
        <f>'中国汇率&amp;期货（change）'!BB25/'中国汇率&amp;期货（vol）'!BB25</f>
      </c>
      <c r="BC25" s="4">
        <f>'中国汇率&amp;期货（change）'!BC25/'中国汇率&amp;期货（vol）'!BC25</f>
      </c>
      <c r="BD25" s="4">
        <f>'中国汇率&amp;期货（change）'!BD25/'中国汇率&amp;期货（vol）'!BD25</f>
      </c>
      <c r="BE25" s="4">
        <f>'中国汇率&amp;期货（change）'!BE25/'中国汇率&amp;期货（vol）'!BE25</f>
      </c>
    </row>
    <row x14ac:dyDescent="0.25" r="26" customHeight="1" ht="18.75">
      <c r="A26" s="1"/>
      <c r="B26" s="4">
        <f>'中国汇率&amp;期货（change）'!B26/'中国汇率&amp;期货（vol）'!B26</f>
      </c>
      <c r="C26" s="4">
        <f>'中国汇率&amp;期货（change）'!C26/'中国汇率&amp;期货（vol）'!C26</f>
      </c>
      <c r="D26" s="4">
        <f>'中国汇率&amp;期货（change）'!D26/'中国汇率&amp;期货（vol）'!D26</f>
      </c>
      <c r="E26" s="4">
        <f>'中国汇率&amp;期货（change）'!E26/'中国汇率&amp;期货（vol）'!E26</f>
      </c>
      <c r="F26" s="4">
        <f>'中国汇率&amp;期货（change）'!F26/'中国汇率&amp;期货（vol）'!F26</f>
      </c>
      <c r="G26" s="4">
        <f>'中国汇率&amp;期货（change）'!G26/'中国汇率&amp;期货（vol）'!G26</f>
      </c>
      <c r="H26" s="4">
        <f>'中国汇率&amp;期货（change）'!H26/'中国汇率&amp;期货（vol）'!H26</f>
      </c>
      <c r="I26" s="4">
        <f>'中国汇率&amp;期货（change）'!I26/'中国汇率&amp;期货（vol）'!I26</f>
      </c>
      <c r="J26" s="4">
        <f>'中国汇率&amp;期货（change）'!J26/'中国汇率&amp;期货（vol）'!J26</f>
      </c>
      <c r="K26" s="4">
        <f>'中国汇率&amp;期货（change）'!K26/'中国汇率&amp;期货（vol）'!K26</f>
      </c>
      <c r="L26" s="4">
        <f>'中国汇率&amp;期货（change）'!L26/'中国汇率&amp;期货（vol）'!L26</f>
      </c>
      <c r="M26" s="4">
        <f>'中国汇率&amp;期货（change）'!M26/'中国汇率&amp;期货（vol）'!M26</f>
      </c>
      <c r="N26" s="4">
        <f>'中国汇率&amp;期货（change）'!N26/'中国汇率&amp;期货（vol）'!N26</f>
      </c>
      <c r="O26" s="4">
        <f>'中国汇率&amp;期货（change）'!O26/'中国汇率&amp;期货（vol）'!O26</f>
      </c>
      <c r="P26" s="4">
        <f>'中国汇率&amp;期货（change）'!P26/'中国汇率&amp;期货（vol）'!P26</f>
      </c>
      <c r="Q26" s="4">
        <f>'中国汇率&amp;期货（change）'!Q26/'中国汇率&amp;期货（vol）'!Q26</f>
      </c>
      <c r="R26" s="4">
        <f>'中国汇率&amp;期货（change）'!R26/'中国汇率&amp;期货（vol）'!R26</f>
      </c>
      <c r="S26" s="4">
        <f>'中国汇率&amp;期货（change）'!S26/'中国汇率&amp;期货（vol）'!S26</f>
      </c>
      <c r="T26" s="4">
        <f>'中国汇率&amp;期货（change）'!T26/'中国汇率&amp;期货（vol）'!T26</f>
      </c>
      <c r="U26" s="4">
        <f>'中国汇率&amp;期货（change）'!U26/'中国汇率&amp;期货（vol）'!U26</f>
      </c>
      <c r="V26" s="4">
        <f>'中国汇率&amp;期货（change）'!V26/'中国汇率&amp;期货（vol）'!V26</f>
      </c>
      <c r="W26" s="4">
        <f>'中国汇率&amp;期货（change）'!W26/'中国汇率&amp;期货（vol）'!W26</f>
      </c>
      <c r="X26" s="4">
        <f>'中国汇率&amp;期货（change）'!X26/'中国汇率&amp;期货（vol）'!X26</f>
      </c>
      <c r="Y26" s="4">
        <f>'中国汇率&amp;期货（change）'!Y26/'中国汇率&amp;期货（vol）'!Y26</f>
      </c>
      <c r="Z26" s="4">
        <f>'中国汇率&amp;期货（change）'!Z26/'中国汇率&amp;期货（vol）'!Z26</f>
      </c>
      <c r="AA26" s="4">
        <f>'中国汇率&amp;期货（change）'!AA26/'中国汇率&amp;期货（vol）'!AA26</f>
      </c>
      <c r="AB26" s="4">
        <f>'中国汇率&amp;期货（change）'!AB26/'中国汇率&amp;期货（vol）'!AB26</f>
      </c>
      <c r="AC26" s="4">
        <f>'中国汇率&amp;期货（change）'!AC26/'中国汇率&amp;期货（vol）'!AC26</f>
      </c>
      <c r="AD26" s="4">
        <f>'中国汇率&amp;期货（change）'!AD26/'中国汇率&amp;期货（vol）'!AD26</f>
      </c>
      <c r="AE26" s="4">
        <f>'中国汇率&amp;期货（change）'!AE26/'中国汇率&amp;期货（vol）'!AE26</f>
      </c>
      <c r="AF26" s="4">
        <f>'中国汇率&amp;期货（change）'!AF26/'中国汇率&amp;期货（vol）'!AF26</f>
      </c>
      <c r="AG26" s="4">
        <f>'中国汇率&amp;期货（change）'!AG26/'中国汇率&amp;期货（vol）'!AG26</f>
      </c>
      <c r="AH26" s="4">
        <f>'中国汇率&amp;期货（change）'!AH26/'中国汇率&amp;期货（vol）'!AH26</f>
      </c>
      <c r="AI26" s="4">
        <f>'中国汇率&amp;期货（change）'!AI26/'中国汇率&amp;期货（vol）'!AI26</f>
      </c>
      <c r="AJ26" s="4">
        <f>'中国汇率&amp;期货（change）'!AJ26/'中国汇率&amp;期货（vol）'!AJ26</f>
      </c>
      <c r="AK26" s="4">
        <f>'中国汇率&amp;期货（change）'!AK26/'中国汇率&amp;期货（vol）'!AK26</f>
      </c>
      <c r="AL26" s="4">
        <f>'中国汇率&amp;期货（change）'!AL26/'中国汇率&amp;期货（vol）'!AL26</f>
      </c>
      <c r="AM26" s="4">
        <f>'中国汇率&amp;期货（change）'!AM26/'中国汇率&amp;期货（vol）'!AM26</f>
      </c>
      <c r="AN26" s="4">
        <f>'中国汇率&amp;期货（change）'!AN26/'中国汇率&amp;期货（vol）'!AN26</f>
      </c>
      <c r="AO26" s="4">
        <f>'中国汇率&amp;期货（change）'!AO26/'中国汇率&amp;期货（vol）'!AO26</f>
      </c>
      <c r="AP26" s="4">
        <f>'中国汇率&amp;期货（change）'!AP26/'中国汇率&amp;期货（vol）'!AP26</f>
      </c>
      <c r="AQ26" s="4">
        <f>'中国汇率&amp;期货（change）'!AQ26/'中国汇率&amp;期货（vol）'!AQ26</f>
      </c>
      <c r="AR26" s="4">
        <f>'中国汇率&amp;期货（change）'!AR26/'中国汇率&amp;期货（vol）'!AR26</f>
      </c>
      <c r="AS26" s="4">
        <f>'中国汇率&amp;期货（change）'!AS26/'中国汇率&amp;期货（vol）'!AS26</f>
      </c>
      <c r="AT26" s="4">
        <f>'中国汇率&amp;期货（change）'!AT26/'中国汇率&amp;期货（vol）'!AT26</f>
      </c>
      <c r="AU26" s="4">
        <f>'中国汇率&amp;期货（change）'!AU26/'中国汇率&amp;期货（vol）'!AU26</f>
      </c>
      <c r="AV26" s="4">
        <f>'中国汇率&amp;期货（change）'!AV26/'中国汇率&amp;期货（vol）'!AV26</f>
      </c>
      <c r="AW26" s="4">
        <f>'中国汇率&amp;期货（change）'!AW26/'中国汇率&amp;期货（vol）'!AW26</f>
      </c>
      <c r="AX26" s="4">
        <f>'中国汇率&amp;期货（change）'!AX26/'中国汇率&amp;期货（vol）'!AX26</f>
      </c>
      <c r="AY26" s="4">
        <f>'中国汇率&amp;期货（change）'!AY26/'中国汇率&amp;期货（vol）'!AY26</f>
      </c>
      <c r="AZ26" s="4">
        <f>'中国汇率&amp;期货（change）'!AZ26/'中国汇率&amp;期货（vol）'!AZ26</f>
      </c>
      <c r="BA26" s="4">
        <f>'中国汇率&amp;期货（change）'!BA26/'中国汇率&amp;期货（vol）'!BA26</f>
      </c>
      <c r="BB26" s="4">
        <f>'中国汇率&amp;期货（change）'!BB26/'中国汇率&amp;期货（vol）'!BB26</f>
      </c>
      <c r="BC26" s="4">
        <f>'中国汇率&amp;期货（change）'!BC26/'中国汇率&amp;期货（vol）'!BC26</f>
      </c>
      <c r="BD26" s="4">
        <f>'中国汇率&amp;期货（change）'!BD26/'中国汇率&amp;期货（vol）'!BD26</f>
      </c>
      <c r="BE26" s="4">
        <f>'中国汇率&amp;期货（change）'!BE26/'中国汇率&amp;期货（vol）'!BE26</f>
      </c>
    </row>
    <row x14ac:dyDescent="0.25" r="27" customHeight="1" ht="18.75">
      <c r="A27" s="1"/>
      <c r="B27" s="4">
        <f>'中国汇率&amp;期货（change）'!B27/'中国汇率&amp;期货（vol）'!B27</f>
      </c>
      <c r="C27" s="4">
        <f>'中国汇率&amp;期货（change）'!C27/'中国汇率&amp;期货（vol）'!C27</f>
      </c>
      <c r="D27" s="4">
        <f>'中国汇率&amp;期货（change）'!D27/'中国汇率&amp;期货（vol）'!D27</f>
      </c>
      <c r="E27" s="4">
        <f>'中国汇率&amp;期货（change）'!E27/'中国汇率&amp;期货（vol）'!E27</f>
      </c>
      <c r="F27" s="4">
        <f>'中国汇率&amp;期货（change）'!F27/'中国汇率&amp;期货（vol）'!F27</f>
      </c>
      <c r="G27" s="4">
        <f>'中国汇率&amp;期货（change）'!G27/'中国汇率&amp;期货（vol）'!G27</f>
      </c>
      <c r="H27" s="4">
        <f>'中国汇率&amp;期货（change）'!H27/'中国汇率&amp;期货（vol）'!H27</f>
      </c>
      <c r="I27" s="4">
        <f>'中国汇率&amp;期货（change）'!I27/'中国汇率&amp;期货（vol）'!I27</f>
      </c>
      <c r="J27" s="4">
        <f>'中国汇率&amp;期货（change）'!J27/'中国汇率&amp;期货（vol）'!J27</f>
      </c>
      <c r="K27" s="4">
        <f>'中国汇率&amp;期货（change）'!K27/'中国汇率&amp;期货（vol）'!K27</f>
      </c>
      <c r="L27" s="4">
        <f>'中国汇率&amp;期货（change）'!L27/'中国汇率&amp;期货（vol）'!L27</f>
      </c>
      <c r="M27" s="4">
        <f>'中国汇率&amp;期货（change）'!M27/'中国汇率&amp;期货（vol）'!M27</f>
      </c>
      <c r="N27" s="4">
        <f>'中国汇率&amp;期货（change）'!N27/'中国汇率&amp;期货（vol）'!N27</f>
      </c>
      <c r="O27" s="4">
        <f>'中国汇率&amp;期货（change）'!O27/'中国汇率&amp;期货（vol）'!O27</f>
      </c>
      <c r="P27" s="4">
        <f>'中国汇率&amp;期货（change）'!P27/'中国汇率&amp;期货（vol）'!P27</f>
      </c>
      <c r="Q27" s="4">
        <f>'中国汇率&amp;期货（change）'!Q27/'中国汇率&amp;期货（vol）'!Q27</f>
      </c>
      <c r="R27" s="4">
        <f>'中国汇率&amp;期货（change）'!R27/'中国汇率&amp;期货（vol）'!R27</f>
      </c>
      <c r="S27" s="4">
        <f>'中国汇率&amp;期货（change）'!S27/'中国汇率&amp;期货（vol）'!S27</f>
      </c>
      <c r="T27" s="4">
        <f>'中国汇率&amp;期货（change）'!T27/'中国汇率&amp;期货（vol）'!T27</f>
      </c>
      <c r="U27" s="4">
        <f>'中国汇率&amp;期货（change）'!U27/'中国汇率&amp;期货（vol）'!U27</f>
      </c>
      <c r="V27" s="4">
        <f>'中国汇率&amp;期货（change）'!V27/'中国汇率&amp;期货（vol）'!V27</f>
      </c>
      <c r="W27" s="4">
        <f>'中国汇率&amp;期货（change）'!W27/'中国汇率&amp;期货（vol）'!W27</f>
      </c>
      <c r="X27" s="4">
        <f>'中国汇率&amp;期货（change）'!X27/'中国汇率&amp;期货（vol）'!X27</f>
      </c>
      <c r="Y27" s="4">
        <f>'中国汇率&amp;期货（change）'!Y27/'中国汇率&amp;期货（vol）'!Y27</f>
      </c>
      <c r="Z27" s="4">
        <f>'中国汇率&amp;期货（change）'!Z27/'中国汇率&amp;期货（vol）'!Z27</f>
      </c>
      <c r="AA27" s="4">
        <f>'中国汇率&amp;期货（change）'!AA27/'中国汇率&amp;期货（vol）'!AA27</f>
      </c>
      <c r="AB27" s="4">
        <f>'中国汇率&amp;期货（change）'!AB27/'中国汇率&amp;期货（vol）'!AB27</f>
      </c>
      <c r="AC27" s="4">
        <f>'中国汇率&amp;期货（change）'!AC27/'中国汇率&amp;期货（vol）'!AC27</f>
      </c>
      <c r="AD27" s="4">
        <f>'中国汇率&amp;期货（change）'!AD27/'中国汇率&amp;期货（vol）'!AD27</f>
      </c>
      <c r="AE27" s="4">
        <f>'中国汇率&amp;期货（change）'!AE27/'中国汇率&amp;期货（vol）'!AE27</f>
      </c>
      <c r="AF27" s="4">
        <f>'中国汇率&amp;期货（change）'!AF27/'中国汇率&amp;期货（vol）'!AF27</f>
      </c>
      <c r="AG27" s="4">
        <f>'中国汇率&amp;期货（change）'!AG27/'中国汇率&amp;期货（vol）'!AG27</f>
      </c>
      <c r="AH27" s="4">
        <f>'中国汇率&amp;期货（change）'!AH27/'中国汇率&amp;期货（vol）'!AH27</f>
      </c>
      <c r="AI27" s="4">
        <f>'中国汇率&amp;期货（change）'!AI27/'中国汇率&amp;期货（vol）'!AI27</f>
      </c>
      <c r="AJ27" s="4">
        <f>'中国汇率&amp;期货（change）'!AJ27/'中国汇率&amp;期货（vol）'!AJ27</f>
      </c>
      <c r="AK27" s="4">
        <f>'中国汇率&amp;期货（change）'!AK27/'中国汇率&amp;期货（vol）'!AK27</f>
      </c>
      <c r="AL27" s="4">
        <f>'中国汇率&amp;期货（change）'!AL27/'中国汇率&amp;期货（vol）'!AL27</f>
      </c>
      <c r="AM27" s="4">
        <f>'中国汇率&amp;期货（change）'!AM27/'中国汇率&amp;期货（vol）'!AM27</f>
      </c>
      <c r="AN27" s="4">
        <f>'中国汇率&amp;期货（change）'!AN27/'中国汇率&amp;期货（vol）'!AN27</f>
      </c>
      <c r="AO27" s="4">
        <f>'中国汇率&amp;期货（change）'!AO27/'中国汇率&amp;期货（vol）'!AO27</f>
      </c>
      <c r="AP27" s="4">
        <f>'中国汇率&amp;期货（change）'!AP27/'中国汇率&amp;期货（vol）'!AP27</f>
      </c>
      <c r="AQ27" s="4">
        <f>'中国汇率&amp;期货（change）'!AQ27/'中国汇率&amp;期货（vol）'!AQ27</f>
      </c>
      <c r="AR27" s="4">
        <f>'中国汇率&amp;期货（change）'!AR27/'中国汇率&amp;期货（vol）'!AR27</f>
      </c>
      <c r="AS27" s="4">
        <f>'中国汇率&amp;期货（change）'!AS27/'中国汇率&amp;期货（vol）'!AS27</f>
      </c>
      <c r="AT27" s="4">
        <f>'中国汇率&amp;期货（change）'!AT27/'中国汇率&amp;期货（vol）'!AT27</f>
      </c>
      <c r="AU27" s="4">
        <f>'中国汇率&amp;期货（change）'!AU27/'中国汇率&amp;期货（vol）'!AU27</f>
      </c>
      <c r="AV27" s="4">
        <f>'中国汇率&amp;期货（change）'!AV27/'中国汇率&amp;期货（vol）'!AV27</f>
      </c>
      <c r="AW27" s="4">
        <f>'中国汇率&amp;期货（change）'!AW27/'中国汇率&amp;期货（vol）'!AW27</f>
      </c>
      <c r="AX27" s="4">
        <f>'中国汇率&amp;期货（change）'!AX27/'中国汇率&amp;期货（vol）'!AX27</f>
      </c>
      <c r="AY27" s="4">
        <f>'中国汇率&amp;期货（change）'!AY27/'中国汇率&amp;期货（vol）'!AY27</f>
      </c>
      <c r="AZ27" s="4">
        <f>'中国汇率&amp;期货（change）'!AZ27/'中国汇率&amp;期货（vol）'!AZ27</f>
      </c>
      <c r="BA27" s="4">
        <f>'中国汇率&amp;期货（change）'!BA27/'中国汇率&amp;期货（vol）'!BA27</f>
      </c>
      <c r="BB27" s="4">
        <f>'中国汇率&amp;期货（change）'!BB27/'中国汇率&amp;期货（vol）'!BB27</f>
      </c>
      <c r="BC27" s="4">
        <f>'中国汇率&amp;期货（change）'!BC27/'中国汇率&amp;期货（vol）'!BC27</f>
      </c>
      <c r="BD27" s="4">
        <f>'中国汇率&amp;期货（change）'!BD27/'中国汇率&amp;期货（vol）'!BD27</f>
      </c>
      <c r="BE27" s="4">
        <f>'中国汇率&amp;期货（change）'!BE27/'中国汇率&amp;期货（vol）'!BE27</f>
      </c>
    </row>
    <row x14ac:dyDescent="0.25" r="28" customHeight="1" ht="18.75">
      <c r="A28" s="1"/>
      <c r="B28" s="4">
        <f>'中国汇率&amp;期货（change）'!B28/'中国汇率&amp;期货（vol）'!B28</f>
      </c>
      <c r="C28" s="4">
        <f>'中国汇率&amp;期货（change）'!C28/'中国汇率&amp;期货（vol）'!C28</f>
      </c>
      <c r="D28" s="4">
        <f>'中国汇率&amp;期货（change）'!D28/'中国汇率&amp;期货（vol）'!D28</f>
      </c>
      <c r="E28" s="4">
        <f>'中国汇率&amp;期货（change）'!E28/'中国汇率&amp;期货（vol）'!E28</f>
      </c>
      <c r="F28" s="4">
        <f>'中国汇率&amp;期货（change）'!F28/'中国汇率&amp;期货（vol）'!F28</f>
      </c>
      <c r="G28" s="4">
        <f>'中国汇率&amp;期货（change）'!G28/'中国汇率&amp;期货（vol）'!G28</f>
      </c>
      <c r="H28" s="4">
        <f>'中国汇率&amp;期货（change）'!H28/'中国汇率&amp;期货（vol）'!H28</f>
      </c>
      <c r="I28" s="4">
        <f>'中国汇率&amp;期货（change）'!I28/'中国汇率&amp;期货（vol）'!I28</f>
      </c>
      <c r="J28" s="4">
        <f>'中国汇率&amp;期货（change）'!J28/'中国汇率&amp;期货（vol）'!J28</f>
      </c>
      <c r="K28" s="4">
        <f>'中国汇率&amp;期货（change）'!K28/'中国汇率&amp;期货（vol）'!K28</f>
      </c>
      <c r="L28" s="4">
        <f>'中国汇率&amp;期货（change）'!L28/'中国汇率&amp;期货（vol）'!L28</f>
      </c>
      <c r="M28" s="4">
        <f>'中国汇率&amp;期货（change）'!M28/'中国汇率&amp;期货（vol）'!M28</f>
      </c>
      <c r="N28" s="4">
        <f>'中国汇率&amp;期货（change）'!N28/'中国汇率&amp;期货（vol）'!N28</f>
      </c>
      <c r="O28" s="4">
        <f>'中国汇率&amp;期货（change）'!O28/'中国汇率&amp;期货（vol）'!O28</f>
      </c>
      <c r="P28" s="4">
        <f>'中国汇率&amp;期货（change）'!P28/'中国汇率&amp;期货（vol）'!P28</f>
      </c>
      <c r="Q28" s="4">
        <f>'中国汇率&amp;期货（change）'!Q28/'中国汇率&amp;期货（vol）'!Q28</f>
      </c>
      <c r="R28" s="4">
        <f>'中国汇率&amp;期货（change）'!R28/'中国汇率&amp;期货（vol）'!R28</f>
      </c>
      <c r="S28" s="4">
        <f>'中国汇率&amp;期货（change）'!S28/'中国汇率&amp;期货（vol）'!S28</f>
      </c>
      <c r="T28" s="4">
        <f>'中国汇率&amp;期货（change）'!T28/'中国汇率&amp;期货（vol）'!T28</f>
      </c>
      <c r="U28" s="4">
        <f>'中国汇率&amp;期货（change）'!U28/'中国汇率&amp;期货（vol）'!U28</f>
      </c>
      <c r="V28" s="4">
        <f>'中国汇率&amp;期货（change）'!V28/'中国汇率&amp;期货（vol）'!V28</f>
      </c>
      <c r="W28" s="4">
        <f>'中国汇率&amp;期货（change）'!W28/'中国汇率&amp;期货（vol）'!W28</f>
      </c>
      <c r="X28" s="4">
        <f>'中国汇率&amp;期货（change）'!X28/'中国汇率&amp;期货（vol）'!X28</f>
      </c>
      <c r="Y28" s="4">
        <f>'中国汇率&amp;期货（change）'!Y28/'中国汇率&amp;期货（vol）'!Y28</f>
      </c>
      <c r="Z28" s="4">
        <f>'中国汇率&amp;期货（change）'!Z28/'中国汇率&amp;期货（vol）'!Z28</f>
      </c>
      <c r="AA28" s="4">
        <f>'中国汇率&amp;期货（change）'!AA28/'中国汇率&amp;期货（vol）'!AA28</f>
      </c>
      <c r="AB28" s="4">
        <f>'中国汇率&amp;期货（change）'!AB28/'中国汇率&amp;期货（vol）'!AB28</f>
      </c>
      <c r="AC28" s="4">
        <f>'中国汇率&amp;期货（change）'!AC28/'中国汇率&amp;期货（vol）'!AC28</f>
      </c>
      <c r="AD28" s="4">
        <f>'中国汇率&amp;期货（change）'!AD28/'中国汇率&amp;期货（vol）'!AD28</f>
      </c>
      <c r="AE28" s="4">
        <f>'中国汇率&amp;期货（change）'!AE28/'中国汇率&amp;期货（vol）'!AE28</f>
      </c>
      <c r="AF28" s="4">
        <f>'中国汇率&amp;期货（change）'!AF28/'中国汇率&amp;期货（vol）'!AF28</f>
      </c>
      <c r="AG28" s="4">
        <f>'中国汇率&amp;期货（change）'!AG28/'中国汇率&amp;期货（vol）'!AG28</f>
      </c>
      <c r="AH28" s="4">
        <f>'中国汇率&amp;期货（change）'!AH28/'中国汇率&amp;期货（vol）'!AH28</f>
      </c>
      <c r="AI28" s="4">
        <f>'中国汇率&amp;期货（change）'!AI28/'中国汇率&amp;期货（vol）'!AI28</f>
      </c>
      <c r="AJ28" s="4">
        <f>'中国汇率&amp;期货（change）'!AJ28/'中国汇率&amp;期货（vol）'!AJ28</f>
      </c>
      <c r="AK28" s="4">
        <f>'中国汇率&amp;期货（change）'!AK28/'中国汇率&amp;期货（vol）'!AK28</f>
      </c>
      <c r="AL28" s="4">
        <f>'中国汇率&amp;期货（change）'!AL28/'中国汇率&amp;期货（vol）'!AL28</f>
      </c>
      <c r="AM28" s="4">
        <f>'中国汇率&amp;期货（change）'!AM28/'中国汇率&amp;期货（vol）'!AM28</f>
      </c>
      <c r="AN28" s="4">
        <f>'中国汇率&amp;期货（change）'!AN28/'中国汇率&amp;期货（vol）'!AN28</f>
      </c>
      <c r="AO28" s="4">
        <f>'中国汇率&amp;期货（change）'!AO28/'中国汇率&amp;期货（vol）'!AO28</f>
      </c>
      <c r="AP28" s="4">
        <f>'中国汇率&amp;期货（change）'!AP28/'中国汇率&amp;期货（vol）'!AP28</f>
      </c>
      <c r="AQ28" s="4">
        <f>'中国汇率&amp;期货（change）'!AQ28/'中国汇率&amp;期货（vol）'!AQ28</f>
      </c>
      <c r="AR28" s="4">
        <f>'中国汇率&amp;期货（change）'!AR28/'中国汇率&amp;期货（vol）'!AR28</f>
      </c>
      <c r="AS28" s="4">
        <f>'中国汇率&amp;期货（change）'!AS28/'中国汇率&amp;期货（vol）'!AS28</f>
      </c>
      <c r="AT28" s="4">
        <f>'中国汇率&amp;期货（change）'!AT28/'中国汇率&amp;期货（vol）'!AT28</f>
      </c>
      <c r="AU28" s="4">
        <f>'中国汇率&amp;期货（change）'!AU28/'中国汇率&amp;期货（vol）'!AU28</f>
      </c>
      <c r="AV28" s="4">
        <f>'中国汇率&amp;期货（change）'!AV28/'中国汇率&amp;期货（vol）'!AV28</f>
      </c>
      <c r="AW28" s="4">
        <f>'中国汇率&amp;期货（change）'!AW28/'中国汇率&amp;期货（vol）'!AW28</f>
      </c>
      <c r="AX28" s="4">
        <f>'中国汇率&amp;期货（change）'!AX28/'中国汇率&amp;期货（vol）'!AX28</f>
      </c>
      <c r="AY28" s="4">
        <f>'中国汇率&amp;期货（change）'!AY28/'中国汇率&amp;期货（vol）'!AY28</f>
      </c>
      <c r="AZ28" s="4">
        <f>'中国汇率&amp;期货（change）'!AZ28/'中国汇率&amp;期货（vol）'!AZ28</f>
      </c>
      <c r="BA28" s="4">
        <f>'中国汇率&amp;期货（change）'!BA28/'中国汇率&amp;期货（vol）'!BA28</f>
      </c>
      <c r="BB28" s="4">
        <f>'中国汇率&amp;期货（change）'!BB28/'中国汇率&amp;期货（vol）'!BB28</f>
      </c>
      <c r="BC28" s="4">
        <f>'中国汇率&amp;期货（change）'!BC28/'中国汇率&amp;期货（vol）'!BC28</f>
      </c>
      <c r="BD28" s="4">
        <f>'中国汇率&amp;期货（change）'!BD28/'中国汇率&amp;期货（vol）'!BD28</f>
      </c>
      <c r="BE28" s="4">
        <f>'中国汇率&amp;期货（change）'!BE28/'中国汇率&amp;期货（vol）'!BE28</f>
      </c>
    </row>
    <row x14ac:dyDescent="0.25" r="29" customHeight="1" ht="18.75">
      <c r="A29" s="1"/>
      <c r="B29" s="4">
        <f>'中国汇率&amp;期货（change）'!B29/'中国汇率&amp;期货（vol）'!B29</f>
      </c>
      <c r="C29" s="4">
        <f>'中国汇率&amp;期货（change）'!C29/'中国汇率&amp;期货（vol）'!C29</f>
      </c>
      <c r="D29" s="4">
        <f>'中国汇率&amp;期货（change）'!D29/'中国汇率&amp;期货（vol）'!D29</f>
      </c>
      <c r="E29" s="4">
        <f>'中国汇率&amp;期货（change）'!E29/'中国汇率&amp;期货（vol）'!E29</f>
      </c>
      <c r="F29" s="4">
        <f>'中国汇率&amp;期货（change）'!F29/'中国汇率&amp;期货（vol）'!F29</f>
      </c>
      <c r="G29" s="4">
        <f>'中国汇率&amp;期货（change）'!G29/'中国汇率&amp;期货（vol）'!G29</f>
      </c>
      <c r="H29" s="4">
        <f>'中国汇率&amp;期货（change）'!H29/'中国汇率&amp;期货（vol）'!H29</f>
      </c>
      <c r="I29" s="4">
        <f>'中国汇率&amp;期货（change）'!I29/'中国汇率&amp;期货（vol）'!I29</f>
      </c>
      <c r="J29" s="4">
        <f>'中国汇率&amp;期货（change）'!J29/'中国汇率&amp;期货（vol）'!J29</f>
      </c>
      <c r="K29" s="4">
        <f>'中国汇率&amp;期货（change）'!K29/'中国汇率&amp;期货（vol）'!K29</f>
      </c>
      <c r="L29" s="4">
        <f>'中国汇率&amp;期货（change）'!L29/'中国汇率&amp;期货（vol）'!L29</f>
      </c>
      <c r="M29" s="4">
        <f>'中国汇率&amp;期货（change）'!M29/'中国汇率&amp;期货（vol）'!M29</f>
      </c>
      <c r="N29" s="4">
        <f>'中国汇率&amp;期货（change）'!N29/'中国汇率&amp;期货（vol）'!N29</f>
      </c>
      <c r="O29" s="4">
        <f>'中国汇率&amp;期货（change）'!O29/'中国汇率&amp;期货（vol）'!O29</f>
      </c>
      <c r="P29" s="4">
        <f>'中国汇率&amp;期货（change）'!P29/'中国汇率&amp;期货（vol）'!P29</f>
      </c>
      <c r="Q29" s="4">
        <f>'中国汇率&amp;期货（change）'!Q29/'中国汇率&amp;期货（vol）'!Q29</f>
      </c>
      <c r="R29" s="4">
        <f>'中国汇率&amp;期货（change）'!R29/'中国汇率&amp;期货（vol）'!R29</f>
      </c>
      <c r="S29" s="4">
        <f>'中国汇率&amp;期货（change）'!S29/'中国汇率&amp;期货（vol）'!S29</f>
      </c>
      <c r="T29" s="4">
        <f>'中国汇率&amp;期货（change）'!T29/'中国汇率&amp;期货（vol）'!T29</f>
      </c>
      <c r="U29" s="4">
        <f>'中国汇率&amp;期货（change）'!U29/'中国汇率&amp;期货（vol）'!U29</f>
      </c>
      <c r="V29" s="4">
        <f>'中国汇率&amp;期货（change）'!V29/'中国汇率&amp;期货（vol）'!V29</f>
      </c>
      <c r="W29" s="4">
        <f>'中国汇率&amp;期货（change）'!W29/'中国汇率&amp;期货（vol）'!W29</f>
      </c>
      <c r="X29" s="4">
        <f>'中国汇率&amp;期货（change）'!X29/'中国汇率&amp;期货（vol）'!X29</f>
      </c>
      <c r="Y29" s="4">
        <f>'中国汇率&amp;期货（change）'!Y29/'中国汇率&amp;期货（vol）'!Y29</f>
      </c>
      <c r="Z29" s="4">
        <f>'中国汇率&amp;期货（change）'!Z29/'中国汇率&amp;期货（vol）'!Z29</f>
      </c>
      <c r="AA29" s="4">
        <f>'中国汇率&amp;期货（change）'!AA29/'中国汇率&amp;期货（vol）'!AA29</f>
      </c>
      <c r="AB29" s="4">
        <f>'中国汇率&amp;期货（change）'!AB29/'中国汇率&amp;期货（vol）'!AB29</f>
      </c>
      <c r="AC29" s="4">
        <f>'中国汇率&amp;期货（change）'!AC29/'中国汇率&amp;期货（vol）'!AC29</f>
      </c>
      <c r="AD29" s="4">
        <f>'中国汇率&amp;期货（change）'!AD29/'中国汇率&amp;期货（vol）'!AD29</f>
      </c>
      <c r="AE29" s="4">
        <f>'中国汇率&amp;期货（change）'!AE29/'中国汇率&amp;期货（vol）'!AE29</f>
      </c>
      <c r="AF29" s="4">
        <f>'中国汇率&amp;期货（change）'!AF29/'中国汇率&amp;期货（vol）'!AF29</f>
      </c>
      <c r="AG29" s="4">
        <f>'中国汇率&amp;期货（change）'!AG29/'中国汇率&amp;期货（vol）'!AG29</f>
      </c>
      <c r="AH29" s="4">
        <f>'中国汇率&amp;期货（change）'!AH29/'中国汇率&amp;期货（vol）'!AH29</f>
      </c>
      <c r="AI29" s="4">
        <f>'中国汇率&amp;期货（change）'!AI29/'中国汇率&amp;期货（vol）'!AI29</f>
      </c>
      <c r="AJ29" s="4">
        <f>'中国汇率&amp;期货（change）'!AJ29/'中国汇率&amp;期货（vol）'!AJ29</f>
      </c>
      <c r="AK29" s="4">
        <f>'中国汇率&amp;期货（change）'!AK29/'中国汇率&amp;期货（vol）'!AK29</f>
      </c>
      <c r="AL29" s="4">
        <f>'中国汇率&amp;期货（change）'!AL29/'中国汇率&amp;期货（vol）'!AL29</f>
      </c>
      <c r="AM29" s="4">
        <f>'中国汇率&amp;期货（change）'!AM29/'中国汇率&amp;期货（vol）'!AM29</f>
      </c>
      <c r="AN29" s="4">
        <f>'中国汇率&amp;期货（change）'!AN29/'中国汇率&amp;期货（vol）'!AN29</f>
      </c>
      <c r="AO29" s="4">
        <f>'中国汇率&amp;期货（change）'!AO29/'中国汇率&amp;期货（vol）'!AO29</f>
      </c>
      <c r="AP29" s="4">
        <f>'中国汇率&amp;期货（change）'!AP29/'中国汇率&amp;期货（vol）'!AP29</f>
      </c>
      <c r="AQ29" s="4">
        <f>'中国汇率&amp;期货（change）'!AQ29/'中国汇率&amp;期货（vol）'!AQ29</f>
      </c>
      <c r="AR29" s="4">
        <f>'中国汇率&amp;期货（change）'!AR29/'中国汇率&amp;期货（vol）'!AR29</f>
      </c>
      <c r="AS29" s="4">
        <f>'中国汇率&amp;期货（change）'!AS29/'中国汇率&amp;期货（vol）'!AS29</f>
      </c>
      <c r="AT29" s="4">
        <f>'中国汇率&amp;期货（change）'!AT29/'中国汇率&amp;期货（vol）'!AT29</f>
      </c>
      <c r="AU29" s="4">
        <f>'中国汇率&amp;期货（change）'!AU29/'中国汇率&amp;期货（vol）'!AU29</f>
      </c>
      <c r="AV29" s="4">
        <f>'中国汇率&amp;期货（change）'!AV29/'中国汇率&amp;期货（vol）'!AV29</f>
      </c>
      <c r="AW29" s="4">
        <f>'中国汇率&amp;期货（change）'!AW29/'中国汇率&amp;期货（vol）'!AW29</f>
      </c>
      <c r="AX29" s="4">
        <f>'中国汇率&amp;期货（change）'!AX29/'中国汇率&amp;期货（vol）'!AX29</f>
      </c>
      <c r="AY29" s="4">
        <f>'中国汇率&amp;期货（change）'!AY29/'中国汇率&amp;期货（vol）'!AY29</f>
      </c>
      <c r="AZ29" s="4">
        <f>'中国汇率&amp;期货（change）'!AZ29/'中国汇率&amp;期货（vol）'!AZ29</f>
      </c>
      <c r="BA29" s="4">
        <f>'中国汇率&amp;期货（change）'!BA29/'中国汇率&amp;期货（vol）'!BA29</f>
      </c>
      <c r="BB29" s="4">
        <f>'中国汇率&amp;期货（change）'!BB29/'中国汇率&amp;期货（vol）'!BB29</f>
      </c>
      <c r="BC29" s="4">
        <f>'中国汇率&amp;期货（change）'!BC29/'中国汇率&amp;期货（vol）'!BC29</f>
      </c>
      <c r="BD29" s="4">
        <f>'中国汇率&amp;期货（change）'!BD29/'中国汇率&amp;期货（vol）'!BD29</f>
      </c>
      <c r="BE29" s="4">
        <f>'中国汇率&amp;期货（change）'!BE29/'中国汇率&amp;期货（vol）'!BE29</f>
      </c>
    </row>
    <row x14ac:dyDescent="0.25" r="30" customHeight="1" ht="18.75">
      <c r="A30" s="1"/>
      <c r="B30" s="4">
        <f>'中国汇率&amp;期货（change）'!B30/'中国汇率&amp;期货（vol）'!B30</f>
      </c>
      <c r="C30" s="4">
        <f>'中国汇率&amp;期货（change）'!C30/'中国汇率&amp;期货（vol）'!C30</f>
      </c>
      <c r="D30" s="4">
        <f>'中国汇率&amp;期货（change）'!D30/'中国汇率&amp;期货（vol）'!D30</f>
      </c>
      <c r="E30" s="4">
        <f>'中国汇率&amp;期货（change）'!E30/'中国汇率&amp;期货（vol）'!E30</f>
      </c>
      <c r="F30" s="4">
        <f>'中国汇率&amp;期货（change）'!F30/'中国汇率&amp;期货（vol）'!F30</f>
      </c>
      <c r="G30" s="4">
        <f>'中国汇率&amp;期货（change）'!G30/'中国汇率&amp;期货（vol）'!G30</f>
      </c>
      <c r="H30" s="4">
        <f>'中国汇率&amp;期货（change）'!H30/'中国汇率&amp;期货（vol）'!H30</f>
      </c>
      <c r="I30" s="4">
        <f>'中国汇率&amp;期货（change）'!I30/'中国汇率&amp;期货（vol）'!I30</f>
      </c>
      <c r="J30" s="4">
        <f>'中国汇率&amp;期货（change）'!J30/'中国汇率&amp;期货（vol）'!J30</f>
      </c>
      <c r="K30" s="4">
        <f>'中国汇率&amp;期货（change）'!K30/'中国汇率&amp;期货（vol）'!K30</f>
      </c>
      <c r="L30" s="4">
        <f>'中国汇率&amp;期货（change）'!L30/'中国汇率&amp;期货（vol）'!L30</f>
      </c>
      <c r="M30" s="4">
        <f>'中国汇率&amp;期货（change）'!M30/'中国汇率&amp;期货（vol）'!M30</f>
      </c>
      <c r="N30" s="4">
        <f>'中国汇率&amp;期货（change）'!N30/'中国汇率&amp;期货（vol）'!N30</f>
      </c>
      <c r="O30" s="4">
        <f>'中国汇率&amp;期货（change）'!O30/'中国汇率&amp;期货（vol）'!O30</f>
      </c>
      <c r="P30" s="4">
        <f>'中国汇率&amp;期货（change）'!P30/'中国汇率&amp;期货（vol）'!P30</f>
      </c>
      <c r="Q30" s="4">
        <f>'中国汇率&amp;期货（change）'!Q30/'中国汇率&amp;期货（vol）'!Q30</f>
      </c>
      <c r="R30" s="4">
        <f>'中国汇率&amp;期货（change）'!R30/'中国汇率&amp;期货（vol）'!R30</f>
      </c>
      <c r="S30" s="4">
        <f>'中国汇率&amp;期货（change）'!S30/'中国汇率&amp;期货（vol）'!S30</f>
      </c>
      <c r="T30" s="4">
        <f>'中国汇率&amp;期货（change）'!T30/'中国汇率&amp;期货（vol）'!T30</f>
      </c>
      <c r="U30" s="4">
        <f>'中国汇率&amp;期货（change）'!U30/'中国汇率&amp;期货（vol）'!U30</f>
      </c>
      <c r="V30" s="4">
        <f>'中国汇率&amp;期货（change）'!V30/'中国汇率&amp;期货（vol）'!V30</f>
      </c>
      <c r="W30" s="4">
        <f>'中国汇率&amp;期货（change）'!W30/'中国汇率&amp;期货（vol）'!W30</f>
      </c>
      <c r="X30" s="4">
        <f>'中国汇率&amp;期货（change）'!X30/'中国汇率&amp;期货（vol）'!X30</f>
      </c>
      <c r="Y30" s="4">
        <f>'中国汇率&amp;期货（change）'!Y30/'中国汇率&amp;期货（vol）'!Y30</f>
      </c>
      <c r="Z30" s="4">
        <f>'中国汇率&amp;期货（change）'!Z30/'中国汇率&amp;期货（vol）'!Z30</f>
      </c>
      <c r="AA30" s="4">
        <f>'中国汇率&amp;期货（change）'!AA30/'中国汇率&amp;期货（vol）'!AA30</f>
      </c>
      <c r="AB30" s="4">
        <f>'中国汇率&amp;期货（change）'!AB30/'中国汇率&amp;期货（vol）'!AB30</f>
      </c>
      <c r="AC30" s="4">
        <f>'中国汇率&amp;期货（change）'!AC30/'中国汇率&amp;期货（vol）'!AC30</f>
      </c>
      <c r="AD30" s="4">
        <f>'中国汇率&amp;期货（change）'!AD30/'中国汇率&amp;期货（vol）'!AD30</f>
      </c>
      <c r="AE30" s="4">
        <f>'中国汇率&amp;期货（change）'!AE30/'中国汇率&amp;期货（vol）'!AE30</f>
      </c>
      <c r="AF30" s="4">
        <f>'中国汇率&amp;期货（change）'!AF30/'中国汇率&amp;期货（vol）'!AF30</f>
      </c>
      <c r="AG30" s="4">
        <f>'中国汇率&amp;期货（change）'!AG30/'中国汇率&amp;期货（vol）'!AG30</f>
      </c>
      <c r="AH30" s="4">
        <f>'中国汇率&amp;期货（change）'!AH30/'中国汇率&amp;期货（vol）'!AH30</f>
      </c>
      <c r="AI30" s="4">
        <f>'中国汇率&amp;期货（change）'!AI30/'中国汇率&amp;期货（vol）'!AI30</f>
      </c>
      <c r="AJ30" s="4">
        <f>'中国汇率&amp;期货（change）'!AJ30/'中国汇率&amp;期货（vol）'!AJ30</f>
      </c>
      <c r="AK30" s="4">
        <f>'中国汇率&amp;期货（change）'!AK30/'中国汇率&amp;期货（vol）'!AK30</f>
      </c>
      <c r="AL30" s="4">
        <f>'中国汇率&amp;期货（change）'!AL30/'中国汇率&amp;期货（vol）'!AL30</f>
      </c>
      <c r="AM30" s="4">
        <f>'中国汇率&amp;期货（change）'!AM30/'中国汇率&amp;期货（vol）'!AM30</f>
      </c>
      <c r="AN30" s="4">
        <f>'中国汇率&amp;期货（change）'!AN30/'中国汇率&amp;期货（vol）'!AN30</f>
      </c>
      <c r="AO30" s="4">
        <f>'中国汇率&amp;期货（change）'!AO30/'中国汇率&amp;期货（vol）'!AO30</f>
      </c>
      <c r="AP30" s="4">
        <f>'中国汇率&amp;期货（change）'!AP30/'中国汇率&amp;期货（vol）'!AP30</f>
      </c>
      <c r="AQ30" s="4">
        <f>'中国汇率&amp;期货（change）'!AQ30/'中国汇率&amp;期货（vol）'!AQ30</f>
      </c>
      <c r="AR30" s="4">
        <f>'中国汇率&amp;期货（change）'!AR30/'中国汇率&amp;期货（vol）'!AR30</f>
      </c>
      <c r="AS30" s="4">
        <f>'中国汇率&amp;期货（change）'!AS30/'中国汇率&amp;期货（vol）'!AS30</f>
      </c>
      <c r="AT30" s="4">
        <f>'中国汇率&amp;期货（change）'!AT30/'中国汇率&amp;期货（vol）'!AT30</f>
      </c>
      <c r="AU30" s="4">
        <f>'中国汇率&amp;期货（change）'!AU30/'中国汇率&amp;期货（vol）'!AU30</f>
      </c>
      <c r="AV30" s="4">
        <f>'中国汇率&amp;期货（change）'!AV30/'中国汇率&amp;期货（vol）'!AV30</f>
      </c>
      <c r="AW30" s="4">
        <f>'中国汇率&amp;期货（change）'!AW30/'中国汇率&amp;期货（vol）'!AW30</f>
      </c>
      <c r="AX30" s="4">
        <f>'中国汇率&amp;期货（change）'!AX30/'中国汇率&amp;期货（vol）'!AX30</f>
      </c>
      <c r="AY30" s="4">
        <f>'中国汇率&amp;期货（change）'!AY30/'中国汇率&amp;期货（vol）'!AY30</f>
      </c>
      <c r="AZ30" s="4">
        <f>'中国汇率&amp;期货（change）'!AZ30/'中国汇率&amp;期货（vol）'!AZ30</f>
      </c>
      <c r="BA30" s="4">
        <f>'中国汇率&amp;期货（change）'!BA30/'中国汇率&amp;期货（vol）'!BA30</f>
      </c>
      <c r="BB30" s="4">
        <f>'中国汇率&amp;期货（change）'!BB30/'中国汇率&amp;期货（vol）'!BB30</f>
      </c>
      <c r="BC30" s="4">
        <f>'中国汇率&amp;期货（change）'!BC30/'中国汇率&amp;期货（vol）'!BC30</f>
      </c>
      <c r="BD30" s="4">
        <f>'中国汇率&amp;期货（change）'!BD30/'中国汇率&amp;期货（vol）'!BD30</f>
      </c>
      <c r="BE30" s="4">
        <f>'中国汇率&amp;期货（change）'!BE30/'中国汇率&amp;期货（vol）'!BE30</f>
      </c>
    </row>
    <row x14ac:dyDescent="0.25" r="31" customHeight="1" ht="18.75">
      <c r="A31" s="1"/>
      <c r="B31" s="4">
        <f>'中国汇率&amp;期货（change）'!B31/'中国汇率&amp;期货（vol）'!B31</f>
      </c>
      <c r="C31" s="4">
        <f>'中国汇率&amp;期货（change）'!C31/'中国汇率&amp;期货（vol）'!C31</f>
      </c>
      <c r="D31" s="4">
        <f>'中国汇率&amp;期货（change）'!D31/'中国汇率&amp;期货（vol）'!D31</f>
      </c>
      <c r="E31" s="4">
        <f>'中国汇率&amp;期货（change）'!E31/'中国汇率&amp;期货（vol）'!E31</f>
      </c>
      <c r="F31" s="4">
        <f>'中国汇率&amp;期货（change）'!F31/'中国汇率&amp;期货（vol）'!F31</f>
      </c>
      <c r="G31" s="4">
        <f>'中国汇率&amp;期货（change）'!G31/'中国汇率&amp;期货（vol）'!G31</f>
      </c>
      <c r="H31" s="4">
        <f>'中国汇率&amp;期货（change）'!H31/'中国汇率&amp;期货（vol）'!H31</f>
      </c>
      <c r="I31" s="4">
        <f>'中国汇率&amp;期货（change）'!I31/'中国汇率&amp;期货（vol）'!I31</f>
      </c>
      <c r="J31" s="4">
        <f>'中国汇率&amp;期货（change）'!J31/'中国汇率&amp;期货（vol）'!J31</f>
      </c>
      <c r="K31" s="4">
        <f>'中国汇率&amp;期货（change）'!K31/'中国汇率&amp;期货（vol）'!K31</f>
      </c>
      <c r="L31" s="4">
        <f>'中国汇率&amp;期货（change）'!L31/'中国汇率&amp;期货（vol）'!L31</f>
      </c>
      <c r="M31" s="4">
        <f>'中国汇率&amp;期货（change）'!M31/'中国汇率&amp;期货（vol）'!M31</f>
      </c>
      <c r="N31" s="4">
        <f>'中国汇率&amp;期货（change）'!N31/'中国汇率&amp;期货（vol）'!N31</f>
      </c>
      <c r="O31" s="4">
        <f>'中国汇率&amp;期货（change）'!O31/'中国汇率&amp;期货（vol）'!O31</f>
      </c>
      <c r="P31" s="4">
        <f>'中国汇率&amp;期货（change）'!P31/'中国汇率&amp;期货（vol）'!P31</f>
      </c>
      <c r="Q31" s="4">
        <f>'中国汇率&amp;期货（change）'!Q31/'中国汇率&amp;期货（vol）'!Q31</f>
      </c>
      <c r="R31" s="4">
        <f>'中国汇率&amp;期货（change）'!R31/'中国汇率&amp;期货（vol）'!R31</f>
      </c>
      <c r="S31" s="4">
        <f>'中国汇率&amp;期货（change）'!S31/'中国汇率&amp;期货（vol）'!S31</f>
      </c>
      <c r="T31" s="4">
        <f>'中国汇率&amp;期货（change）'!T31/'中国汇率&amp;期货（vol）'!T31</f>
      </c>
      <c r="U31" s="4">
        <f>'中国汇率&amp;期货（change）'!U31/'中国汇率&amp;期货（vol）'!U31</f>
      </c>
      <c r="V31" s="4">
        <f>'中国汇率&amp;期货（change）'!V31/'中国汇率&amp;期货（vol）'!V31</f>
      </c>
      <c r="W31" s="4">
        <f>'中国汇率&amp;期货（change）'!W31/'中国汇率&amp;期货（vol）'!W31</f>
      </c>
      <c r="X31" s="4">
        <f>'中国汇率&amp;期货（change）'!X31/'中国汇率&amp;期货（vol）'!X31</f>
      </c>
      <c r="Y31" s="4">
        <f>'中国汇率&amp;期货（change）'!Y31/'中国汇率&amp;期货（vol）'!Y31</f>
      </c>
      <c r="Z31" s="4">
        <f>'中国汇率&amp;期货（change）'!Z31/'中国汇率&amp;期货（vol）'!Z31</f>
      </c>
      <c r="AA31" s="4">
        <f>'中国汇率&amp;期货（change）'!AA31/'中国汇率&amp;期货（vol）'!AA31</f>
      </c>
      <c r="AB31" s="4">
        <f>'中国汇率&amp;期货（change）'!AB31/'中国汇率&amp;期货（vol）'!AB31</f>
      </c>
      <c r="AC31" s="4">
        <f>'中国汇率&amp;期货（change）'!AC31/'中国汇率&amp;期货（vol）'!AC31</f>
      </c>
      <c r="AD31" s="4">
        <f>'中国汇率&amp;期货（change）'!AD31/'中国汇率&amp;期货（vol）'!AD31</f>
      </c>
      <c r="AE31" s="4">
        <f>'中国汇率&amp;期货（change）'!AE31/'中国汇率&amp;期货（vol）'!AE31</f>
      </c>
      <c r="AF31" s="4">
        <f>'中国汇率&amp;期货（change）'!AF31/'中国汇率&amp;期货（vol）'!AF31</f>
      </c>
      <c r="AG31" s="4">
        <f>'中国汇率&amp;期货（change）'!AG31/'中国汇率&amp;期货（vol）'!AG31</f>
      </c>
      <c r="AH31" s="4">
        <f>'中国汇率&amp;期货（change）'!AH31/'中国汇率&amp;期货（vol）'!AH31</f>
      </c>
      <c r="AI31" s="4">
        <f>'中国汇率&amp;期货（change）'!AI31/'中国汇率&amp;期货（vol）'!AI31</f>
      </c>
      <c r="AJ31" s="4">
        <f>'中国汇率&amp;期货（change）'!AJ31/'中国汇率&amp;期货（vol）'!AJ31</f>
      </c>
      <c r="AK31" s="4">
        <f>'中国汇率&amp;期货（change）'!AK31/'中国汇率&amp;期货（vol）'!AK31</f>
      </c>
      <c r="AL31" s="4">
        <f>'中国汇率&amp;期货（change）'!AL31/'中国汇率&amp;期货（vol）'!AL31</f>
      </c>
      <c r="AM31" s="4">
        <f>'中国汇率&amp;期货（change）'!AM31/'中国汇率&amp;期货（vol）'!AM31</f>
      </c>
      <c r="AN31" s="4">
        <f>'中国汇率&amp;期货（change）'!AN31/'中国汇率&amp;期货（vol）'!AN31</f>
      </c>
      <c r="AO31" s="4">
        <f>'中国汇率&amp;期货（change）'!AO31/'中国汇率&amp;期货（vol）'!AO31</f>
      </c>
      <c r="AP31" s="4">
        <f>'中国汇率&amp;期货（change）'!AP31/'中国汇率&amp;期货（vol）'!AP31</f>
      </c>
      <c r="AQ31" s="4">
        <f>'中国汇率&amp;期货（change）'!AQ31/'中国汇率&amp;期货（vol）'!AQ31</f>
      </c>
      <c r="AR31" s="4">
        <f>'中国汇率&amp;期货（change）'!AR31/'中国汇率&amp;期货（vol）'!AR31</f>
      </c>
      <c r="AS31" s="4">
        <f>'中国汇率&amp;期货（change）'!AS31/'中国汇率&amp;期货（vol）'!AS31</f>
      </c>
      <c r="AT31" s="4">
        <f>'中国汇率&amp;期货（change）'!AT31/'中国汇率&amp;期货（vol）'!AT31</f>
      </c>
      <c r="AU31" s="4">
        <f>'中国汇率&amp;期货（change）'!AU31/'中国汇率&amp;期货（vol）'!AU31</f>
      </c>
      <c r="AV31" s="4">
        <f>'中国汇率&amp;期货（change）'!AV31/'中国汇率&amp;期货（vol）'!AV31</f>
      </c>
      <c r="AW31" s="4">
        <f>'中国汇率&amp;期货（change）'!AW31/'中国汇率&amp;期货（vol）'!AW31</f>
      </c>
      <c r="AX31" s="4">
        <f>'中国汇率&amp;期货（change）'!AX31/'中国汇率&amp;期货（vol）'!AX31</f>
      </c>
      <c r="AY31" s="4">
        <f>'中国汇率&amp;期货（change）'!AY31/'中国汇率&amp;期货（vol）'!AY31</f>
      </c>
      <c r="AZ31" s="4">
        <f>'中国汇率&amp;期货（change）'!AZ31/'中国汇率&amp;期货（vol）'!AZ31</f>
      </c>
      <c r="BA31" s="4">
        <f>'中国汇率&amp;期货（change）'!BA31/'中国汇率&amp;期货（vol）'!BA31</f>
      </c>
      <c r="BB31" s="4">
        <f>'中国汇率&amp;期货（change）'!BB31/'中国汇率&amp;期货（vol）'!BB31</f>
      </c>
      <c r="BC31" s="4">
        <f>'中国汇率&amp;期货（change）'!BC31/'中国汇率&amp;期货（vol）'!BC31</f>
      </c>
      <c r="BD31" s="4">
        <f>'中国汇率&amp;期货（change）'!BD31/'中国汇率&amp;期货（vol）'!BD31</f>
      </c>
      <c r="BE31" s="4">
        <f>'中国汇率&amp;期货（change）'!BE31/'中国汇率&amp;期货（vol）'!BE31</f>
      </c>
    </row>
    <row x14ac:dyDescent="0.25" r="32" customHeight="1" ht="18.75">
      <c r="A32" s="1"/>
      <c r="B32" s="4">
        <f>'中国汇率&amp;期货（change）'!B32/'中国汇率&amp;期货（vol）'!B32</f>
      </c>
      <c r="C32" s="4">
        <f>'中国汇率&amp;期货（change）'!C32/'中国汇率&amp;期货（vol）'!C32</f>
      </c>
      <c r="D32" s="4">
        <f>'中国汇率&amp;期货（change）'!D32/'中国汇率&amp;期货（vol）'!D32</f>
      </c>
      <c r="E32" s="4">
        <f>'中国汇率&amp;期货（change）'!E32/'中国汇率&amp;期货（vol）'!E32</f>
      </c>
      <c r="F32" s="4">
        <f>'中国汇率&amp;期货（change）'!F32/'中国汇率&amp;期货（vol）'!F32</f>
      </c>
      <c r="G32" s="4">
        <f>'中国汇率&amp;期货（change）'!G32/'中国汇率&amp;期货（vol）'!G32</f>
      </c>
      <c r="H32" s="4">
        <f>'中国汇率&amp;期货（change）'!H32/'中国汇率&amp;期货（vol）'!H32</f>
      </c>
      <c r="I32" s="4">
        <f>'中国汇率&amp;期货（change）'!I32/'中国汇率&amp;期货（vol）'!I32</f>
      </c>
      <c r="J32" s="4">
        <f>'中国汇率&amp;期货（change）'!J32/'中国汇率&amp;期货（vol）'!J32</f>
      </c>
      <c r="K32" s="4">
        <f>'中国汇率&amp;期货（change）'!K32/'中国汇率&amp;期货（vol）'!K32</f>
      </c>
      <c r="L32" s="4">
        <f>'中国汇率&amp;期货（change）'!L32/'中国汇率&amp;期货（vol）'!L32</f>
      </c>
      <c r="M32" s="4">
        <f>'中国汇率&amp;期货（change）'!M32/'中国汇率&amp;期货（vol）'!M32</f>
      </c>
      <c r="N32" s="4">
        <f>'中国汇率&amp;期货（change）'!N32/'中国汇率&amp;期货（vol）'!N32</f>
      </c>
      <c r="O32" s="4">
        <f>'中国汇率&amp;期货（change）'!O32/'中国汇率&amp;期货（vol）'!O32</f>
      </c>
      <c r="P32" s="4">
        <f>'中国汇率&amp;期货（change）'!P32/'中国汇率&amp;期货（vol）'!P32</f>
      </c>
      <c r="Q32" s="4">
        <f>'中国汇率&amp;期货（change）'!Q32/'中国汇率&amp;期货（vol）'!Q32</f>
      </c>
      <c r="R32" s="4">
        <f>'中国汇率&amp;期货（change）'!R32/'中国汇率&amp;期货（vol）'!R32</f>
      </c>
      <c r="S32" s="4">
        <f>'中国汇率&amp;期货（change）'!S32/'中国汇率&amp;期货（vol）'!S32</f>
      </c>
      <c r="T32" s="4">
        <f>'中国汇率&amp;期货（change）'!T32/'中国汇率&amp;期货（vol）'!T32</f>
      </c>
      <c r="U32" s="4">
        <f>'中国汇率&amp;期货（change）'!U32/'中国汇率&amp;期货（vol）'!U32</f>
      </c>
      <c r="V32" s="4">
        <f>'中国汇率&amp;期货（change）'!V32/'中国汇率&amp;期货（vol）'!V32</f>
      </c>
      <c r="W32" s="4">
        <f>'中国汇率&amp;期货（change）'!W32/'中国汇率&amp;期货（vol）'!W32</f>
      </c>
      <c r="X32" s="4">
        <f>'中国汇率&amp;期货（change）'!X32/'中国汇率&amp;期货（vol）'!X32</f>
      </c>
      <c r="Y32" s="4">
        <f>'中国汇率&amp;期货（change）'!Y32/'中国汇率&amp;期货（vol）'!Y32</f>
      </c>
      <c r="Z32" s="4">
        <f>'中国汇率&amp;期货（change）'!Z32/'中国汇率&amp;期货（vol）'!Z32</f>
      </c>
      <c r="AA32" s="4">
        <f>'中国汇率&amp;期货（change）'!AA32/'中国汇率&amp;期货（vol）'!AA32</f>
      </c>
      <c r="AB32" s="4">
        <f>'中国汇率&amp;期货（change）'!AB32/'中国汇率&amp;期货（vol）'!AB32</f>
      </c>
      <c r="AC32" s="4">
        <f>'中国汇率&amp;期货（change）'!AC32/'中国汇率&amp;期货（vol）'!AC32</f>
      </c>
      <c r="AD32" s="4">
        <f>'中国汇率&amp;期货（change）'!AD32/'中国汇率&amp;期货（vol）'!AD32</f>
      </c>
      <c r="AE32" s="4">
        <f>'中国汇率&amp;期货（change）'!AE32/'中国汇率&amp;期货（vol）'!AE32</f>
      </c>
      <c r="AF32" s="4">
        <f>'中国汇率&amp;期货（change）'!AF32/'中国汇率&amp;期货（vol）'!AF32</f>
      </c>
      <c r="AG32" s="4">
        <f>'中国汇率&amp;期货（change）'!AG32/'中国汇率&amp;期货（vol）'!AG32</f>
      </c>
      <c r="AH32" s="4">
        <f>'中国汇率&amp;期货（change）'!AH32/'中国汇率&amp;期货（vol）'!AH32</f>
      </c>
      <c r="AI32" s="4">
        <f>'中国汇率&amp;期货（change）'!AI32/'中国汇率&amp;期货（vol）'!AI32</f>
      </c>
      <c r="AJ32" s="4">
        <f>'中国汇率&amp;期货（change）'!AJ32/'中国汇率&amp;期货（vol）'!AJ32</f>
      </c>
      <c r="AK32" s="4">
        <f>'中国汇率&amp;期货（change）'!AK32/'中国汇率&amp;期货（vol）'!AK32</f>
      </c>
      <c r="AL32" s="4">
        <f>'中国汇率&amp;期货（change）'!AL32/'中国汇率&amp;期货（vol）'!AL32</f>
      </c>
      <c r="AM32" s="4">
        <f>'中国汇率&amp;期货（change）'!AM32/'中国汇率&amp;期货（vol）'!AM32</f>
      </c>
      <c r="AN32" s="4">
        <f>'中国汇率&amp;期货（change）'!AN32/'中国汇率&amp;期货（vol）'!AN32</f>
      </c>
      <c r="AO32" s="4">
        <f>'中国汇率&amp;期货（change）'!AO32/'中国汇率&amp;期货（vol）'!AO32</f>
      </c>
      <c r="AP32" s="4">
        <f>'中国汇率&amp;期货（change）'!AP32/'中国汇率&amp;期货（vol）'!AP32</f>
      </c>
      <c r="AQ32" s="4">
        <f>'中国汇率&amp;期货（change）'!AQ32/'中国汇率&amp;期货（vol）'!AQ32</f>
      </c>
      <c r="AR32" s="4">
        <f>'中国汇率&amp;期货（change）'!AR32/'中国汇率&amp;期货（vol）'!AR32</f>
      </c>
      <c r="AS32" s="4">
        <f>'中国汇率&amp;期货（change）'!AS32/'中国汇率&amp;期货（vol）'!AS32</f>
      </c>
      <c r="AT32" s="4">
        <f>'中国汇率&amp;期货（change）'!AT32/'中国汇率&amp;期货（vol）'!AT32</f>
      </c>
      <c r="AU32" s="4">
        <f>'中国汇率&amp;期货（change）'!AU32/'中国汇率&amp;期货（vol）'!AU32</f>
      </c>
      <c r="AV32" s="4">
        <f>'中国汇率&amp;期货（change）'!AV32/'中国汇率&amp;期货（vol）'!AV32</f>
      </c>
      <c r="AW32" s="4">
        <f>'中国汇率&amp;期货（change）'!AW32/'中国汇率&amp;期货（vol）'!AW32</f>
      </c>
      <c r="AX32" s="4">
        <f>'中国汇率&amp;期货（change）'!AX32/'中国汇率&amp;期货（vol）'!AX32</f>
      </c>
      <c r="AY32" s="4">
        <f>'中国汇率&amp;期货（change）'!AY32/'中国汇率&amp;期货（vol）'!AY32</f>
      </c>
      <c r="AZ32" s="4">
        <f>'中国汇率&amp;期货（change）'!AZ32/'中国汇率&amp;期货（vol）'!AZ32</f>
      </c>
      <c r="BA32" s="4">
        <f>'中国汇率&amp;期货（change）'!BA32/'中国汇率&amp;期货（vol）'!BA32</f>
      </c>
      <c r="BB32" s="4">
        <f>'中国汇率&amp;期货（change）'!BB32/'中国汇率&amp;期货（vol）'!BB32</f>
      </c>
      <c r="BC32" s="4">
        <f>'中国汇率&amp;期货（change）'!BC32/'中国汇率&amp;期货（vol）'!BC32</f>
      </c>
      <c r="BD32" s="4">
        <f>'中国汇率&amp;期货（change）'!BD32/'中国汇率&amp;期货（vol）'!BD32</f>
      </c>
      <c r="BE32" s="4">
        <f>'中国汇率&amp;期货（change）'!BE32/'中国汇率&amp;期货（vol）'!BE32</f>
      </c>
    </row>
    <row x14ac:dyDescent="0.25" r="33" customHeight="1" ht="18.75">
      <c r="A33" s="1"/>
      <c r="B33" s="4">
        <f>'中国汇率&amp;期货（change）'!B33/'中国汇率&amp;期货（vol）'!B33</f>
      </c>
      <c r="C33" s="4">
        <f>'中国汇率&amp;期货（change）'!C33/'中国汇率&amp;期货（vol）'!C33</f>
      </c>
      <c r="D33" s="4">
        <f>'中国汇率&amp;期货（change）'!D33/'中国汇率&amp;期货（vol）'!D33</f>
      </c>
      <c r="E33" s="4">
        <f>'中国汇率&amp;期货（change）'!E33/'中国汇率&amp;期货（vol）'!E33</f>
      </c>
      <c r="F33" s="4">
        <f>'中国汇率&amp;期货（change）'!F33/'中国汇率&amp;期货（vol）'!F33</f>
      </c>
      <c r="G33" s="4">
        <f>'中国汇率&amp;期货（change）'!G33/'中国汇率&amp;期货（vol）'!G33</f>
      </c>
      <c r="H33" s="4">
        <f>'中国汇率&amp;期货（change）'!H33/'中国汇率&amp;期货（vol）'!H33</f>
      </c>
      <c r="I33" s="4">
        <f>'中国汇率&amp;期货（change）'!I33/'中国汇率&amp;期货（vol）'!I33</f>
      </c>
      <c r="J33" s="4">
        <f>'中国汇率&amp;期货（change）'!J33/'中国汇率&amp;期货（vol）'!J33</f>
      </c>
      <c r="K33" s="4">
        <f>'中国汇率&amp;期货（change）'!K33/'中国汇率&amp;期货（vol）'!K33</f>
      </c>
      <c r="L33" s="4">
        <f>'中国汇率&amp;期货（change）'!L33/'中国汇率&amp;期货（vol）'!L33</f>
      </c>
      <c r="M33" s="4">
        <f>'中国汇率&amp;期货（change）'!M33/'中国汇率&amp;期货（vol）'!M33</f>
      </c>
      <c r="N33" s="4">
        <f>'中国汇率&amp;期货（change）'!N33/'中国汇率&amp;期货（vol）'!N33</f>
      </c>
      <c r="O33" s="4">
        <f>'中国汇率&amp;期货（change）'!O33/'中国汇率&amp;期货（vol）'!O33</f>
      </c>
      <c r="P33" s="4">
        <f>'中国汇率&amp;期货（change）'!P33/'中国汇率&amp;期货（vol）'!P33</f>
      </c>
      <c r="Q33" s="4">
        <f>'中国汇率&amp;期货（change）'!Q33/'中国汇率&amp;期货（vol）'!Q33</f>
      </c>
      <c r="R33" s="4">
        <f>'中国汇率&amp;期货（change）'!R33/'中国汇率&amp;期货（vol）'!R33</f>
      </c>
      <c r="S33" s="4">
        <f>'中国汇率&amp;期货（change）'!S33/'中国汇率&amp;期货（vol）'!S33</f>
      </c>
      <c r="T33" s="4">
        <f>'中国汇率&amp;期货（change）'!T33/'中国汇率&amp;期货（vol）'!T33</f>
      </c>
      <c r="U33" s="4">
        <f>'中国汇率&amp;期货（change）'!U33/'中国汇率&amp;期货（vol）'!U33</f>
      </c>
      <c r="V33" s="4">
        <f>'中国汇率&amp;期货（change）'!V33/'中国汇率&amp;期货（vol）'!V33</f>
      </c>
      <c r="W33" s="4">
        <f>'中国汇率&amp;期货（change）'!W33/'中国汇率&amp;期货（vol）'!W33</f>
      </c>
      <c r="X33" s="4">
        <f>'中国汇率&amp;期货（change）'!X33/'中国汇率&amp;期货（vol）'!X33</f>
      </c>
      <c r="Y33" s="4">
        <f>'中国汇率&amp;期货（change）'!Y33/'中国汇率&amp;期货（vol）'!Y33</f>
      </c>
      <c r="Z33" s="4">
        <f>'中国汇率&amp;期货（change）'!Z33/'中国汇率&amp;期货（vol）'!Z33</f>
      </c>
      <c r="AA33" s="4">
        <f>'中国汇率&amp;期货（change）'!AA33/'中国汇率&amp;期货（vol）'!AA33</f>
      </c>
      <c r="AB33" s="4">
        <f>'中国汇率&amp;期货（change）'!AB33/'中国汇率&amp;期货（vol）'!AB33</f>
      </c>
      <c r="AC33" s="4">
        <f>'中国汇率&amp;期货（change）'!AC33/'中国汇率&amp;期货（vol）'!AC33</f>
      </c>
      <c r="AD33" s="4">
        <f>'中国汇率&amp;期货（change）'!AD33/'中国汇率&amp;期货（vol）'!AD33</f>
      </c>
      <c r="AE33" s="4">
        <f>'中国汇率&amp;期货（change）'!AE33/'中国汇率&amp;期货（vol）'!AE33</f>
      </c>
      <c r="AF33" s="4">
        <f>'中国汇率&amp;期货（change）'!AF33/'中国汇率&amp;期货（vol）'!AF33</f>
      </c>
      <c r="AG33" s="4">
        <f>'中国汇率&amp;期货（change）'!AG33/'中国汇率&amp;期货（vol）'!AG33</f>
      </c>
      <c r="AH33" s="4">
        <f>'中国汇率&amp;期货（change）'!AH33/'中国汇率&amp;期货（vol）'!AH33</f>
      </c>
      <c r="AI33" s="4">
        <f>'中国汇率&amp;期货（change）'!AI33/'中国汇率&amp;期货（vol）'!AI33</f>
      </c>
      <c r="AJ33" s="4">
        <f>'中国汇率&amp;期货（change）'!AJ33/'中国汇率&amp;期货（vol）'!AJ33</f>
      </c>
      <c r="AK33" s="4">
        <f>'中国汇率&amp;期货（change）'!AK33/'中国汇率&amp;期货（vol）'!AK33</f>
      </c>
      <c r="AL33" s="4">
        <f>'中国汇率&amp;期货（change）'!AL33/'中国汇率&amp;期货（vol）'!AL33</f>
      </c>
      <c r="AM33" s="4">
        <f>'中国汇率&amp;期货（change）'!AM33/'中国汇率&amp;期货（vol）'!AM33</f>
      </c>
      <c r="AN33" s="4">
        <f>'中国汇率&amp;期货（change）'!AN33/'中国汇率&amp;期货（vol）'!AN33</f>
      </c>
      <c r="AO33" s="4">
        <f>'中国汇率&amp;期货（change）'!AO33/'中国汇率&amp;期货（vol）'!AO33</f>
      </c>
      <c r="AP33" s="4">
        <f>'中国汇率&amp;期货（change）'!AP33/'中国汇率&amp;期货（vol）'!AP33</f>
      </c>
      <c r="AQ33" s="4">
        <f>'中国汇率&amp;期货（change）'!AQ33/'中国汇率&amp;期货（vol）'!AQ33</f>
      </c>
      <c r="AR33" s="4">
        <f>'中国汇率&amp;期货（change）'!AR33/'中国汇率&amp;期货（vol）'!AR33</f>
      </c>
      <c r="AS33" s="4">
        <f>'中国汇率&amp;期货（change）'!AS33/'中国汇率&amp;期货（vol）'!AS33</f>
      </c>
      <c r="AT33" s="4">
        <f>'中国汇率&amp;期货（change）'!AT33/'中国汇率&amp;期货（vol）'!AT33</f>
      </c>
      <c r="AU33" s="4">
        <f>'中国汇率&amp;期货（change）'!AU33/'中国汇率&amp;期货（vol）'!AU33</f>
      </c>
      <c r="AV33" s="4">
        <f>'中国汇率&amp;期货（change）'!AV33/'中国汇率&amp;期货（vol）'!AV33</f>
      </c>
      <c r="AW33" s="4">
        <f>'中国汇率&amp;期货（change）'!AW33/'中国汇率&amp;期货（vol）'!AW33</f>
      </c>
      <c r="AX33" s="4">
        <f>'中国汇率&amp;期货（change）'!AX33/'中国汇率&amp;期货（vol）'!AX33</f>
      </c>
      <c r="AY33" s="4">
        <f>'中国汇率&amp;期货（change）'!AY33/'中国汇率&amp;期货（vol）'!AY33</f>
      </c>
      <c r="AZ33" s="4">
        <f>'中国汇率&amp;期货（change）'!AZ33/'中国汇率&amp;期货（vol）'!AZ33</f>
      </c>
      <c r="BA33" s="4">
        <f>'中国汇率&amp;期货（change）'!BA33/'中国汇率&amp;期货（vol）'!BA33</f>
      </c>
      <c r="BB33" s="4">
        <f>'中国汇率&amp;期货（change）'!BB33/'中国汇率&amp;期货（vol）'!BB33</f>
      </c>
      <c r="BC33" s="4">
        <f>'中国汇率&amp;期货（change）'!BC33/'中国汇率&amp;期货（vol）'!BC33</f>
      </c>
      <c r="BD33" s="4">
        <f>'中国汇率&amp;期货（change）'!BD33/'中国汇率&amp;期货（vol）'!BD33</f>
      </c>
      <c r="BE33" s="4">
        <f>'中国汇率&amp;期货（change）'!BE33/'中国汇率&amp;期货（vol）'!BE33</f>
      </c>
    </row>
    <row x14ac:dyDescent="0.25" r="34" customHeight="1" ht="18.75">
      <c r="A34" s="1"/>
      <c r="B34" s="4">
        <f>'中国汇率&amp;期货（change）'!B34/'中国汇率&amp;期货（vol）'!B34</f>
      </c>
      <c r="C34" s="4">
        <f>'中国汇率&amp;期货（change）'!C34/'中国汇率&amp;期货（vol）'!C34</f>
      </c>
      <c r="D34" s="4">
        <f>'中国汇率&amp;期货（change）'!D34/'中国汇率&amp;期货（vol）'!D34</f>
      </c>
      <c r="E34" s="4">
        <f>'中国汇率&amp;期货（change）'!E34/'中国汇率&amp;期货（vol）'!E34</f>
      </c>
      <c r="F34" s="4">
        <f>'中国汇率&amp;期货（change）'!F34/'中国汇率&amp;期货（vol）'!F34</f>
      </c>
      <c r="G34" s="4">
        <f>'中国汇率&amp;期货（change）'!G34/'中国汇率&amp;期货（vol）'!G34</f>
      </c>
      <c r="H34" s="4">
        <f>'中国汇率&amp;期货（change）'!H34/'中国汇率&amp;期货（vol）'!H34</f>
      </c>
      <c r="I34" s="4">
        <f>'中国汇率&amp;期货（change）'!I34/'中国汇率&amp;期货（vol）'!I34</f>
      </c>
      <c r="J34" s="4">
        <f>'中国汇率&amp;期货（change）'!J34/'中国汇率&amp;期货（vol）'!J34</f>
      </c>
      <c r="K34" s="4">
        <f>'中国汇率&amp;期货（change）'!K34/'中国汇率&amp;期货（vol）'!K34</f>
      </c>
      <c r="L34" s="4">
        <f>'中国汇率&amp;期货（change）'!L34/'中国汇率&amp;期货（vol）'!L34</f>
      </c>
      <c r="M34" s="4">
        <f>'中国汇率&amp;期货（change）'!M34/'中国汇率&amp;期货（vol）'!M34</f>
      </c>
      <c r="N34" s="4">
        <f>'中国汇率&amp;期货（change）'!N34/'中国汇率&amp;期货（vol）'!N34</f>
      </c>
      <c r="O34" s="4">
        <f>'中国汇率&amp;期货（change）'!O34/'中国汇率&amp;期货（vol）'!O34</f>
      </c>
      <c r="P34" s="4">
        <f>'中国汇率&amp;期货（change）'!P34/'中国汇率&amp;期货（vol）'!P34</f>
      </c>
      <c r="Q34" s="4">
        <f>'中国汇率&amp;期货（change）'!Q34/'中国汇率&amp;期货（vol）'!Q34</f>
      </c>
      <c r="R34" s="4">
        <f>'中国汇率&amp;期货（change）'!R34/'中国汇率&amp;期货（vol）'!R34</f>
      </c>
      <c r="S34" s="4">
        <f>'中国汇率&amp;期货（change）'!S34/'中国汇率&amp;期货（vol）'!S34</f>
      </c>
      <c r="T34" s="4">
        <f>'中国汇率&amp;期货（change）'!T34/'中国汇率&amp;期货（vol）'!T34</f>
      </c>
      <c r="U34" s="4">
        <f>'中国汇率&amp;期货（change）'!U34/'中国汇率&amp;期货（vol）'!U34</f>
      </c>
      <c r="V34" s="4">
        <f>'中国汇率&amp;期货（change）'!V34/'中国汇率&amp;期货（vol）'!V34</f>
      </c>
      <c r="W34" s="4">
        <f>'中国汇率&amp;期货（change）'!W34/'中国汇率&amp;期货（vol）'!W34</f>
      </c>
      <c r="X34" s="4">
        <f>'中国汇率&amp;期货（change）'!X34/'中国汇率&amp;期货（vol）'!X34</f>
      </c>
      <c r="Y34" s="4">
        <f>'中国汇率&amp;期货（change）'!Y34/'中国汇率&amp;期货（vol）'!Y34</f>
      </c>
      <c r="Z34" s="4">
        <f>'中国汇率&amp;期货（change）'!Z34/'中国汇率&amp;期货（vol）'!Z34</f>
      </c>
      <c r="AA34" s="4">
        <f>'中国汇率&amp;期货（change）'!AA34/'中国汇率&amp;期货（vol）'!AA34</f>
      </c>
      <c r="AB34" s="4">
        <f>'中国汇率&amp;期货（change）'!AB34/'中国汇率&amp;期货（vol）'!AB34</f>
      </c>
      <c r="AC34" s="4">
        <f>'中国汇率&amp;期货（change）'!AC34/'中国汇率&amp;期货（vol）'!AC34</f>
      </c>
      <c r="AD34" s="4">
        <f>'中国汇率&amp;期货（change）'!AD34/'中国汇率&amp;期货（vol）'!AD34</f>
      </c>
      <c r="AE34" s="4">
        <f>'中国汇率&amp;期货（change）'!AE34/'中国汇率&amp;期货（vol）'!AE34</f>
      </c>
      <c r="AF34" s="4">
        <f>'中国汇率&amp;期货（change）'!AF34/'中国汇率&amp;期货（vol）'!AF34</f>
      </c>
      <c r="AG34" s="4">
        <f>'中国汇率&amp;期货（change）'!AG34/'中国汇率&amp;期货（vol）'!AG34</f>
      </c>
      <c r="AH34" s="4">
        <f>'中国汇率&amp;期货（change）'!AH34/'中国汇率&amp;期货（vol）'!AH34</f>
      </c>
      <c r="AI34" s="4">
        <f>'中国汇率&amp;期货（change）'!AI34/'中国汇率&amp;期货（vol）'!AI34</f>
      </c>
      <c r="AJ34" s="4">
        <f>'中国汇率&amp;期货（change）'!AJ34/'中国汇率&amp;期货（vol）'!AJ34</f>
      </c>
      <c r="AK34" s="4">
        <f>'中国汇率&amp;期货（change）'!AK34/'中国汇率&amp;期货（vol）'!AK34</f>
      </c>
      <c r="AL34" s="4">
        <f>'中国汇率&amp;期货（change）'!AL34/'中国汇率&amp;期货（vol）'!AL34</f>
      </c>
      <c r="AM34" s="4">
        <f>'中国汇率&amp;期货（change）'!AM34/'中国汇率&amp;期货（vol）'!AM34</f>
      </c>
      <c r="AN34" s="4">
        <f>'中国汇率&amp;期货（change）'!AN34/'中国汇率&amp;期货（vol）'!AN34</f>
      </c>
      <c r="AO34" s="4">
        <f>'中国汇率&amp;期货（change）'!AO34/'中国汇率&amp;期货（vol）'!AO34</f>
      </c>
      <c r="AP34" s="4">
        <f>'中国汇率&amp;期货（change）'!AP34/'中国汇率&amp;期货（vol）'!AP34</f>
      </c>
      <c r="AQ34" s="4">
        <f>'中国汇率&amp;期货（change）'!AQ34/'中国汇率&amp;期货（vol）'!AQ34</f>
      </c>
      <c r="AR34" s="4">
        <f>'中国汇率&amp;期货（change）'!AR34/'中国汇率&amp;期货（vol）'!AR34</f>
      </c>
      <c r="AS34" s="4">
        <f>'中国汇率&amp;期货（change）'!AS34/'中国汇率&amp;期货（vol）'!AS34</f>
      </c>
      <c r="AT34" s="4">
        <f>'中国汇率&amp;期货（change）'!AT34/'中国汇率&amp;期货（vol）'!AT34</f>
      </c>
      <c r="AU34" s="4">
        <f>'中国汇率&amp;期货（change）'!AU34/'中国汇率&amp;期货（vol）'!AU34</f>
      </c>
      <c r="AV34" s="4">
        <f>'中国汇率&amp;期货（change）'!AV34/'中国汇率&amp;期货（vol）'!AV34</f>
      </c>
      <c r="AW34" s="4">
        <f>'中国汇率&amp;期货（change）'!AW34/'中国汇率&amp;期货（vol）'!AW34</f>
      </c>
      <c r="AX34" s="4">
        <f>'中国汇率&amp;期货（change）'!AX34/'中国汇率&amp;期货（vol）'!AX34</f>
      </c>
      <c r="AY34" s="4">
        <f>'中国汇率&amp;期货（change）'!AY34/'中国汇率&amp;期货（vol）'!AY34</f>
      </c>
      <c r="AZ34" s="4">
        <f>'中国汇率&amp;期货（change）'!AZ34/'中国汇率&amp;期货（vol）'!AZ34</f>
      </c>
      <c r="BA34" s="4">
        <f>'中国汇率&amp;期货（change）'!BA34/'中国汇率&amp;期货（vol）'!BA34</f>
      </c>
      <c r="BB34" s="4">
        <f>'中国汇率&amp;期货（change）'!BB34/'中国汇率&amp;期货（vol）'!BB34</f>
      </c>
      <c r="BC34" s="4">
        <f>'中国汇率&amp;期货（change）'!BC34/'中国汇率&amp;期货（vol）'!BC34</f>
      </c>
      <c r="BD34" s="4">
        <f>'中国汇率&amp;期货（change）'!BD34/'中国汇率&amp;期货（vol）'!BD34</f>
      </c>
      <c r="BE34" s="4">
        <f>'中国汇率&amp;期货（change）'!BE34/'中国汇率&amp;期货（vol）'!BE34</f>
      </c>
    </row>
    <row x14ac:dyDescent="0.25" r="35" customHeight="1" ht="18.75">
      <c r="A35" s="1"/>
      <c r="B35" s="4">
        <f>'中国汇率&amp;期货（change）'!B35/'中国汇率&amp;期货（vol）'!B35</f>
      </c>
      <c r="C35" s="4">
        <f>'中国汇率&amp;期货（change）'!C35/'中国汇率&amp;期货（vol）'!C35</f>
      </c>
      <c r="D35" s="4">
        <f>'中国汇率&amp;期货（change）'!D35/'中国汇率&amp;期货（vol）'!D35</f>
      </c>
      <c r="E35" s="4">
        <f>'中国汇率&amp;期货（change）'!E35/'中国汇率&amp;期货（vol）'!E35</f>
      </c>
      <c r="F35" s="4">
        <f>'中国汇率&amp;期货（change）'!F35/'中国汇率&amp;期货（vol）'!F35</f>
      </c>
      <c r="G35" s="4">
        <f>'中国汇率&amp;期货（change）'!G35/'中国汇率&amp;期货（vol）'!G35</f>
      </c>
      <c r="H35" s="4">
        <f>'中国汇率&amp;期货（change）'!H35/'中国汇率&amp;期货（vol）'!H35</f>
      </c>
      <c r="I35" s="4">
        <f>'中国汇率&amp;期货（change）'!I35/'中国汇率&amp;期货（vol）'!I35</f>
      </c>
      <c r="J35" s="4">
        <f>'中国汇率&amp;期货（change）'!J35/'中国汇率&amp;期货（vol）'!J35</f>
      </c>
      <c r="K35" s="4">
        <f>'中国汇率&amp;期货（change）'!K35/'中国汇率&amp;期货（vol）'!K35</f>
      </c>
      <c r="L35" s="4">
        <f>'中国汇率&amp;期货（change）'!L35/'中国汇率&amp;期货（vol）'!L35</f>
      </c>
      <c r="M35" s="4">
        <f>'中国汇率&amp;期货（change）'!M35/'中国汇率&amp;期货（vol）'!M35</f>
      </c>
      <c r="N35" s="4">
        <f>'中国汇率&amp;期货（change）'!N35/'中国汇率&amp;期货（vol）'!N35</f>
      </c>
      <c r="O35" s="4">
        <f>'中国汇率&amp;期货（change）'!O35/'中国汇率&amp;期货（vol）'!O35</f>
      </c>
      <c r="P35" s="4">
        <f>'中国汇率&amp;期货（change）'!P35/'中国汇率&amp;期货（vol）'!P35</f>
      </c>
      <c r="Q35" s="4">
        <f>'中国汇率&amp;期货（change）'!Q35/'中国汇率&amp;期货（vol）'!Q35</f>
      </c>
      <c r="R35" s="4">
        <f>'中国汇率&amp;期货（change）'!R35/'中国汇率&amp;期货（vol）'!R35</f>
      </c>
      <c r="S35" s="4">
        <f>'中国汇率&amp;期货（change）'!S35/'中国汇率&amp;期货（vol）'!S35</f>
      </c>
      <c r="T35" s="4">
        <f>'中国汇率&amp;期货（change）'!T35/'中国汇率&amp;期货（vol）'!T35</f>
      </c>
      <c r="U35" s="4">
        <f>'中国汇率&amp;期货（change）'!U35/'中国汇率&amp;期货（vol）'!U35</f>
      </c>
      <c r="V35" s="4">
        <f>'中国汇率&amp;期货（change）'!V35/'中国汇率&amp;期货（vol）'!V35</f>
      </c>
      <c r="W35" s="4">
        <f>'中国汇率&amp;期货（change）'!W35/'中国汇率&amp;期货（vol）'!W35</f>
      </c>
      <c r="X35" s="4">
        <f>'中国汇率&amp;期货（change）'!X35/'中国汇率&amp;期货（vol）'!X35</f>
      </c>
      <c r="Y35" s="4">
        <f>'中国汇率&amp;期货（change）'!Y35/'中国汇率&amp;期货（vol）'!Y35</f>
      </c>
      <c r="Z35" s="4">
        <f>'中国汇率&amp;期货（change）'!Z35/'中国汇率&amp;期货（vol）'!Z35</f>
      </c>
      <c r="AA35" s="4">
        <f>'中国汇率&amp;期货（change）'!AA35/'中国汇率&amp;期货（vol）'!AA35</f>
      </c>
      <c r="AB35" s="4">
        <f>'中国汇率&amp;期货（change）'!AB35/'中国汇率&amp;期货（vol）'!AB35</f>
      </c>
      <c r="AC35" s="4">
        <f>'中国汇率&amp;期货（change）'!AC35/'中国汇率&amp;期货（vol）'!AC35</f>
      </c>
      <c r="AD35" s="4">
        <f>'中国汇率&amp;期货（change）'!AD35/'中国汇率&amp;期货（vol）'!AD35</f>
      </c>
      <c r="AE35" s="4">
        <f>'中国汇率&amp;期货（change）'!AE35/'中国汇率&amp;期货（vol）'!AE35</f>
      </c>
      <c r="AF35" s="4">
        <f>'中国汇率&amp;期货（change）'!AF35/'中国汇率&amp;期货（vol）'!AF35</f>
      </c>
      <c r="AG35" s="4">
        <f>'中国汇率&amp;期货（change）'!AG35/'中国汇率&amp;期货（vol）'!AG35</f>
      </c>
      <c r="AH35" s="4">
        <f>'中国汇率&amp;期货（change）'!AH35/'中国汇率&amp;期货（vol）'!AH35</f>
      </c>
      <c r="AI35" s="4">
        <f>'中国汇率&amp;期货（change）'!AI35/'中国汇率&amp;期货（vol）'!AI35</f>
      </c>
      <c r="AJ35" s="4">
        <f>'中国汇率&amp;期货（change）'!AJ35/'中国汇率&amp;期货（vol）'!AJ35</f>
      </c>
      <c r="AK35" s="4">
        <f>'中国汇率&amp;期货（change）'!AK35/'中国汇率&amp;期货（vol）'!AK35</f>
      </c>
      <c r="AL35" s="4">
        <f>'中国汇率&amp;期货（change）'!AL35/'中国汇率&amp;期货（vol）'!AL35</f>
      </c>
      <c r="AM35" s="4">
        <f>'中国汇率&amp;期货（change）'!AM35/'中国汇率&amp;期货（vol）'!AM35</f>
      </c>
      <c r="AN35" s="4">
        <f>'中国汇率&amp;期货（change）'!AN35/'中国汇率&amp;期货（vol）'!AN35</f>
      </c>
      <c r="AO35" s="4">
        <f>'中国汇率&amp;期货（change）'!AO35/'中国汇率&amp;期货（vol）'!AO35</f>
      </c>
      <c r="AP35" s="4">
        <f>'中国汇率&amp;期货（change）'!AP35/'中国汇率&amp;期货（vol）'!AP35</f>
      </c>
      <c r="AQ35" s="4">
        <f>'中国汇率&amp;期货（change）'!AQ35/'中国汇率&amp;期货（vol）'!AQ35</f>
      </c>
      <c r="AR35" s="4">
        <f>'中国汇率&amp;期货（change）'!AR35/'中国汇率&amp;期货（vol）'!AR35</f>
      </c>
      <c r="AS35" s="4">
        <f>'中国汇率&amp;期货（change）'!AS35/'中国汇率&amp;期货（vol）'!AS35</f>
      </c>
      <c r="AT35" s="4">
        <f>'中国汇率&amp;期货（change）'!AT35/'中国汇率&amp;期货（vol）'!AT35</f>
      </c>
      <c r="AU35" s="4">
        <f>'中国汇率&amp;期货（change）'!AU35/'中国汇率&amp;期货（vol）'!AU35</f>
      </c>
      <c r="AV35" s="4">
        <f>'中国汇率&amp;期货（change）'!AV35/'中国汇率&amp;期货（vol）'!AV35</f>
      </c>
      <c r="AW35" s="4">
        <f>'中国汇率&amp;期货（change）'!AW35/'中国汇率&amp;期货（vol）'!AW35</f>
      </c>
      <c r="AX35" s="4">
        <f>'中国汇率&amp;期货（change）'!AX35/'中国汇率&amp;期货（vol）'!AX35</f>
      </c>
      <c r="AY35" s="4">
        <f>'中国汇率&amp;期货（change）'!AY35/'中国汇率&amp;期货（vol）'!AY35</f>
      </c>
      <c r="AZ35" s="4">
        <f>'中国汇率&amp;期货（change）'!AZ35/'中国汇率&amp;期货（vol）'!AZ35</f>
      </c>
      <c r="BA35" s="4">
        <f>'中国汇率&amp;期货（change）'!BA35/'中国汇率&amp;期货（vol）'!BA35</f>
      </c>
      <c r="BB35" s="4">
        <f>'中国汇率&amp;期货（change）'!BB35/'中国汇率&amp;期货（vol）'!BB35</f>
      </c>
      <c r="BC35" s="4">
        <f>'中国汇率&amp;期货（change）'!BC35/'中国汇率&amp;期货（vol）'!BC35</f>
      </c>
      <c r="BD35" s="4">
        <f>'中国汇率&amp;期货（change）'!BD35/'中国汇率&amp;期货（vol）'!BD35</f>
      </c>
      <c r="BE35" s="4">
        <f>'中国汇率&amp;期货（change）'!BE35/'中国汇率&amp;期货（vol）'!BE35</f>
      </c>
    </row>
    <row x14ac:dyDescent="0.25" r="36" customHeight="1" ht="18.75">
      <c r="A36" s="1"/>
      <c r="B36" s="4">
        <f>'中国汇率&amp;期货（change）'!B36/'中国汇率&amp;期货（vol）'!B36</f>
      </c>
      <c r="C36" s="4">
        <f>'中国汇率&amp;期货（change）'!C36/'中国汇率&amp;期货（vol）'!C36</f>
      </c>
      <c r="D36" s="4">
        <f>'中国汇率&amp;期货（change）'!D36/'中国汇率&amp;期货（vol）'!D36</f>
      </c>
      <c r="E36" s="4">
        <f>'中国汇率&amp;期货（change）'!E36/'中国汇率&amp;期货（vol）'!E36</f>
      </c>
      <c r="F36" s="4">
        <f>'中国汇率&amp;期货（change）'!F36/'中国汇率&amp;期货（vol）'!F36</f>
      </c>
      <c r="G36" s="4">
        <f>'中国汇率&amp;期货（change）'!G36/'中国汇率&amp;期货（vol）'!G36</f>
      </c>
      <c r="H36" s="4">
        <f>'中国汇率&amp;期货（change）'!H36/'中国汇率&amp;期货（vol）'!H36</f>
      </c>
      <c r="I36" s="4">
        <f>'中国汇率&amp;期货（change）'!I36/'中国汇率&amp;期货（vol）'!I36</f>
      </c>
      <c r="J36" s="4">
        <f>'中国汇率&amp;期货（change）'!J36/'中国汇率&amp;期货（vol）'!J36</f>
      </c>
      <c r="K36" s="4">
        <f>'中国汇率&amp;期货（change）'!K36/'中国汇率&amp;期货（vol）'!K36</f>
      </c>
      <c r="L36" s="4">
        <f>'中国汇率&amp;期货（change）'!L36/'中国汇率&amp;期货（vol）'!L36</f>
      </c>
      <c r="M36" s="4">
        <f>'中国汇率&amp;期货（change）'!M36/'中国汇率&amp;期货（vol）'!M36</f>
      </c>
      <c r="N36" s="4">
        <f>'中国汇率&amp;期货（change）'!N36/'中国汇率&amp;期货（vol）'!N36</f>
      </c>
      <c r="O36" s="4">
        <f>'中国汇率&amp;期货（change）'!O36/'中国汇率&amp;期货（vol）'!O36</f>
      </c>
      <c r="P36" s="4">
        <f>'中国汇率&amp;期货（change）'!P36/'中国汇率&amp;期货（vol）'!P36</f>
      </c>
      <c r="Q36" s="4">
        <f>'中国汇率&amp;期货（change）'!Q36/'中国汇率&amp;期货（vol）'!Q36</f>
      </c>
      <c r="R36" s="4">
        <f>'中国汇率&amp;期货（change）'!R36/'中国汇率&amp;期货（vol）'!R36</f>
      </c>
      <c r="S36" s="4">
        <f>'中国汇率&amp;期货（change）'!S36/'中国汇率&amp;期货（vol）'!S36</f>
      </c>
      <c r="T36" s="4">
        <f>'中国汇率&amp;期货（change）'!T36/'中国汇率&amp;期货（vol）'!T36</f>
      </c>
      <c r="U36" s="4">
        <f>'中国汇率&amp;期货（change）'!U36/'中国汇率&amp;期货（vol）'!U36</f>
      </c>
      <c r="V36" s="4">
        <f>'中国汇率&amp;期货（change）'!V36/'中国汇率&amp;期货（vol）'!V36</f>
      </c>
      <c r="W36" s="4">
        <f>'中国汇率&amp;期货（change）'!W36/'中国汇率&amp;期货（vol）'!W36</f>
      </c>
      <c r="X36" s="4">
        <f>'中国汇率&amp;期货（change）'!X36/'中国汇率&amp;期货（vol）'!X36</f>
      </c>
      <c r="Y36" s="4">
        <f>'中国汇率&amp;期货（change）'!Y36/'中国汇率&amp;期货（vol）'!Y36</f>
      </c>
      <c r="Z36" s="4">
        <f>'中国汇率&amp;期货（change）'!Z36/'中国汇率&amp;期货（vol）'!Z36</f>
      </c>
      <c r="AA36" s="4">
        <f>'中国汇率&amp;期货（change）'!AA36/'中国汇率&amp;期货（vol）'!AA36</f>
      </c>
      <c r="AB36" s="4">
        <f>'中国汇率&amp;期货（change）'!AB36/'中国汇率&amp;期货（vol）'!AB36</f>
      </c>
      <c r="AC36" s="4">
        <f>'中国汇率&amp;期货（change）'!AC36/'中国汇率&amp;期货（vol）'!AC36</f>
      </c>
      <c r="AD36" s="4">
        <f>'中国汇率&amp;期货（change）'!AD36/'中国汇率&amp;期货（vol）'!AD36</f>
      </c>
      <c r="AE36" s="4">
        <f>'中国汇率&amp;期货（change）'!AE36/'中国汇率&amp;期货（vol）'!AE36</f>
      </c>
      <c r="AF36" s="4">
        <f>'中国汇率&amp;期货（change）'!AF36/'中国汇率&amp;期货（vol）'!AF36</f>
      </c>
      <c r="AG36" s="4">
        <f>'中国汇率&amp;期货（change）'!AG36/'中国汇率&amp;期货（vol）'!AG36</f>
      </c>
      <c r="AH36" s="4">
        <f>'中国汇率&amp;期货（change）'!AH36/'中国汇率&amp;期货（vol）'!AH36</f>
      </c>
      <c r="AI36" s="4">
        <f>'中国汇率&amp;期货（change）'!AI36/'中国汇率&amp;期货（vol）'!AI36</f>
      </c>
      <c r="AJ36" s="4">
        <f>'中国汇率&amp;期货（change）'!AJ36/'中国汇率&amp;期货（vol）'!AJ36</f>
      </c>
      <c r="AK36" s="4">
        <f>'中国汇率&amp;期货（change）'!AK36/'中国汇率&amp;期货（vol）'!AK36</f>
      </c>
      <c r="AL36" s="4">
        <f>'中国汇率&amp;期货（change）'!AL36/'中国汇率&amp;期货（vol）'!AL36</f>
      </c>
      <c r="AM36" s="4">
        <f>'中国汇率&amp;期货（change）'!AM36/'中国汇率&amp;期货（vol）'!AM36</f>
      </c>
      <c r="AN36" s="4">
        <f>'中国汇率&amp;期货（change）'!AN36/'中国汇率&amp;期货（vol）'!AN36</f>
      </c>
      <c r="AO36" s="4">
        <f>'中国汇率&amp;期货（change）'!AO36/'中国汇率&amp;期货（vol）'!AO36</f>
      </c>
      <c r="AP36" s="4">
        <f>'中国汇率&amp;期货（change）'!AP36/'中国汇率&amp;期货（vol）'!AP36</f>
      </c>
      <c r="AQ36" s="4">
        <f>'中国汇率&amp;期货（change）'!AQ36/'中国汇率&amp;期货（vol）'!AQ36</f>
      </c>
      <c r="AR36" s="4">
        <f>'中国汇率&amp;期货（change）'!AR36/'中国汇率&amp;期货（vol）'!AR36</f>
      </c>
      <c r="AS36" s="4">
        <f>'中国汇率&amp;期货（change）'!AS36/'中国汇率&amp;期货（vol）'!AS36</f>
      </c>
      <c r="AT36" s="4">
        <f>'中国汇率&amp;期货（change）'!AT36/'中国汇率&amp;期货（vol）'!AT36</f>
      </c>
      <c r="AU36" s="4">
        <f>'中国汇率&amp;期货（change）'!AU36/'中国汇率&amp;期货（vol）'!AU36</f>
      </c>
      <c r="AV36" s="4">
        <f>'中国汇率&amp;期货（change）'!AV36/'中国汇率&amp;期货（vol）'!AV36</f>
      </c>
      <c r="AW36" s="4">
        <f>'中国汇率&amp;期货（change）'!AW36/'中国汇率&amp;期货（vol）'!AW36</f>
      </c>
      <c r="AX36" s="4">
        <f>'中国汇率&amp;期货（change）'!AX36/'中国汇率&amp;期货（vol）'!AX36</f>
      </c>
      <c r="AY36" s="4">
        <f>'中国汇率&amp;期货（change）'!AY36/'中国汇率&amp;期货（vol）'!AY36</f>
      </c>
      <c r="AZ36" s="4">
        <f>'中国汇率&amp;期货（change）'!AZ36/'中国汇率&amp;期货（vol）'!AZ36</f>
      </c>
      <c r="BA36" s="4">
        <f>'中国汇率&amp;期货（change）'!BA36/'中国汇率&amp;期货（vol）'!BA36</f>
      </c>
      <c r="BB36" s="4">
        <f>'中国汇率&amp;期货（change）'!BB36/'中国汇率&amp;期货（vol）'!BB36</f>
      </c>
      <c r="BC36" s="4">
        <f>'中国汇率&amp;期货（change）'!BC36/'中国汇率&amp;期货（vol）'!BC36</f>
      </c>
      <c r="BD36" s="4">
        <f>'中国汇率&amp;期货（change）'!BD36/'中国汇率&amp;期货（vol）'!BD36</f>
      </c>
      <c r="BE36" s="4">
        <f>'中国汇率&amp;期货（change）'!BE36/'中国汇率&amp;期货（vol）'!BE36</f>
      </c>
    </row>
    <row x14ac:dyDescent="0.25" r="37" customHeight="1" ht="18.75">
      <c r="A37" s="1"/>
      <c r="B37" s="4">
        <f>'中国汇率&amp;期货（change）'!B37/'中国汇率&amp;期货（vol）'!B37</f>
      </c>
      <c r="C37" s="4">
        <f>'中国汇率&amp;期货（change）'!C37/'中国汇率&amp;期货（vol）'!C37</f>
      </c>
      <c r="D37" s="4">
        <f>'中国汇率&amp;期货（change）'!D37/'中国汇率&amp;期货（vol）'!D37</f>
      </c>
      <c r="E37" s="4">
        <f>'中国汇率&amp;期货（change）'!E37/'中国汇率&amp;期货（vol）'!E37</f>
      </c>
      <c r="F37" s="4">
        <f>'中国汇率&amp;期货（change）'!F37/'中国汇率&amp;期货（vol）'!F37</f>
      </c>
      <c r="G37" s="4">
        <f>'中国汇率&amp;期货（change）'!G37/'中国汇率&amp;期货（vol）'!G37</f>
      </c>
      <c r="H37" s="4">
        <f>'中国汇率&amp;期货（change）'!H37/'中国汇率&amp;期货（vol）'!H37</f>
      </c>
      <c r="I37" s="4">
        <f>'中国汇率&amp;期货（change）'!I37/'中国汇率&amp;期货（vol）'!I37</f>
      </c>
      <c r="J37" s="4">
        <f>'中国汇率&amp;期货（change）'!J37/'中国汇率&amp;期货（vol）'!J37</f>
      </c>
      <c r="K37" s="4">
        <f>'中国汇率&amp;期货（change）'!K37/'中国汇率&amp;期货（vol）'!K37</f>
      </c>
      <c r="L37" s="4">
        <f>'中国汇率&amp;期货（change）'!L37/'中国汇率&amp;期货（vol）'!L37</f>
      </c>
      <c r="M37" s="4">
        <f>'中国汇率&amp;期货（change）'!M37/'中国汇率&amp;期货（vol）'!M37</f>
      </c>
      <c r="N37" s="4">
        <f>'中国汇率&amp;期货（change）'!N37/'中国汇率&amp;期货（vol）'!N37</f>
      </c>
      <c r="O37" s="4">
        <f>'中国汇率&amp;期货（change）'!O37/'中国汇率&amp;期货（vol）'!O37</f>
      </c>
      <c r="P37" s="4">
        <f>'中国汇率&amp;期货（change）'!P37/'中国汇率&amp;期货（vol）'!P37</f>
      </c>
      <c r="Q37" s="4">
        <f>'中国汇率&amp;期货（change）'!Q37/'中国汇率&amp;期货（vol）'!Q37</f>
      </c>
      <c r="R37" s="4">
        <f>'中国汇率&amp;期货（change）'!R37/'中国汇率&amp;期货（vol）'!R37</f>
      </c>
      <c r="S37" s="4">
        <f>'中国汇率&amp;期货（change）'!S37/'中国汇率&amp;期货（vol）'!S37</f>
      </c>
      <c r="T37" s="4">
        <f>'中国汇率&amp;期货（change）'!T37/'中国汇率&amp;期货（vol）'!T37</f>
      </c>
      <c r="U37" s="4">
        <f>'中国汇率&amp;期货（change）'!U37/'中国汇率&amp;期货（vol）'!U37</f>
      </c>
      <c r="V37" s="4">
        <f>'中国汇率&amp;期货（change）'!V37/'中国汇率&amp;期货（vol）'!V37</f>
      </c>
      <c r="W37" s="4">
        <f>'中国汇率&amp;期货（change）'!W37/'中国汇率&amp;期货（vol）'!W37</f>
      </c>
      <c r="X37" s="4">
        <f>'中国汇率&amp;期货（change）'!X37/'中国汇率&amp;期货（vol）'!X37</f>
      </c>
      <c r="Y37" s="4">
        <f>'中国汇率&amp;期货（change）'!Y37/'中国汇率&amp;期货（vol）'!Y37</f>
      </c>
      <c r="Z37" s="4">
        <f>'中国汇率&amp;期货（change）'!Z37/'中国汇率&amp;期货（vol）'!Z37</f>
      </c>
      <c r="AA37" s="4">
        <f>'中国汇率&amp;期货（change）'!AA37/'中国汇率&amp;期货（vol）'!AA37</f>
      </c>
      <c r="AB37" s="4">
        <f>'中国汇率&amp;期货（change）'!AB37/'中国汇率&amp;期货（vol）'!AB37</f>
      </c>
      <c r="AC37" s="4">
        <f>'中国汇率&amp;期货（change）'!AC37/'中国汇率&amp;期货（vol）'!AC37</f>
      </c>
      <c r="AD37" s="4">
        <f>'中国汇率&amp;期货（change）'!AD37/'中国汇率&amp;期货（vol）'!AD37</f>
      </c>
      <c r="AE37" s="4">
        <f>'中国汇率&amp;期货（change）'!AE37/'中国汇率&amp;期货（vol）'!AE37</f>
      </c>
      <c r="AF37" s="4">
        <f>'中国汇率&amp;期货（change）'!AF37/'中国汇率&amp;期货（vol）'!AF37</f>
      </c>
      <c r="AG37" s="4">
        <f>'中国汇率&amp;期货（change）'!AG37/'中国汇率&amp;期货（vol）'!AG37</f>
      </c>
      <c r="AH37" s="4">
        <f>'中国汇率&amp;期货（change）'!AH37/'中国汇率&amp;期货（vol）'!AH37</f>
      </c>
      <c r="AI37" s="4">
        <f>'中国汇率&amp;期货（change）'!AI37/'中国汇率&amp;期货（vol）'!AI37</f>
      </c>
      <c r="AJ37" s="4">
        <f>'中国汇率&amp;期货（change）'!AJ37/'中国汇率&amp;期货（vol）'!AJ37</f>
      </c>
      <c r="AK37" s="4">
        <f>'中国汇率&amp;期货（change）'!AK37/'中国汇率&amp;期货（vol）'!AK37</f>
      </c>
      <c r="AL37" s="4">
        <f>'中国汇率&amp;期货（change）'!AL37/'中国汇率&amp;期货（vol）'!AL37</f>
      </c>
      <c r="AM37" s="4">
        <f>'中国汇率&amp;期货（change）'!AM37/'中国汇率&amp;期货（vol）'!AM37</f>
      </c>
      <c r="AN37" s="4">
        <f>'中国汇率&amp;期货（change）'!AN37/'中国汇率&amp;期货（vol）'!AN37</f>
      </c>
      <c r="AO37" s="4">
        <f>'中国汇率&amp;期货（change）'!AO37/'中国汇率&amp;期货（vol）'!AO37</f>
      </c>
      <c r="AP37" s="4">
        <f>'中国汇率&amp;期货（change）'!AP37/'中国汇率&amp;期货（vol）'!AP37</f>
      </c>
      <c r="AQ37" s="4">
        <f>'中国汇率&amp;期货（change）'!AQ37/'中国汇率&amp;期货（vol）'!AQ37</f>
      </c>
      <c r="AR37" s="4">
        <f>'中国汇率&amp;期货（change）'!AR37/'中国汇率&amp;期货（vol）'!AR37</f>
      </c>
      <c r="AS37" s="4">
        <f>'中国汇率&amp;期货（change）'!AS37/'中国汇率&amp;期货（vol）'!AS37</f>
      </c>
      <c r="AT37" s="4">
        <f>'中国汇率&amp;期货（change）'!AT37/'中国汇率&amp;期货（vol）'!AT37</f>
      </c>
      <c r="AU37" s="4">
        <f>'中国汇率&amp;期货（change）'!AU37/'中国汇率&amp;期货（vol）'!AU37</f>
      </c>
      <c r="AV37" s="4">
        <f>'中国汇率&amp;期货（change）'!AV37/'中国汇率&amp;期货（vol）'!AV37</f>
      </c>
      <c r="AW37" s="4">
        <f>'中国汇率&amp;期货（change）'!AW37/'中国汇率&amp;期货（vol）'!AW37</f>
      </c>
      <c r="AX37" s="4">
        <f>'中国汇率&amp;期货（change）'!AX37/'中国汇率&amp;期货（vol）'!AX37</f>
      </c>
      <c r="AY37" s="4">
        <f>'中国汇率&amp;期货（change）'!AY37/'中国汇率&amp;期货（vol）'!AY37</f>
      </c>
      <c r="AZ37" s="4">
        <f>'中国汇率&amp;期货（change）'!AZ37/'中国汇率&amp;期货（vol）'!AZ37</f>
      </c>
      <c r="BA37" s="4">
        <f>'中国汇率&amp;期货（change）'!BA37/'中国汇率&amp;期货（vol）'!BA37</f>
      </c>
      <c r="BB37" s="4">
        <f>'中国汇率&amp;期货（change）'!BB37/'中国汇率&amp;期货（vol）'!BB37</f>
      </c>
      <c r="BC37" s="4">
        <f>'中国汇率&amp;期货（change）'!BC37/'中国汇率&amp;期货（vol）'!BC37</f>
      </c>
      <c r="BD37" s="4">
        <f>'中国汇率&amp;期货（change）'!BD37/'中国汇率&amp;期货（vol）'!BD37</f>
      </c>
      <c r="BE37" s="4">
        <f>'中国汇率&amp;期货（change）'!BE37/'中国汇率&amp;期货（vol）'!BE37</f>
      </c>
    </row>
    <row x14ac:dyDescent="0.25" r="38" customHeight="1" ht="18.75">
      <c r="A38" s="1"/>
      <c r="B38" s="4">
        <f>'中国汇率&amp;期货（change）'!B38/'中国汇率&amp;期货（vol）'!B38</f>
      </c>
      <c r="C38" s="4">
        <f>'中国汇率&amp;期货（change）'!C38/'中国汇率&amp;期货（vol）'!C38</f>
      </c>
      <c r="D38" s="4">
        <f>'中国汇率&amp;期货（change）'!D38/'中国汇率&amp;期货（vol）'!D38</f>
      </c>
      <c r="E38" s="4">
        <f>'中国汇率&amp;期货（change）'!E38/'中国汇率&amp;期货（vol）'!E38</f>
      </c>
      <c r="F38" s="4">
        <f>'中国汇率&amp;期货（change）'!F38/'中国汇率&amp;期货（vol）'!F38</f>
      </c>
      <c r="G38" s="4">
        <f>'中国汇率&amp;期货（change）'!G38/'中国汇率&amp;期货（vol）'!G38</f>
      </c>
      <c r="H38" s="4">
        <f>'中国汇率&amp;期货（change）'!H38/'中国汇率&amp;期货（vol）'!H38</f>
      </c>
      <c r="I38" s="4">
        <f>'中国汇率&amp;期货（change）'!I38/'中国汇率&amp;期货（vol）'!I38</f>
      </c>
      <c r="J38" s="4">
        <f>'中国汇率&amp;期货（change）'!J38/'中国汇率&amp;期货（vol）'!J38</f>
      </c>
      <c r="K38" s="4">
        <f>'中国汇率&amp;期货（change）'!K38/'中国汇率&amp;期货（vol）'!K38</f>
      </c>
      <c r="L38" s="4">
        <f>'中国汇率&amp;期货（change）'!L38/'中国汇率&amp;期货（vol）'!L38</f>
      </c>
      <c r="M38" s="4">
        <f>'中国汇率&amp;期货（change）'!M38/'中国汇率&amp;期货（vol）'!M38</f>
      </c>
      <c r="N38" s="4">
        <f>'中国汇率&amp;期货（change）'!N38/'中国汇率&amp;期货（vol）'!N38</f>
      </c>
      <c r="O38" s="4">
        <f>'中国汇率&amp;期货（change）'!O38/'中国汇率&amp;期货（vol）'!O38</f>
      </c>
      <c r="P38" s="4">
        <f>'中国汇率&amp;期货（change）'!P38/'中国汇率&amp;期货（vol）'!P38</f>
      </c>
      <c r="Q38" s="4">
        <f>'中国汇率&amp;期货（change）'!Q38/'中国汇率&amp;期货（vol）'!Q38</f>
      </c>
      <c r="R38" s="4">
        <f>'中国汇率&amp;期货（change）'!R38/'中国汇率&amp;期货（vol）'!R38</f>
      </c>
      <c r="S38" s="4">
        <f>'中国汇率&amp;期货（change）'!S38/'中国汇率&amp;期货（vol）'!S38</f>
      </c>
      <c r="T38" s="4">
        <f>'中国汇率&amp;期货（change）'!T38/'中国汇率&amp;期货（vol）'!T38</f>
      </c>
      <c r="U38" s="4">
        <f>'中国汇率&amp;期货（change）'!U38/'中国汇率&amp;期货（vol）'!U38</f>
      </c>
      <c r="V38" s="4">
        <f>'中国汇率&amp;期货（change）'!V38/'中国汇率&amp;期货（vol）'!V38</f>
      </c>
      <c r="W38" s="4">
        <f>'中国汇率&amp;期货（change）'!W38/'中国汇率&amp;期货（vol）'!W38</f>
      </c>
      <c r="X38" s="4">
        <f>'中国汇率&amp;期货（change）'!X38/'中国汇率&amp;期货（vol）'!X38</f>
      </c>
      <c r="Y38" s="4">
        <f>'中国汇率&amp;期货（change）'!Y38/'中国汇率&amp;期货（vol）'!Y38</f>
      </c>
      <c r="Z38" s="4">
        <f>'中国汇率&amp;期货（change）'!Z38/'中国汇率&amp;期货（vol）'!Z38</f>
      </c>
      <c r="AA38" s="4">
        <f>'中国汇率&amp;期货（change）'!AA38/'中国汇率&amp;期货（vol）'!AA38</f>
      </c>
      <c r="AB38" s="4">
        <f>'中国汇率&amp;期货（change）'!AB38/'中国汇率&amp;期货（vol）'!AB38</f>
      </c>
      <c r="AC38" s="4">
        <f>'中国汇率&amp;期货（change）'!AC38/'中国汇率&amp;期货（vol）'!AC38</f>
      </c>
      <c r="AD38" s="4">
        <f>'中国汇率&amp;期货（change）'!AD38/'中国汇率&amp;期货（vol）'!AD38</f>
      </c>
      <c r="AE38" s="4">
        <f>'中国汇率&amp;期货（change）'!AE38/'中国汇率&amp;期货（vol）'!AE38</f>
      </c>
      <c r="AF38" s="4">
        <f>'中国汇率&amp;期货（change）'!AF38/'中国汇率&amp;期货（vol）'!AF38</f>
      </c>
      <c r="AG38" s="4">
        <f>'中国汇率&amp;期货（change）'!AG38/'中国汇率&amp;期货（vol）'!AG38</f>
      </c>
      <c r="AH38" s="4">
        <f>'中国汇率&amp;期货（change）'!AH38/'中国汇率&amp;期货（vol）'!AH38</f>
      </c>
      <c r="AI38" s="4">
        <f>'中国汇率&amp;期货（change）'!AI38/'中国汇率&amp;期货（vol）'!AI38</f>
      </c>
      <c r="AJ38" s="4">
        <f>'中国汇率&amp;期货（change）'!AJ38/'中国汇率&amp;期货（vol）'!AJ38</f>
      </c>
      <c r="AK38" s="4">
        <f>'中国汇率&amp;期货（change）'!AK38/'中国汇率&amp;期货（vol）'!AK38</f>
      </c>
      <c r="AL38" s="4">
        <f>'中国汇率&amp;期货（change）'!AL38/'中国汇率&amp;期货（vol）'!AL38</f>
      </c>
      <c r="AM38" s="4">
        <f>'中国汇率&amp;期货（change）'!AM38/'中国汇率&amp;期货（vol）'!AM38</f>
      </c>
      <c r="AN38" s="4">
        <f>'中国汇率&amp;期货（change）'!AN38/'中国汇率&amp;期货（vol）'!AN38</f>
      </c>
      <c r="AO38" s="4">
        <f>'中国汇率&amp;期货（change）'!AO38/'中国汇率&amp;期货（vol）'!AO38</f>
      </c>
      <c r="AP38" s="4">
        <f>'中国汇率&amp;期货（change）'!AP38/'中国汇率&amp;期货（vol）'!AP38</f>
      </c>
      <c r="AQ38" s="4">
        <f>'中国汇率&amp;期货（change）'!AQ38/'中国汇率&amp;期货（vol）'!AQ38</f>
      </c>
      <c r="AR38" s="4">
        <f>'中国汇率&amp;期货（change）'!AR38/'中国汇率&amp;期货（vol）'!AR38</f>
      </c>
      <c r="AS38" s="4">
        <f>'中国汇率&amp;期货（change）'!AS38/'中国汇率&amp;期货（vol）'!AS38</f>
      </c>
      <c r="AT38" s="4">
        <f>'中国汇率&amp;期货（change）'!AT38/'中国汇率&amp;期货（vol）'!AT38</f>
      </c>
      <c r="AU38" s="4">
        <f>'中国汇率&amp;期货（change）'!AU38/'中国汇率&amp;期货（vol）'!AU38</f>
      </c>
      <c r="AV38" s="4">
        <f>'中国汇率&amp;期货（change）'!AV38/'中国汇率&amp;期货（vol）'!AV38</f>
      </c>
      <c r="AW38" s="4">
        <f>'中国汇率&amp;期货（change）'!AW38/'中国汇率&amp;期货（vol）'!AW38</f>
      </c>
      <c r="AX38" s="4">
        <f>'中国汇率&amp;期货（change）'!AX38/'中国汇率&amp;期货（vol）'!AX38</f>
      </c>
      <c r="AY38" s="4">
        <f>'中国汇率&amp;期货（change）'!AY38/'中国汇率&amp;期货（vol）'!AY38</f>
      </c>
      <c r="AZ38" s="4">
        <f>'中国汇率&amp;期货（change）'!AZ38/'中国汇率&amp;期货（vol）'!AZ38</f>
      </c>
      <c r="BA38" s="4">
        <f>'中国汇率&amp;期货（change）'!BA38/'中国汇率&amp;期货（vol）'!BA38</f>
      </c>
      <c r="BB38" s="4">
        <f>'中国汇率&amp;期货（change）'!BB38/'中国汇率&amp;期货（vol）'!BB38</f>
      </c>
      <c r="BC38" s="4">
        <f>'中国汇率&amp;期货（change）'!BC38/'中国汇率&amp;期货（vol）'!BC38</f>
      </c>
      <c r="BD38" s="4">
        <f>'中国汇率&amp;期货（change）'!BD38/'中国汇率&amp;期货（vol）'!BD38</f>
      </c>
      <c r="BE38" s="4">
        <f>'中国汇率&amp;期货（change）'!BE38/'中国汇率&amp;期货（vol）'!BE38</f>
      </c>
    </row>
    <row x14ac:dyDescent="0.25" r="39" customHeight="1" ht="18.75">
      <c r="A39" s="1"/>
      <c r="B39" s="4">
        <f>'中国汇率&amp;期货（change）'!B39/'中国汇率&amp;期货（vol）'!B39</f>
      </c>
      <c r="C39" s="4">
        <f>'中国汇率&amp;期货（change）'!C39/'中国汇率&amp;期货（vol）'!C39</f>
      </c>
      <c r="D39" s="4">
        <f>'中国汇率&amp;期货（change）'!D39/'中国汇率&amp;期货（vol）'!D39</f>
      </c>
      <c r="E39" s="4">
        <f>'中国汇率&amp;期货（change）'!E39/'中国汇率&amp;期货（vol）'!E39</f>
      </c>
      <c r="F39" s="4">
        <f>'中国汇率&amp;期货（change）'!F39/'中国汇率&amp;期货（vol）'!F39</f>
      </c>
      <c r="G39" s="4">
        <f>'中国汇率&amp;期货（change）'!G39/'中国汇率&amp;期货（vol）'!G39</f>
      </c>
      <c r="H39" s="4">
        <f>'中国汇率&amp;期货（change）'!H39/'中国汇率&amp;期货（vol）'!H39</f>
      </c>
      <c r="I39" s="4">
        <f>'中国汇率&amp;期货（change）'!I39/'中国汇率&amp;期货（vol）'!I39</f>
      </c>
      <c r="J39" s="4">
        <f>'中国汇率&amp;期货（change）'!J39/'中国汇率&amp;期货（vol）'!J39</f>
      </c>
      <c r="K39" s="4">
        <f>'中国汇率&amp;期货（change）'!K39/'中国汇率&amp;期货（vol）'!K39</f>
      </c>
      <c r="L39" s="4">
        <f>'中国汇率&amp;期货（change）'!L39/'中国汇率&amp;期货（vol）'!L39</f>
      </c>
      <c r="M39" s="4">
        <f>'中国汇率&amp;期货（change）'!M39/'中国汇率&amp;期货（vol）'!M39</f>
      </c>
      <c r="N39" s="4">
        <f>'中国汇率&amp;期货（change）'!N39/'中国汇率&amp;期货（vol）'!N39</f>
      </c>
      <c r="O39" s="4">
        <f>'中国汇率&amp;期货（change）'!O39/'中国汇率&amp;期货（vol）'!O39</f>
      </c>
      <c r="P39" s="4">
        <f>'中国汇率&amp;期货（change）'!P39/'中国汇率&amp;期货（vol）'!P39</f>
      </c>
      <c r="Q39" s="4">
        <f>'中国汇率&amp;期货（change）'!Q39/'中国汇率&amp;期货（vol）'!Q39</f>
      </c>
      <c r="R39" s="4">
        <f>'中国汇率&amp;期货（change）'!R39/'中国汇率&amp;期货（vol）'!R39</f>
      </c>
      <c r="S39" s="4">
        <f>'中国汇率&amp;期货（change）'!S39/'中国汇率&amp;期货（vol）'!S39</f>
      </c>
      <c r="T39" s="4">
        <f>'中国汇率&amp;期货（change）'!T39/'中国汇率&amp;期货（vol）'!T39</f>
      </c>
      <c r="U39" s="4">
        <f>'中国汇率&amp;期货（change）'!U39/'中国汇率&amp;期货（vol）'!U39</f>
      </c>
      <c r="V39" s="4">
        <f>'中国汇率&amp;期货（change）'!V39/'中国汇率&amp;期货（vol）'!V39</f>
      </c>
      <c r="W39" s="4">
        <f>'中国汇率&amp;期货（change）'!W39/'中国汇率&amp;期货（vol）'!W39</f>
      </c>
      <c r="X39" s="4">
        <f>'中国汇率&amp;期货（change）'!X39/'中国汇率&amp;期货（vol）'!X39</f>
      </c>
      <c r="Y39" s="4">
        <f>'中国汇率&amp;期货（change）'!Y39/'中国汇率&amp;期货（vol）'!Y39</f>
      </c>
      <c r="Z39" s="4">
        <f>'中国汇率&amp;期货（change）'!Z39/'中国汇率&amp;期货（vol）'!Z39</f>
      </c>
      <c r="AA39" s="4">
        <f>'中国汇率&amp;期货（change）'!AA39/'中国汇率&amp;期货（vol）'!AA39</f>
      </c>
      <c r="AB39" s="4">
        <f>'中国汇率&amp;期货（change）'!AB39/'中国汇率&amp;期货（vol）'!AB39</f>
      </c>
      <c r="AC39" s="4">
        <f>'中国汇率&amp;期货（change）'!AC39/'中国汇率&amp;期货（vol）'!AC39</f>
      </c>
      <c r="AD39" s="4">
        <f>'中国汇率&amp;期货（change）'!AD39/'中国汇率&amp;期货（vol）'!AD39</f>
      </c>
      <c r="AE39" s="4">
        <f>'中国汇率&amp;期货（change）'!AE39/'中国汇率&amp;期货（vol）'!AE39</f>
      </c>
      <c r="AF39" s="4">
        <f>'中国汇率&amp;期货（change）'!AF39/'中国汇率&amp;期货（vol）'!AF39</f>
      </c>
      <c r="AG39" s="4">
        <f>'中国汇率&amp;期货（change）'!AG39/'中国汇率&amp;期货（vol）'!AG39</f>
      </c>
      <c r="AH39" s="4">
        <f>'中国汇率&amp;期货（change）'!AH39/'中国汇率&amp;期货（vol）'!AH39</f>
      </c>
      <c r="AI39" s="4">
        <f>'中国汇率&amp;期货（change）'!AI39/'中国汇率&amp;期货（vol）'!AI39</f>
      </c>
      <c r="AJ39" s="4">
        <f>'中国汇率&amp;期货（change）'!AJ39/'中国汇率&amp;期货（vol）'!AJ39</f>
      </c>
      <c r="AK39" s="4">
        <f>'中国汇率&amp;期货（change）'!AK39/'中国汇率&amp;期货（vol）'!AK39</f>
      </c>
      <c r="AL39" s="4">
        <f>'中国汇率&amp;期货（change）'!AL39/'中国汇率&amp;期货（vol）'!AL39</f>
      </c>
      <c r="AM39" s="4">
        <f>'中国汇率&amp;期货（change）'!AM39/'中国汇率&amp;期货（vol）'!AM39</f>
      </c>
      <c r="AN39" s="4">
        <f>'中国汇率&amp;期货（change）'!AN39/'中国汇率&amp;期货（vol）'!AN39</f>
      </c>
      <c r="AO39" s="4">
        <f>'中国汇率&amp;期货（change）'!AO39/'中国汇率&amp;期货（vol）'!AO39</f>
      </c>
      <c r="AP39" s="4">
        <f>'中国汇率&amp;期货（change）'!AP39/'中国汇率&amp;期货（vol）'!AP39</f>
      </c>
      <c r="AQ39" s="4">
        <f>'中国汇率&amp;期货（change）'!AQ39/'中国汇率&amp;期货（vol）'!AQ39</f>
      </c>
      <c r="AR39" s="4">
        <f>'中国汇率&amp;期货（change）'!AR39/'中国汇率&amp;期货（vol）'!AR39</f>
      </c>
      <c r="AS39" s="4">
        <f>'中国汇率&amp;期货（change）'!AS39/'中国汇率&amp;期货（vol）'!AS39</f>
      </c>
      <c r="AT39" s="4">
        <f>'中国汇率&amp;期货（change）'!AT39/'中国汇率&amp;期货（vol）'!AT39</f>
      </c>
      <c r="AU39" s="4">
        <f>'中国汇率&amp;期货（change）'!AU39/'中国汇率&amp;期货（vol）'!AU39</f>
      </c>
      <c r="AV39" s="4">
        <f>'中国汇率&amp;期货（change）'!AV39/'中国汇率&amp;期货（vol）'!AV39</f>
      </c>
      <c r="AW39" s="4">
        <f>'中国汇率&amp;期货（change）'!AW39/'中国汇率&amp;期货（vol）'!AW39</f>
      </c>
      <c r="AX39" s="4">
        <f>'中国汇率&amp;期货（change）'!AX39/'中国汇率&amp;期货（vol）'!AX39</f>
      </c>
      <c r="AY39" s="4">
        <f>'中国汇率&amp;期货（change）'!AY39/'中国汇率&amp;期货（vol）'!AY39</f>
      </c>
      <c r="AZ39" s="4">
        <f>'中国汇率&amp;期货（change）'!AZ39/'中国汇率&amp;期货（vol）'!AZ39</f>
      </c>
      <c r="BA39" s="4">
        <f>'中国汇率&amp;期货（change）'!BA39/'中国汇率&amp;期货（vol）'!BA39</f>
      </c>
      <c r="BB39" s="4">
        <f>'中国汇率&amp;期货（change）'!BB39/'中国汇率&amp;期货（vol）'!BB39</f>
      </c>
      <c r="BC39" s="4">
        <f>'中国汇率&amp;期货（change）'!BC39/'中国汇率&amp;期货（vol）'!BC39</f>
      </c>
      <c r="BD39" s="4">
        <f>'中国汇率&amp;期货（change）'!BD39/'中国汇率&amp;期货（vol）'!BD39</f>
      </c>
      <c r="BE39" s="4">
        <f>'中国汇率&amp;期货（change）'!BE39/'中国汇率&amp;期货（vol）'!BE39</f>
      </c>
    </row>
    <row x14ac:dyDescent="0.25" r="40" customHeight="1" ht="18.75">
      <c r="A40" s="1"/>
      <c r="B40" s="4">
        <f>'中国汇率&amp;期货（change）'!B40/'中国汇率&amp;期货（vol）'!B40</f>
      </c>
      <c r="C40" s="4">
        <f>'中国汇率&amp;期货（change）'!C40/'中国汇率&amp;期货（vol）'!C40</f>
      </c>
      <c r="D40" s="4">
        <f>'中国汇率&amp;期货（change）'!D40/'中国汇率&amp;期货（vol）'!D40</f>
      </c>
      <c r="E40" s="4">
        <f>'中国汇率&amp;期货（change）'!E40/'中国汇率&amp;期货（vol）'!E40</f>
      </c>
      <c r="F40" s="4">
        <f>'中国汇率&amp;期货（change）'!F40/'中国汇率&amp;期货（vol）'!F40</f>
      </c>
      <c r="G40" s="4">
        <f>'中国汇率&amp;期货（change）'!G40/'中国汇率&amp;期货（vol）'!G40</f>
      </c>
      <c r="H40" s="4">
        <f>'中国汇率&amp;期货（change）'!H40/'中国汇率&amp;期货（vol）'!H40</f>
      </c>
      <c r="I40" s="4">
        <f>'中国汇率&amp;期货（change）'!I40/'中国汇率&amp;期货（vol）'!I40</f>
      </c>
      <c r="J40" s="4">
        <f>'中国汇率&amp;期货（change）'!J40/'中国汇率&amp;期货（vol）'!J40</f>
      </c>
      <c r="K40" s="4">
        <f>'中国汇率&amp;期货（change）'!K40/'中国汇率&amp;期货（vol）'!K40</f>
      </c>
      <c r="L40" s="4">
        <f>'中国汇率&amp;期货（change）'!L40/'中国汇率&amp;期货（vol）'!L40</f>
      </c>
      <c r="M40" s="4">
        <f>'中国汇率&amp;期货（change）'!M40/'中国汇率&amp;期货（vol）'!M40</f>
      </c>
      <c r="N40" s="4">
        <f>'中国汇率&amp;期货（change）'!N40/'中国汇率&amp;期货（vol）'!N40</f>
      </c>
      <c r="O40" s="4">
        <f>'中国汇率&amp;期货（change）'!O40/'中国汇率&amp;期货（vol）'!O40</f>
      </c>
      <c r="P40" s="4">
        <f>'中国汇率&amp;期货（change）'!P40/'中国汇率&amp;期货（vol）'!P40</f>
      </c>
      <c r="Q40" s="4">
        <f>'中国汇率&amp;期货（change）'!Q40/'中国汇率&amp;期货（vol）'!Q40</f>
      </c>
      <c r="R40" s="4">
        <f>'中国汇率&amp;期货（change）'!R40/'中国汇率&amp;期货（vol）'!R40</f>
      </c>
      <c r="S40" s="4">
        <f>'中国汇率&amp;期货（change）'!S40/'中国汇率&amp;期货（vol）'!S40</f>
      </c>
      <c r="T40" s="4">
        <f>'中国汇率&amp;期货（change）'!T40/'中国汇率&amp;期货（vol）'!T40</f>
      </c>
      <c r="U40" s="4">
        <f>'中国汇率&amp;期货（change）'!U40/'中国汇率&amp;期货（vol）'!U40</f>
      </c>
      <c r="V40" s="4">
        <f>'中国汇率&amp;期货（change）'!V40/'中国汇率&amp;期货（vol）'!V40</f>
      </c>
      <c r="W40" s="4">
        <f>'中国汇率&amp;期货（change）'!W40/'中国汇率&amp;期货（vol）'!W40</f>
      </c>
      <c r="X40" s="4">
        <f>'中国汇率&amp;期货（change）'!X40/'中国汇率&amp;期货（vol）'!X40</f>
      </c>
      <c r="Y40" s="4">
        <f>'中国汇率&amp;期货（change）'!Y40/'中国汇率&amp;期货（vol）'!Y40</f>
      </c>
      <c r="Z40" s="4">
        <f>'中国汇率&amp;期货（change）'!Z40/'中国汇率&amp;期货（vol）'!Z40</f>
      </c>
      <c r="AA40" s="4">
        <f>'中国汇率&amp;期货（change）'!AA40/'中国汇率&amp;期货（vol）'!AA40</f>
      </c>
      <c r="AB40" s="4">
        <f>'中国汇率&amp;期货（change）'!AB40/'中国汇率&amp;期货（vol）'!AB40</f>
      </c>
      <c r="AC40" s="4">
        <f>'中国汇率&amp;期货（change）'!AC40/'中国汇率&amp;期货（vol）'!AC40</f>
      </c>
      <c r="AD40" s="4">
        <f>'中国汇率&amp;期货（change）'!AD40/'中国汇率&amp;期货（vol）'!AD40</f>
      </c>
      <c r="AE40" s="4">
        <f>'中国汇率&amp;期货（change）'!AE40/'中国汇率&amp;期货（vol）'!AE40</f>
      </c>
      <c r="AF40" s="4">
        <f>'中国汇率&amp;期货（change）'!AF40/'中国汇率&amp;期货（vol）'!AF40</f>
      </c>
      <c r="AG40" s="4">
        <f>'中国汇率&amp;期货（change）'!AG40/'中国汇率&amp;期货（vol）'!AG40</f>
      </c>
      <c r="AH40" s="4">
        <f>'中国汇率&amp;期货（change）'!AH40/'中国汇率&amp;期货（vol）'!AH40</f>
      </c>
      <c r="AI40" s="4">
        <f>'中国汇率&amp;期货（change）'!AI40/'中国汇率&amp;期货（vol）'!AI40</f>
      </c>
      <c r="AJ40" s="4">
        <f>'中国汇率&amp;期货（change）'!AJ40/'中国汇率&amp;期货（vol）'!AJ40</f>
      </c>
      <c r="AK40" s="4">
        <f>'中国汇率&amp;期货（change）'!AK40/'中国汇率&amp;期货（vol）'!AK40</f>
      </c>
      <c r="AL40" s="4">
        <f>'中国汇率&amp;期货（change）'!AL40/'中国汇率&amp;期货（vol）'!AL40</f>
      </c>
      <c r="AM40" s="4">
        <f>'中国汇率&amp;期货（change）'!AM40/'中国汇率&amp;期货（vol）'!AM40</f>
      </c>
      <c r="AN40" s="4">
        <f>'中国汇率&amp;期货（change）'!AN40/'中国汇率&amp;期货（vol）'!AN40</f>
      </c>
      <c r="AO40" s="4">
        <f>'中国汇率&amp;期货（change）'!AO40/'中国汇率&amp;期货（vol）'!AO40</f>
      </c>
      <c r="AP40" s="4">
        <f>'中国汇率&amp;期货（change）'!AP40/'中国汇率&amp;期货（vol）'!AP40</f>
      </c>
      <c r="AQ40" s="4">
        <f>'中国汇率&amp;期货（change）'!AQ40/'中国汇率&amp;期货（vol）'!AQ40</f>
      </c>
      <c r="AR40" s="4">
        <f>'中国汇率&amp;期货（change）'!AR40/'中国汇率&amp;期货（vol）'!AR40</f>
      </c>
      <c r="AS40" s="4">
        <f>'中国汇率&amp;期货（change）'!AS40/'中国汇率&amp;期货（vol）'!AS40</f>
      </c>
      <c r="AT40" s="4">
        <f>'中国汇率&amp;期货（change）'!AT40/'中国汇率&amp;期货（vol）'!AT40</f>
      </c>
      <c r="AU40" s="4">
        <f>'中国汇率&amp;期货（change）'!AU40/'中国汇率&amp;期货（vol）'!AU40</f>
      </c>
      <c r="AV40" s="4">
        <f>'中国汇率&amp;期货（change）'!AV40/'中国汇率&amp;期货（vol）'!AV40</f>
      </c>
      <c r="AW40" s="4">
        <f>'中国汇率&amp;期货（change）'!AW40/'中国汇率&amp;期货（vol）'!AW40</f>
      </c>
      <c r="AX40" s="4">
        <f>'中国汇率&amp;期货（change）'!AX40/'中国汇率&amp;期货（vol）'!AX40</f>
      </c>
      <c r="AY40" s="4">
        <f>'中国汇率&amp;期货（change）'!AY40/'中国汇率&amp;期货（vol）'!AY40</f>
      </c>
      <c r="AZ40" s="4">
        <f>'中国汇率&amp;期货（change）'!AZ40/'中国汇率&amp;期货（vol）'!AZ40</f>
      </c>
      <c r="BA40" s="4">
        <f>'中国汇率&amp;期货（change）'!BA40/'中国汇率&amp;期货（vol）'!BA40</f>
      </c>
      <c r="BB40" s="4">
        <f>'中国汇率&amp;期货（change）'!BB40/'中国汇率&amp;期货（vol）'!BB40</f>
      </c>
      <c r="BC40" s="4">
        <f>'中国汇率&amp;期货（change）'!BC40/'中国汇率&amp;期货（vol）'!BC40</f>
      </c>
      <c r="BD40" s="4">
        <f>'中国汇率&amp;期货（change）'!BD40/'中国汇率&amp;期货（vol）'!BD40</f>
      </c>
      <c r="BE40" s="4">
        <f>'中国汇率&amp;期货（change）'!BE40/'中国汇率&amp;期货（vol）'!BE40</f>
      </c>
    </row>
    <row x14ac:dyDescent="0.25" r="41" customHeight="1" ht="18.75">
      <c r="A41" s="1"/>
      <c r="B41" s="4">
        <f>'中国汇率&amp;期货（change）'!B41/'中国汇率&amp;期货（vol）'!B41</f>
      </c>
      <c r="C41" s="4">
        <f>'中国汇率&amp;期货（change）'!C41/'中国汇率&amp;期货（vol）'!C41</f>
      </c>
      <c r="D41" s="4">
        <f>'中国汇率&amp;期货（change）'!D41/'中国汇率&amp;期货（vol）'!D41</f>
      </c>
      <c r="E41" s="4">
        <f>'中国汇率&amp;期货（change）'!E41/'中国汇率&amp;期货（vol）'!E41</f>
      </c>
      <c r="F41" s="4">
        <f>'中国汇率&amp;期货（change）'!F41/'中国汇率&amp;期货（vol）'!F41</f>
      </c>
      <c r="G41" s="4">
        <f>'中国汇率&amp;期货（change）'!G41/'中国汇率&amp;期货（vol）'!G41</f>
      </c>
      <c r="H41" s="4">
        <f>'中国汇率&amp;期货（change）'!H41/'中国汇率&amp;期货（vol）'!H41</f>
      </c>
      <c r="I41" s="4">
        <f>'中国汇率&amp;期货（change）'!I41/'中国汇率&amp;期货（vol）'!I41</f>
      </c>
      <c r="J41" s="4">
        <f>'中国汇率&amp;期货（change）'!J41/'中国汇率&amp;期货（vol）'!J41</f>
      </c>
      <c r="K41" s="4">
        <f>'中国汇率&amp;期货（change）'!K41/'中国汇率&amp;期货（vol）'!K41</f>
      </c>
      <c r="L41" s="4">
        <f>'中国汇率&amp;期货（change）'!L41/'中国汇率&amp;期货（vol）'!L41</f>
      </c>
      <c r="M41" s="4">
        <f>'中国汇率&amp;期货（change）'!M41/'中国汇率&amp;期货（vol）'!M41</f>
      </c>
      <c r="N41" s="4">
        <f>'中国汇率&amp;期货（change）'!N41/'中国汇率&amp;期货（vol）'!N41</f>
      </c>
      <c r="O41" s="4">
        <f>'中国汇率&amp;期货（change）'!O41/'中国汇率&amp;期货（vol）'!O41</f>
      </c>
      <c r="P41" s="4">
        <f>'中国汇率&amp;期货（change）'!P41/'中国汇率&amp;期货（vol）'!P41</f>
      </c>
      <c r="Q41" s="4">
        <f>'中国汇率&amp;期货（change）'!Q41/'中国汇率&amp;期货（vol）'!Q41</f>
      </c>
      <c r="R41" s="4">
        <f>'中国汇率&amp;期货（change）'!R41/'中国汇率&amp;期货（vol）'!R41</f>
      </c>
      <c r="S41" s="4">
        <f>'中国汇率&amp;期货（change）'!S41/'中国汇率&amp;期货（vol）'!S41</f>
      </c>
      <c r="T41" s="4">
        <f>'中国汇率&amp;期货（change）'!T41/'中国汇率&amp;期货（vol）'!T41</f>
      </c>
      <c r="U41" s="4">
        <f>'中国汇率&amp;期货（change）'!U41/'中国汇率&amp;期货（vol）'!U41</f>
      </c>
      <c r="V41" s="4">
        <f>'中国汇率&amp;期货（change）'!V41/'中国汇率&amp;期货（vol）'!V41</f>
      </c>
      <c r="W41" s="4">
        <f>'中国汇率&amp;期货（change）'!W41/'中国汇率&amp;期货（vol）'!W41</f>
      </c>
      <c r="X41" s="4">
        <f>'中国汇率&amp;期货（change）'!X41/'中国汇率&amp;期货（vol）'!X41</f>
      </c>
      <c r="Y41" s="4">
        <f>'中国汇率&amp;期货（change）'!Y41/'中国汇率&amp;期货（vol）'!Y41</f>
      </c>
      <c r="Z41" s="4">
        <f>'中国汇率&amp;期货（change）'!Z41/'中国汇率&amp;期货（vol）'!Z41</f>
      </c>
      <c r="AA41" s="4">
        <f>'中国汇率&amp;期货（change）'!AA41/'中国汇率&amp;期货（vol）'!AA41</f>
      </c>
      <c r="AB41" s="4">
        <f>'中国汇率&amp;期货（change）'!AB41/'中国汇率&amp;期货（vol）'!AB41</f>
      </c>
      <c r="AC41" s="4">
        <f>'中国汇率&amp;期货（change）'!AC41/'中国汇率&amp;期货（vol）'!AC41</f>
      </c>
      <c r="AD41" s="4">
        <f>'中国汇率&amp;期货（change）'!AD41/'中国汇率&amp;期货（vol）'!AD41</f>
      </c>
      <c r="AE41" s="4">
        <f>'中国汇率&amp;期货（change）'!AE41/'中国汇率&amp;期货（vol）'!AE41</f>
      </c>
      <c r="AF41" s="4">
        <f>'中国汇率&amp;期货（change）'!AF41/'中国汇率&amp;期货（vol）'!AF41</f>
      </c>
      <c r="AG41" s="4">
        <f>'中国汇率&amp;期货（change）'!AG41/'中国汇率&amp;期货（vol）'!AG41</f>
      </c>
      <c r="AH41" s="4">
        <f>'中国汇率&amp;期货（change）'!AH41/'中国汇率&amp;期货（vol）'!AH41</f>
      </c>
      <c r="AI41" s="4">
        <f>'中国汇率&amp;期货（change）'!AI41/'中国汇率&amp;期货（vol）'!AI41</f>
      </c>
      <c r="AJ41" s="4">
        <f>'中国汇率&amp;期货（change）'!AJ41/'中国汇率&amp;期货（vol）'!AJ41</f>
      </c>
      <c r="AK41" s="4">
        <f>'中国汇率&amp;期货（change）'!AK41/'中国汇率&amp;期货（vol）'!AK41</f>
      </c>
      <c r="AL41" s="4">
        <f>'中国汇率&amp;期货（change）'!AL41/'中国汇率&amp;期货（vol）'!AL41</f>
      </c>
      <c r="AM41" s="4">
        <f>'中国汇率&amp;期货（change）'!AM41/'中国汇率&amp;期货（vol）'!AM41</f>
      </c>
      <c r="AN41" s="4">
        <f>'中国汇率&amp;期货（change）'!AN41/'中国汇率&amp;期货（vol）'!AN41</f>
      </c>
      <c r="AO41" s="4">
        <f>'中国汇率&amp;期货（change）'!AO41/'中国汇率&amp;期货（vol）'!AO41</f>
      </c>
      <c r="AP41" s="4">
        <f>'中国汇率&amp;期货（change）'!AP41/'中国汇率&amp;期货（vol）'!AP41</f>
      </c>
      <c r="AQ41" s="4">
        <f>'中国汇率&amp;期货（change）'!AQ41/'中国汇率&amp;期货（vol）'!AQ41</f>
      </c>
      <c r="AR41" s="4">
        <f>'中国汇率&amp;期货（change）'!AR41/'中国汇率&amp;期货（vol）'!AR41</f>
      </c>
      <c r="AS41" s="4">
        <f>'中国汇率&amp;期货（change）'!AS41/'中国汇率&amp;期货（vol）'!AS41</f>
      </c>
      <c r="AT41" s="4">
        <f>'中国汇率&amp;期货（change）'!AT41/'中国汇率&amp;期货（vol）'!AT41</f>
      </c>
      <c r="AU41" s="4">
        <f>'中国汇率&amp;期货（change）'!AU41/'中国汇率&amp;期货（vol）'!AU41</f>
      </c>
      <c r="AV41" s="4">
        <f>'中国汇率&amp;期货（change）'!AV41/'中国汇率&amp;期货（vol）'!AV41</f>
      </c>
      <c r="AW41" s="4">
        <f>'中国汇率&amp;期货（change）'!AW41/'中国汇率&amp;期货（vol）'!AW41</f>
      </c>
      <c r="AX41" s="4">
        <f>'中国汇率&amp;期货（change）'!AX41/'中国汇率&amp;期货（vol）'!AX41</f>
      </c>
      <c r="AY41" s="4">
        <f>'中国汇率&amp;期货（change）'!AY41/'中国汇率&amp;期货（vol）'!AY41</f>
      </c>
      <c r="AZ41" s="4">
        <f>'中国汇率&amp;期货（change）'!AZ41/'中国汇率&amp;期货（vol）'!AZ41</f>
      </c>
      <c r="BA41" s="4">
        <f>'中国汇率&amp;期货（change）'!BA41/'中国汇率&amp;期货（vol）'!BA41</f>
      </c>
      <c r="BB41" s="4">
        <f>'中国汇率&amp;期货（change）'!BB41/'中国汇率&amp;期货（vol）'!BB41</f>
      </c>
      <c r="BC41" s="4">
        <f>'中国汇率&amp;期货（change）'!BC41/'中国汇率&amp;期货（vol）'!BC41</f>
      </c>
      <c r="BD41" s="4">
        <f>'中国汇率&amp;期货（change）'!BD41/'中国汇率&amp;期货（vol）'!BD41</f>
      </c>
      <c r="BE41" s="4">
        <f>'中国汇率&amp;期货（change）'!BE41/'中国汇率&amp;期货（vol）'!BE41</f>
      </c>
    </row>
    <row x14ac:dyDescent="0.25" r="42" customHeight="1" ht="18.75">
      <c r="A42" s="1"/>
      <c r="B42" s="4">
        <f>'中国汇率&amp;期货（change）'!B42/'中国汇率&amp;期货（vol）'!B42</f>
      </c>
      <c r="C42" s="4">
        <f>'中国汇率&amp;期货（change）'!C42/'中国汇率&amp;期货（vol）'!C42</f>
      </c>
      <c r="D42" s="4">
        <f>'中国汇率&amp;期货（change）'!D42/'中国汇率&amp;期货（vol）'!D42</f>
      </c>
      <c r="E42" s="4">
        <f>'中国汇率&amp;期货（change）'!E42/'中国汇率&amp;期货（vol）'!E42</f>
      </c>
      <c r="F42" s="4">
        <f>'中国汇率&amp;期货（change）'!F42/'中国汇率&amp;期货（vol）'!F42</f>
      </c>
      <c r="G42" s="4">
        <f>'中国汇率&amp;期货（change）'!G42/'中国汇率&amp;期货（vol）'!G42</f>
      </c>
      <c r="H42" s="4">
        <f>'中国汇率&amp;期货（change）'!H42/'中国汇率&amp;期货（vol）'!H42</f>
      </c>
      <c r="I42" s="4">
        <f>'中国汇率&amp;期货（change）'!I42/'中国汇率&amp;期货（vol）'!I42</f>
      </c>
      <c r="J42" s="4">
        <f>'中国汇率&amp;期货（change）'!J42/'中国汇率&amp;期货（vol）'!J42</f>
      </c>
      <c r="K42" s="4">
        <f>'中国汇率&amp;期货（change）'!K42/'中国汇率&amp;期货（vol）'!K42</f>
      </c>
      <c r="L42" s="4">
        <f>'中国汇率&amp;期货（change）'!L42/'中国汇率&amp;期货（vol）'!L42</f>
      </c>
      <c r="M42" s="4">
        <f>'中国汇率&amp;期货（change）'!M42/'中国汇率&amp;期货（vol）'!M42</f>
      </c>
      <c r="N42" s="4">
        <f>'中国汇率&amp;期货（change）'!N42/'中国汇率&amp;期货（vol）'!N42</f>
      </c>
      <c r="O42" s="4">
        <f>'中国汇率&amp;期货（change）'!O42/'中国汇率&amp;期货（vol）'!O42</f>
      </c>
      <c r="P42" s="4">
        <f>'中国汇率&amp;期货（change）'!P42/'中国汇率&amp;期货（vol）'!P42</f>
      </c>
      <c r="Q42" s="4">
        <f>'中国汇率&amp;期货（change）'!Q42/'中国汇率&amp;期货（vol）'!Q42</f>
      </c>
      <c r="R42" s="4">
        <f>'中国汇率&amp;期货（change）'!R42/'中国汇率&amp;期货（vol）'!R42</f>
      </c>
      <c r="S42" s="4">
        <f>'中国汇率&amp;期货（change）'!S42/'中国汇率&amp;期货（vol）'!S42</f>
      </c>
      <c r="T42" s="4">
        <f>'中国汇率&amp;期货（change）'!T42/'中国汇率&amp;期货（vol）'!T42</f>
      </c>
      <c r="U42" s="4">
        <f>'中国汇率&amp;期货（change）'!U42/'中国汇率&amp;期货（vol）'!U42</f>
      </c>
      <c r="V42" s="4">
        <f>'中国汇率&amp;期货（change）'!V42/'中国汇率&amp;期货（vol）'!V42</f>
      </c>
      <c r="W42" s="4">
        <f>'中国汇率&amp;期货（change）'!W42/'中国汇率&amp;期货（vol）'!W42</f>
      </c>
      <c r="X42" s="4">
        <f>'中国汇率&amp;期货（change）'!X42/'中国汇率&amp;期货（vol）'!X42</f>
      </c>
      <c r="Y42" s="4">
        <f>'中国汇率&amp;期货（change）'!Y42/'中国汇率&amp;期货（vol）'!Y42</f>
      </c>
      <c r="Z42" s="4">
        <f>'中国汇率&amp;期货（change）'!Z42/'中国汇率&amp;期货（vol）'!Z42</f>
      </c>
      <c r="AA42" s="4">
        <f>'中国汇率&amp;期货（change）'!AA42/'中国汇率&amp;期货（vol）'!AA42</f>
      </c>
      <c r="AB42" s="4">
        <f>'中国汇率&amp;期货（change）'!AB42/'中国汇率&amp;期货（vol）'!AB42</f>
      </c>
      <c r="AC42" s="4">
        <f>'中国汇率&amp;期货（change）'!AC42/'中国汇率&amp;期货（vol）'!AC42</f>
      </c>
      <c r="AD42" s="4">
        <f>'中国汇率&amp;期货（change）'!AD42/'中国汇率&amp;期货（vol）'!AD42</f>
      </c>
      <c r="AE42" s="4">
        <f>'中国汇率&amp;期货（change）'!AE42/'中国汇率&amp;期货（vol）'!AE42</f>
      </c>
      <c r="AF42" s="4">
        <f>'中国汇率&amp;期货（change）'!AF42/'中国汇率&amp;期货（vol）'!AF42</f>
      </c>
      <c r="AG42" s="4">
        <f>'中国汇率&amp;期货（change）'!AG42/'中国汇率&amp;期货（vol）'!AG42</f>
      </c>
      <c r="AH42" s="4">
        <f>'中国汇率&amp;期货（change）'!AH42/'中国汇率&amp;期货（vol）'!AH42</f>
      </c>
      <c r="AI42" s="4">
        <f>'中国汇率&amp;期货（change）'!AI42/'中国汇率&amp;期货（vol）'!AI42</f>
      </c>
      <c r="AJ42" s="4">
        <f>'中国汇率&amp;期货（change）'!AJ42/'中国汇率&amp;期货（vol）'!AJ42</f>
      </c>
      <c r="AK42" s="4">
        <f>'中国汇率&amp;期货（change）'!AK42/'中国汇率&amp;期货（vol）'!AK42</f>
      </c>
      <c r="AL42" s="4">
        <f>'中国汇率&amp;期货（change）'!AL42/'中国汇率&amp;期货（vol）'!AL42</f>
      </c>
      <c r="AM42" s="4">
        <f>'中国汇率&amp;期货（change）'!AM42/'中国汇率&amp;期货（vol）'!AM42</f>
      </c>
      <c r="AN42" s="4">
        <f>'中国汇率&amp;期货（change）'!AN42/'中国汇率&amp;期货（vol）'!AN42</f>
      </c>
      <c r="AO42" s="4">
        <f>'中国汇率&amp;期货（change）'!AO42/'中国汇率&amp;期货（vol）'!AO42</f>
      </c>
      <c r="AP42" s="4">
        <f>'中国汇率&amp;期货（change）'!AP42/'中国汇率&amp;期货（vol）'!AP42</f>
      </c>
      <c r="AQ42" s="4">
        <f>'中国汇率&amp;期货（change）'!AQ42/'中国汇率&amp;期货（vol）'!AQ42</f>
      </c>
      <c r="AR42" s="4">
        <f>'中国汇率&amp;期货（change）'!AR42/'中国汇率&amp;期货（vol）'!AR42</f>
      </c>
      <c r="AS42" s="4">
        <f>'中国汇率&amp;期货（change）'!AS42/'中国汇率&amp;期货（vol）'!AS42</f>
      </c>
      <c r="AT42" s="4">
        <f>'中国汇率&amp;期货（change）'!AT42/'中国汇率&amp;期货（vol）'!AT42</f>
      </c>
      <c r="AU42" s="4">
        <f>'中国汇率&amp;期货（change）'!AU42/'中国汇率&amp;期货（vol）'!AU42</f>
      </c>
      <c r="AV42" s="4">
        <f>'中国汇率&amp;期货（change）'!AV42/'中国汇率&amp;期货（vol）'!AV42</f>
      </c>
      <c r="AW42" s="4">
        <f>'中国汇率&amp;期货（change）'!AW42/'中国汇率&amp;期货（vol）'!AW42</f>
      </c>
      <c r="AX42" s="4">
        <f>'中国汇率&amp;期货（change）'!AX42/'中国汇率&amp;期货（vol）'!AX42</f>
      </c>
      <c r="AY42" s="4">
        <f>'中国汇率&amp;期货（change）'!AY42/'中国汇率&amp;期货（vol）'!AY42</f>
      </c>
      <c r="AZ42" s="4">
        <f>'中国汇率&amp;期货（change）'!AZ42/'中国汇率&amp;期货（vol）'!AZ42</f>
      </c>
      <c r="BA42" s="4">
        <f>'中国汇率&amp;期货（change）'!BA42/'中国汇率&amp;期货（vol）'!BA42</f>
      </c>
      <c r="BB42" s="4">
        <f>'中国汇率&amp;期货（change）'!BB42/'中国汇率&amp;期货（vol）'!BB42</f>
      </c>
      <c r="BC42" s="4">
        <f>'中国汇率&amp;期货（change）'!BC42/'中国汇率&amp;期货（vol）'!BC42</f>
      </c>
      <c r="BD42" s="4">
        <f>'中国汇率&amp;期货（change）'!BD42/'中国汇率&amp;期货（vol）'!BD42</f>
      </c>
      <c r="BE42" s="4">
        <f>'中国汇率&amp;期货（change）'!BE42/'中国汇率&amp;期货（vol）'!BE42</f>
      </c>
    </row>
    <row x14ac:dyDescent="0.25" r="43" customHeight="1" ht="18.75">
      <c r="A43" s="1"/>
      <c r="B43" s="4">
        <f>'中国汇率&amp;期货（change）'!B43/'中国汇率&amp;期货（vol）'!B43</f>
      </c>
      <c r="C43" s="4">
        <f>'中国汇率&amp;期货（change）'!C43/'中国汇率&amp;期货（vol）'!C43</f>
      </c>
      <c r="D43" s="4">
        <f>'中国汇率&amp;期货（change）'!D43/'中国汇率&amp;期货（vol）'!D43</f>
      </c>
      <c r="E43" s="4">
        <f>'中国汇率&amp;期货（change）'!E43/'中国汇率&amp;期货（vol）'!E43</f>
      </c>
      <c r="F43" s="4">
        <f>'中国汇率&amp;期货（change）'!F43/'中国汇率&amp;期货（vol）'!F43</f>
      </c>
      <c r="G43" s="4">
        <f>'中国汇率&amp;期货（change）'!G43/'中国汇率&amp;期货（vol）'!G43</f>
      </c>
      <c r="H43" s="4">
        <f>'中国汇率&amp;期货（change）'!H43/'中国汇率&amp;期货（vol）'!H43</f>
      </c>
      <c r="I43" s="4">
        <f>'中国汇率&amp;期货（change）'!I43/'中国汇率&amp;期货（vol）'!I43</f>
      </c>
      <c r="J43" s="4">
        <f>'中国汇率&amp;期货（change）'!J43/'中国汇率&amp;期货（vol）'!J43</f>
      </c>
      <c r="K43" s="4">
        <f>'中国汇率&amp;期货（change）'!K43/'中国汇率&amp;期货（vol）'!K43</f>
      </c>
      <c r="L43" s="4">
        <f>'中国汇率&amp;期货（change）'!L43/'中国汇率&amp;期货（vol）'!L43</f>
      </c>
      <c r="M43" s="4">
        <f>'中国汇率&amp;期货（change）'!M43/'中国汇率&amp;期货（vol）'!M43</f>
      </c>
      <c r="N43" s="4">
        <f>'中国汇率&amp;期货（change）'!N43/'中国汇率&amp;期货（vol）'!N43</f>
      </c>
      <c r="O43" s="4">
        <f>'中国汇率&amp;期货（change）'!O43/'中国汇率&amp;期货（vol）'!O43</f>
      </c>
      <c r="P43" s="4">
        <f>'中国汇率&amp;期货（change）'!P43/'中国汇率&amp;期货（vol）'!P43</f>
      </c>
      <c r="Q43" s="4">
        <f>'中国汇率&amp;期货（change）'!Q43/'中国汇率&amp;期货（vol）'!Q43</f>
      </c>
      <c r="R43" s="4">
        <f>'中国汇率&amp;期货（change）'!R43/'中国汇率&amp;期货（vol）'!R43</f>
      </c>
      <c r="S43" s="4">
        <f>'中国汇率&amp;期货（change）'!S43/'中国汇率&amp;期货（vol）'!S43</f>
      </c>
      <c r="T43" s="4">
        <f>'中国汇率&amp;期货（change）'!T43/'中国汇率&amp;期货（vol）'!T43</f>
      </c>
      <c r="U43" s="4">
        <f>'中国汇率&amp;期货（change）'!U43/'中国汇率&amp;期货（vol）'!U43</f>
      </c>
      <c r="V43" s="4">
        <f>'中国汇率&amp;期货（change）'!V43/'中国汇率&amp;期货（vol）'!V43</f>
      </c>
      <c r="W43" s="4">
        <f>'中国汇率&amp;期货（change）'!W43/'中国汇率&amp;期货（vol）'!W43</f>
      </c>
      <c r="X43" s="4">
        <f>'中国汇率&amp;期货（change）'!X43/'中国汇率&amp;期货（vol）'!X43</f>
      </c>
      <c r="Y43" s="4">
        <f>'中国汇率&amp;期货（change）'!Y43/'中国汇率&amp;期货（vol）'!Y43</f>
      </c>
      <c r="Z43" s="4">
        <f>'中国汇率&amp;期货（change）'!Z43/'中国汇率&amp;期货（vol）'!Z43</f>
      </c>
      <c r="AA43" s="4">
        <f>'中国汇率&amp;期货（change）'!AA43/'中国汇率&amp;期货（vol）'!AA43</f>
      </c>
      <c r="AB43" s="4">
        <f>'中国汇率&amp;期货（change）'!AB43/'中国汇率&amp;期货（vol）'!AB43</f>
      </c>
      <c r="AC43" s="4">
        <f>'中国汇率&amp;期货（change）'!AC43/'中国汇率&amp;期货（vol）'!AC43</f>
      </c>
      <c r="AD43" s="4">
        <f>'中国汇率&amp;期货（change）'!AD43/'中国汇率&amp;期货（vol）'!AD43</f>
      </c>
      <c r="AE43" s="4">
        <f>'中国汇率&amp;期货（change）'!AE43/'中国汇率&amp;期货（vol）'!AE43</f>
      </c>
      <c r="AF43" s="4">
        <f>'中国汇率&amp;期货（change）'!AF43/'中国汇率&amp;期货（vol）'!AF43</f>
      </c>
      <c r="AG43" s="4">
        <f>'中国汇率&amp;期货（change）'!AG43/'中国汇率&amp;期货（vol）'!AG43</f>
      </c>
      <c r="AH43" s="4">
        <f>'中国汇率&amp;期货（change）'!AH43/'中国汇率&amp;期货（vol）'!AH43</f>
      </c>
      <c r="AI43" s="4">
        <f>'中国汇率&amp;期货（change）'!AI43/'中国汇率&amp;期货（vol）'!AI43</f>
      </c>
      <c r="AJ43" s="4">
        <f>'中国汇率&amp;期货（change）'!AJ43/'中国汇率&amp;期货（vol）'!AJ43</f>
      </c>
      <c r="AK43" s="4">
        <f>'中国汇率&amp;期货（change）'!AK43/'中国汇率&amp;期货（vol）'!AK43</f>
      </c>
      <c r="AL43" s="4">
        <f>'中国汇率&amp;期货（change）'!AL43/'中国汇率&amp;期货（vol）'!AL43</f>
      </c>
      <c r="AM43" s="4">
        <f>'中国汇率&amp;期货（change）'!AM43/'中国汇率&amp;期货（vol）'!AM43</f>
      </c>
      <c r="AN43" s="4">
        <f>'中国汇率&amp;期货（change）'!AN43/'中国汇率&amp;期货（vol）'!AN43</f>
      </c>
      <c r="AO43" s="4">
        <f>'中国汇率&amp;期货（change）'!AO43/'中国汇率&amp;期货（vol）'!AO43</f>
      </c>
      <c r="AP43" s="4">
        <f>'中国汇率&amp;期货（change）'!AP43/'中国汇率&amp;期货（vol）'!AP43</f>
      </c>
      <c r="AQ43" s="4">
        <f>'中国汇率&amp;期货（change）'!AQ43/'中国汇率&amp;期货（vol）'!AQ43</f>
      </c>
      <c r="AR43" s="4">
        <f>'中国汇率&amp;期货（change）'!AR43/'中国汇率&amp;期货（vol）'!AR43</f>
      </c>
      <c r="AS43" s="4">
        <f>'中国汇率&amp;期货（change）'!AS43/'中国汇率&amp;期货（vol）'!AS43</f>
      </c>
      <c r="AT43" s="4">
        <f>'中国汇率&amp;期货（change）'!AT43/'中国汇率&amp;期货（vol）'!AT43</f>
      </c>
      <c r="AU43" s="4">
        <f>'中国汇率&amp;期货（change）'!AU43/'中国汇率&amp;期货（vol）'!AU43</f>
      </c>
      <c r="AV43" s="4">
        <f>'中国汇率&amp;期货（change）'!AV43/'中国汇率&amp;期货（vol）'!AV43</f>
      </c>
      <c r="AW43" s="4">
        <f>'中国汇率&amp;期货（change）'!AW43/'中国汇率&amp;期货（vol）'!AW43</f>
      </c>
      <c r="AX43" s="4">
        <f>'中国汇率&amp;期货（change）'!AX43/'中国汇率&amp;期货（vol）'!AX43</f>
      </c>
      <c r="AY43" s="4">
        <f>'中国汇率&amp;期货（change）'!AY43/'中国汇率&amp;期货（vol）'!AY43</f>
      </c>
      <c r="AZ43" s="4">
        <f>'中国汇率&amp;期货（change）'!AZ43/'中国汇率&amp;期货（vol）'!AZ43</f>
      </c>
      <c r="BA43" s="4">
        <f>'中国汇率&amp;期货（change）'!BA43/'中国汇率&amp;期货（vol）'!BA43</f>
      </c>
      <c r="BB43" s="4">
        <f>'中国汇率&amp;期货（change）'!BB43/'中国汇率&amp;期货（vol）'!BB43</f>
      </c>
      <c r="BC43" s="4">
        <f>'中国汇率&amp;期货（change）'!BC43/'中国汇率&amp;期货（vol）'!BC43</f>
      </c>
      <c r="BD43" s="4">
        <f>'中国汇率&amp;期货（change）'!BD43/'中国汇率&amp;期货（vol）'!BD43</f>
      </c>
      <c r="BE43" s="4">
        <f>'中国汇率&amp;期货（change）'!BE43/'中国汇率&amp;期货（vol）'!BE43</f>
      </c>
    </row>
    <row x14ac:dyDescent="0.25" r="44" customHeight="1" ht="18.75">
      <c r="A44" s="1"/>
      <c r="B44" s="4">
        <f>'中国汇率&amp;期货（change）'!B44/'中国汇率&amp;期货（vol）'!B44</f>
      </c>
      <c r="C44" s="4">
        <f>'中国汇率&amp;期货（change）'!C44/'中国汇率&amp;期货（vol）'!C44</f>
      </c>
      <c r="D44" s="4">
        <f>'中国汇率&amp;期货（change）'!D44/'中国汇率&amp;期货（vol）'!D44</f>
      </c>
      <c r="E44" s="4">
        <f>'中国汇率&amp;期货（change）'!E44/'中国汇率&amp;期货（vol）'!E44</f>
      </c>
      <c r="F44" s="4">
        <f>'中国汇率&amp;期货（change）'!F44/'中国汇率&amp;期货（vol）'!F44</f>
      </c>
      <c r="G44" s="4">
        <f>'中国汇率&amp;期货（change）'!G44/'中国汇率&amp;期货（vol）'!G44</f>
      </c>
      <c r="H44" s="4">
        <f>'中国汇率&amp;期货（change）'!H44/'中国汇率&amp;期货（vol）'!H44</f>
      </c>
      <c r="I44" s="4">
        <f>'中国汇率&amp;期货（change）'!I44/'中国汇率&amp;期货（vol）'!I44</f>
      </c>
      <c r="J44" s="4">
        <f>'中国汇率&amp;期货（change）'!J44/'中国汇率&amp;期货（vol）'!J44</f>
      </c>
      <c r="K44" s="4">
        <f>'中国汇率&amp;期货（change）'!K44/'中国汇率&amp;期货（vol）'!K44</f>
      </c>
      <c r="L44" s="4">
        <f>'中国汇率&amp;期货（change）'!L44/'中国汇率&amp;期货（vol）'!L44</f>
      </c>
      <c r="M44" s="4">
        <f>'中国汇率&amp;期货（change）'!M44/'中国汇率&amp;期货（vol）'!M44</f>
      </c>
      <c r="N44" s="4">
        <f>'中国汇率&amp;期货（change）'!N44/'中国汇率&amp;期货（vol）'!N44</f>
      </c>
      <c r="O44" s="4">
        <f>'中国汇率&amp;期货（change）'!O44/'中国汇率&amp;期货（vol）'!O44</f>
      </c>
      <c r="P44" s="4">
        <f>'中国汇率&amp;期货（change）'!P44/'中国汇率&amp;期货（vol）'!P44</f>
      </c>
      <c r="Q44" s="4">
        <f>'中国汇率&amp;期货（change）'!Q44/'中国汇率&amp;期货（vol）'!Q44</f>
      </c>
      <c r="R44" s="4">
        <f>'中国汇率&amp;期货（change）'!R44/'中国汇率&amp;期货（vol）'!R44</f>
      </c>
      <c r="S44" s="4">
        <f>'中国汇率&amp;期货（change）'!S44/'中国汇率&amp;期货（vol）'!S44</f>
      </c>
      <c r="T44" s="4">
        <f>'中国汇率&amp;期货（change）'!T44/'中国汇率&amp;期货（vol）'!T44</f>
      </c>
      <c r="U44" s="4">
        <f>'中国汇率&amp;期货（change）'!U44/'中国汇率&amp;期货（vol）'!U44</f>
      </c>
      <c r="V44" s="4">
        <f>'中国汇率&amp;期货（change）'!V44/'中国汇率&amp;期货（vol）'!V44</f>
      </c>
      <c r="W44" s="4">
        <f>'中国汇率&amp;期货（change）'!W44/'中国汇率&amp;期货（vol）'!W44</f>
      </c>
      <c r="X44" s="4">
        <f>'中国汇率&amp;期货（change）'!X44/'中国汇率&amp;期货（vol）'!X44</f>
      </c>
      <c r="Y44" s="4">
        <f>'中国汇率&amp;期货（change）'!Y44/'中国汇率&amp;期货（vol）'!Y44</f>
      </c>
      <c r="Z44" s="4">
        <f>'中国汇率&amp;期货（change）'!Z44/'中国汇率&amp;期货（vol）'!Z44</f>
      </c>
      <c r="AA44" s="4">
        <f>'中国汇率&amp;期货（change）'!AA44/'中国汇率&amp;期货（vol）'!AA44</f>
      </c>
      <c r="AB44" s="4">
        <f>'中国汇率&amp;期货（change）'!AB44/'中国汇率&amp;期货（vol）'!AB44</f>
      </c>
      <c r="AC44" s="4">
        <f>'中国汇率&amp;期货（change）'!AC44/'中国汇率&amp;期货（vol）'!AC44</f>
      </c>
      <c r="AD44" s="4">
        <f>'中国汇率&amp;期货（change）'!AD44/'中国汇率&amp;期货（vol）'!AD44</f>
      </c>
      <c r="AE44" s="4">
        <f>'中国汇率&amp;期货（change）'!AE44/'中国汇率&amp;期货（vol）'!AE44</f>
      </c>
      <c r="AF44" s="4">
        <f>'中国汇率&amp;期货（change）'!AF44/'中国汇率&amp;期货（vol）'!AF44</f>
      </c>
      <c r="AG44" s="4">
        <f>'中国汇率&amp;期货（change）'!AG44/'中国汇率&amp;期货（vol）'!AG44</f>
      </c>
      <c r="AH44" s="4">
        <f>'中国汇率&amp;期货（change）'!AH44/'中国汇率&amp;期货（vol）'!AH44</f>
      </c>
      <c r="AI44" s="4">
        <f>'中国汇率&amp;期货（change）'!AI44/'中国汇率&amp;期货（vol）'!AI44</f>
      </c>
      <c r="AJ44" s="4">
        <f>'中国汇率&amp;期货（change）'!AJ44/'中国汇率&amp;期货（vol）'!AJ44</f>
      </c>
      <c r="AK44" s="4">
        <f>'中国汇率&amp;期货（change）'!AK44/'中国汇率&amp;期货（vol）'!AK44</f>
      </c>
      <c r="AL44" s="4">
        <f>'中国汇率&amp;期货（change）'!AL44/'中国汇率&amp;期货（vol）'!AL44</f>
      </c>
      <c r="AM44" s="4">
        <f>'中国汇率&amp;期货（change）'!AM44/'中国汇率&amp;期货（vol）'!AM44</f>
      </c>
      <c r="AN44" s="4">
        <f>'中国汇率&amp;期货（change）'!AN44/'中国汇率&amp;期货（vol）'!AN44</f>
      </c>
      <c r="AO44" s="4">
        <f>'中国汇率&amp;期货（change）'!AO44/'中国汇率&amp;期货（vol）'!AO44</f>
      </c>
      <c r="AP44" s="4">
        <f>'中国汇率&amp;期货（change）'!AP44/'中国汇率&amp;期货（vol）'!AP44</f>
      </c>
      <c r="AQ44" s="4">
        <f>'中国汇率&amp;期货（change）'!AQ44/'中国汇率&amp;期货（vol）'!AQ44</f>
      </c>
      <c r="AR44" s="4">
        <f>'中国汇率&amp;期货（change）'!AR44/'中国汇率&amp;期货（vol）'!AR44</f>
      </c>
      <c r="AS44" s="4">
        <f>'中国汇率&amp;期货（change）'!AS44/'中国汇率&amp;期货（vol）'!AS44</f>
      </c>
      <c r="AT44" s="4">
        <f>'中国汇率&amp;期货（change）'!AT44/'中国汇率&amp;期货（vol）'!AT44</f>
      </c>
      <c r="AU44" s="5">
        <f>'中国汇率&amp;期货（change）'!AU44/'中国汇率&amp;期货（vol）'!AU44</f>
      </c>
      <c r="AV44" s="4">
        <f>'中国汇率&amp;期货（change）'!AV44/'中国汇率&amp;期货（vol）'!AV44</f>
      </c>
      <c r="AW44" s="4">
        <f>'中国汇率&amp;期货（change）'!AW44/'中国汇率&amp;期货（vol）'!AW44</f>
      </c>
      <c r="AX44" s="4">
        <f>'中国汇率&amp;期货（change）'!AX44/'中国汇率&amp;期货（vol）'!AX44</f>
      </c>
      <c r="AY44" s="4">
        <f>'中国汇率&amp;期货（change）'!AY44/'中国汇率&amp;期货（vol）'!AY44</f>
      </c>
      <c r="AZ44" s="4">
        <f>'中国汇率&amp;期货（change）'!AZ44/'中国汇率&amp;期货（vol）'!AZ44</f>
      </c>
      <c r="BA44" s="4">
        <f>'中国汇率&amp;期货（change）'!BA44/'中国汇率&amp;期货（vol）'!BA44</f>
      </c>
      <c r="BB44" s="4">
        <f>'中国汇率&amp;期货（change）'!BB44/'中国汇率&amp;期货（vol）'!BB44</f>
      </c>
      <c r="BC44" s="4">
        <f>'中国汇率&amp;期货（change）'!BC44/'中国汇率&amp;期货（vol）'!BC44</f>
      </c>
      <c r="BD44" s="4">
        <f>'中国汇率&amp;期货（change）'!BD44/'中国汇率&amp;期货（vol）'!BD44</f>
      </c>
      <c r="BE44" s="4">
        <f>'中国汇率&amp;期货（change）'!BE44/'中国汇率&amp;期货（vol）'!BE44</f>
      </c>
    </row>
    <row x14ac:dyDescent="0.25" r="45" customHeight="1" ht="18.75">
      <c r="A45" s="1"/>
      <c r="B45" s="4">
        <f>'中国汇率&amp;期货（change）'!B45/'中国汇率&amp;期货（vol）'!B45</f>
      </c>
      <c r="C45" s="4">
        <f>'中国汇率&amp;期货（change）'!C45/'中国汇率&amp;期货（vol）'!C45</f>
      </c>
      <c r="D45" s="4">
        <f>'中国汇率&amp;期货（change）'!D45/'中国汇率&amp;期货（vol）'!D45</f>
      </c>
      <c r="E45" s="4">
        <f>'中国汇率&amp;期货（change）'!E45/'中国汇率&amp;期货（vol）'!E45</f>
      </c>
      <c r="F45" s="4">
        <f>'中国汇率&amp;期货（change）'!F45/'中国汇率&amp;期货（vol）'!F45</f>
      </c>
      <c r="G45" s="4">
        <f>'中国汇率&amp;期货（change）'!G45/'中国汇率&amp;期货（vol）'!G45</f>
      </c>
      <c r="H45" s="4">
        <f>'中国汇率&amp;期货（change）'!H45/'中国汇率&amp;期货（vol）'!H45</f>
      </c>
      <c r="I45" s="4">
        <f>'中国汇率&amp;期货（change）'!I45/'中国汇率&amp;期货（vol）'!I45</f>
      </c>
      <c r="J45" s="4">
        <f>'中国汇率&amp;期货（change）'!J45/'中国汇率&amp;期货（vol）'!J45</f>
      </c>
      <c r="K45" s="4">
        <f>'中国汇率&amp;期货（change）'!K45/'中国汇率&amp;期货（vol）'!K45</f>
      </c>
      <c r="L45" s="4">
        <f>'中国汇率&amp;期货（change）'!L45/'中国汇率&amp;期货（vol）'!L45</f>
      </c>
      <c r="M45" s="4">
        <f>'中国汇率&amp;期货（change）'!M45/'中国汇率&amp;期货（vol）'!M45</f>
      </c>
      <c r="N45" s="4">
        <f>'中国汇率&amp;期货（change）'!N45/'中国汇率&amp;期货（vol）'!N45</f>
      </c>
      <c r="O45" s="4">
        <f>'中国汇率&amp;期货（change）'!O45/'中国汇率&amp;期货（vol）'!O45</f>
      </c>
      <c r="P45" s="4">
        <f>'中国汇率&amp;期货（change）'!P45/'中国汇率&amp;期货（vol）'!P45</f>
      </c>
      <c r="Q45" s="4">
        <f>'中国汇率&amp;期货（change）'!Q45/'中国汇率&amp;期货（vol）'!Q45</f>
      </c>
      <c r="R45" s="4">
        <f>'中国汇率&amp;期货（change）'!R45/'中国汇率&amp;期货（vol）'!R45</f>
      </c>
      <c r="S45" s="4">
        <f>'中国汇率&amp;期货（change）'!S45/'中国汇率&amp;期货（vol）'!S45</f>
      </c>
      <c r="T45" s="4">
        <f>'中国汇率&amp;期货（change）'!T45/'中国汇率&amp;期货（vol）'!T45</f>
      </c>
      <c r="U45" s="4">
        <f>'中国汇率&amp;期货（change）'!U45/'中国汇率&amp;期货（vol）'!U45</f>
      </c>
      <c r="V45" s="4">
        <f>'中国汇率&amp;期货（change）'!V45/'中国汇率&amp;期货（vol）'!V45</f>
      </c>
      <c r="W45" s="4">
        <f>'中国汇率&amp;期货（change）'!W45/'中国汇率&amp;期货（vol）'!W45</f>
      </c>
      <c r="X45" s="4">
        <f>'中国汇率&amp;期货（change）'!X45/'中国汇率&amp;期货（vol）'!X45</f>
      </c>
      <c r="Y45" s="4">
        <f>'中国汇率&amp;期货（change）'!Y45/'中国汇率&amp;期货（vol）'!Y45</f>
      </c>
      <c r="Z45" s="4">
        <f>'中国汇率&amp;期货（change）'!Z45/'中国汇率&amp;期货（vol）'!Z45</f>
      </c>
      <c r="AA45" s="4">
        <f>'中国汇率&amp;期货（change）'!AA45/'中国汇率&amp;期货（vol）'!AA45</f>
      </c>
      <c r="AB45" s="4">
        <f>'中国汇率&amp;期货（change）'!AB45/'中国汇率&amp;期货（vol）'!AB45</f>
      </c>
      <c r="AC45" s="4">
        <f>'中国汇率&amp;期货（change）'!AC45/'中国汇率&amp;期货（vol）'!AC45</f>
      </c>
      <c r="AD45" s="4">
        <f>'中国汇率&amp;期货（change）'!AD45/'中国汇率&amp;期货（vol）'!AD45</f>
      </c>
      <c r="AE45" s="4">
        <f>'中国汇率&amp;期货（change）'!AE45/'中国汇率&amp;期货（vol）'!AE45</f>
      </c>
      <c r="AF45" s="4">
        <f>'中国汇率&amp;期货（change）'!AF45/'中国汇率&amp;期货（vol）'!AF45</f>
      </c>
      <c r="AG45" s="4">
        <f>'中国汇率&amp;期货（change）'!AG45/'中国汇率&amp;期货（vol）'!AG45</f>
      </c>
      <c r="AH45" s="4">
        <f>'中国汇率&amp;期货（change）'!AH45/'中国汇率&amp;期货（vol）'!AH45</f>
      </c>
      <c r="AI45" s="4">
        <f>'中国汇率&amp;期货（change）'!AI45/'中国汇率&amp;期货（vol）'!AI45</f>
      </c>
      <c r="AJ45" s="4">
        <f>'中国汇率&amp;期货（change）'!AJ45/'中国汇率&amp;期货（vol）'!AJ45</f>
      </c>
      <c r="AK45" s="4">
        <f>'中国汇率&amp;期货（change）'!AK45/'中国汇率&amp;期货（vol）'!AK45</f>
      </c>
      <c r="AL45" s="4">
        <f>'中国汇率&amp;期货（change）'!AL45/'中国汇率&amp;期货（vol）'!AL45</f>
      </c>
      <c r="AM45" s="4">
        <f>'中国汇率&amp;期货（change）'!AM45/'中国汇率&amp;期货（vol）'!AM45</f>
      </c>
      <c r="AN45" s="4">
        <f>'中国汇率&amp;期货（change）'!AN45/'中国汇率&amp;期货（vol）'!AN45</f>
      </c>
      <c r="AO45" s="4">
        <f>'中国汇率&amp;期货（change）'!AO45/'中国汇率&amp;期货（vol）'!AO45</f>
      </c>
      <c r="AP45" s="4">
        <f>'中国汇率&amp;期货（change）'!AP45/'中国汇率&amp;期货（vol）'!AP45</f>
      </c>
      <c r="AQ45" s="4">
        <f>'中国汇率&amp;期货（change）'!AQ45/'中国汇率&amp;期货（vol）'!AQ45</f>
      </c>
      <c r="AR45" s="4">
        <f>'中国汇率&amp;期货（change）'!AR45/'中国汇率&amp;期货（vol）'!AR45</f>
      </c>
      <c r="AS45" s="4">
        <f>'中国汇率&amp;期货（change）'!AS45/'中国汇率&amp;期货（vol）'!AS45</f>
      </c>
      <c r="AT45" s="4">
        <f>'中国汇率&amp;期货（change）'!AT45/'中国汇率&amp;期货（vol）'!AT45</f>
      </c>
      <c r="AU45" s="4">
        <f>'中国汇率&amp;期货（change）'!AU45/'中国汇率&amp;期货（vol）'!AU45</f>
      </c>
      <c r="AV45" s="4">
        <f>'中国汇率&amp;期货（change）'!AV45/'中国汇率&amp;期货（vol）'!AV45</f>
      </c>
      <c r="AW45" s="4">
        <f>'中国汇率&amp;期货（change）'!AW45/'中国汇率&amp;期货（vol）'!AW45</f>
      </c>
      <c r="AX45" s="4">
        <f>'中国汇率&amp;期货（change）'!AX45/'中国汇率&amp;期货（vol）'!AX45</f>
      </c>
      <c r="AY45" s="4">
        <f>'中国汇率&amp;期货（change）'!AY45/'中国汇率&amp;期货（vol）'!AY45</f>
      </c>
      <c r="AZ45" s="4">
        <f>'中国汇率&amp;期货（change）'!AZ45/'中国汇率&amp;期货（vol）'!AZ45</f>
      </c>
      <c r="BA45" s="4">
        <f>'中国汇率&amp;期货（change）'!BA45/'中国汇率&amp;期货（vol）'!BA45</f>
      </c>
      <c r="BB45" s="5">
        <f>'中国汇率&amp;期货（change）'!BB45/'中国汇率&amp;期货（vol）'!BB45</f>
      </c>
      <c r="BC45" s="4">
        <f>'中国汇率&amp;期货（change）'!BC45/'中国汇率&amp;期货（vol）'!BC45</f>
      </c>
      <c r="BD45" s="4">
        <f>'中国汇率&amp;期货（change）'!BD45/'中国汇率&amp;期货（vol）'!BD45</f>
      </c>
      <c r="BE45" s="4">
        <f>'中国汇率&amp;期货（change）'!BE45/'中国汇率&amp;期货（vol）'!BE45</f>
      </c>
    </row>
    <row x14ac:dyDescent="0.25" r="46" customHeight="1" ht="18.75">
      <c r="A46" s="1"/>
      <c r="B46" s="4">
        <f>'中国汇率&amp;期货（change）'!B46/'中国汇率&amp;期货（vol）'!B46</f>
      </c>
      <c r="C46" s="4">
        <f>'中国汇率&amp;期货（change）'!C46/'中国汇率&amp;期货（vol）'!C46</f>
      </c>
      <c r="D46" s="4">
        <f>'中国汇率&amp;期货（change）'!D46/'中国汇率&amp;期货（vol）'!D46</f>
      </c>
      <c r="E46" s="4">
        <f>'中国汇率&amp;期货（change）'!E46/'中国汇率&amp;期货（vol）'!E46</f>
      </c>
      <c r="F46" s="4">
        <f>'中国汇率&amp;期货（change）'!F46/'中国汇率&amp;期货（vol）'!F46</f>
      </c>
      <c r="G46" s="4">
        <f>'中国汇率&amp;期货（change）'!G46/'中国汇率&amp;期货（vol）'!G46</f>
      </c>
      <c r="H46" s="4">
        <f>'中国汇率&amp;期货（change）'!H46/'中国汇率&amp;期货（vol）'!H46</f>
      </c>
      <c r="I46" s="4">
        <f>'中国汇率&amp;期货（change）'!I46/'中国汇率&amp;期货（vol）'!I46</f>
      </c>
      <c r="J46" s="4">
        <f>'中国汇率&amp;期货（change）'!J46/'中国汇率&amp;期货（vol）'!J46</f>
      </c>
      <c r="K46" s="4">
        <f>'中国汇率&amp;期货（change）'!K46/'中国汇率&amp;期货（vol）'!K46</f>
      </c>
      <c r="L46" s="4">
        <f>'中国汇率&amp;期货（change）'!L46/'中国汇率&amp;期货（vol）'!L46</f>
      </c>
      <c r="M46" s="4">
        <f>'中国汇率&amp;期货（change）'!M46/'中国汇率&amp;期货（vol）'!M46</f>
      </c>
      <c r="N46" s="4">
        <f>'中国汇率&amp;期货（change）'!N46/'中国汇率&amp;期货（vol）'!N46</f>
      </c>
      <c r="O46" s="4">
        <f>'中国汇率&amp;期货（change）'!O46/'中国汇率&amp;期货（vol）'!O46</f>
      </c>
      <c r="P46" s="4">
        <f>'中国汇率&amp;期货（change）'!P46/'中国汇率&amp;期货（vol）'!P46</f>
      </c>
      <c r="Q46" s="4">
        <f>'中国汇率&amp;期货（change）'!Q46/'中国汇率&amp;期货（vol）'!Q46</f>
      </c>
      <c r="R46" s="4">
        <f>'中国汇率&amp;期货（change）'!R46/'中国汇率&amp;期货（vol）'!R46</f>
      </c>
      <c r="S46" s="4">
        <f>'中国汇率&amp;期货（change）'!S46/'中国汇率&amp;期货（vol）'!S46</f>
      </c>
      <c r="T46" s="4">
        <f>'中国汇率&amp;期货（change）'!T46/'中国汇率&amp;期货（vol）'!T46</f>
      </c>
      <c r="U46" s="4">
        <f>'中国汇率&amp;期货（change）'!U46/'中国汇率&amp;期货（vol）'!U46</f>
      </c>
      <c r="V46" s="4">
        <f>'中国汇率&amp;期货（change）'!V46/'中国汇率&amp;期货（vol）'!V46</f>
      </c>
      <c r="W46" s="4">
        <f>'中国汇率&amp;期货（change）'!W46/'中国汇率&amp;期货（vol）'!W46</f>
      </c>
      <c r="X46" s="4">
        <f>'中国汇率&amp;期货（change）'!X46/'中国汇率&amp;期货（vol）'!X46</f>
      </c>
      <c r="Y46" s="4">
        <f>'中国汇率&amp;期货（change）'!Y46/'中国汇率&amp;期货（vol）'!Y46</f>
      </c>
      <c r="Z46" s="4">
        <f>'中国汇率&amp;期货（change）'!Z46/'中国汇率&amp;期货（vol）'!Z46</f>
      </c>
      <c r="AA46" s="4">
        <f>'中国汇率&amp;期货（change）'!AA46/'中国汇率&amp;期货（vol）'!AA46</f>
      </c>
      <c r="AB46" s="4">
        <f>'中国汇率&amp;期货（change）'!AB46/'中国汇率&amp;期货（vol）'!AB46</f>
      </c>
      <c r="AC46" s="4">
        <f>'中国汇率&amp;期货（change）'!AC46/'中国汇率&amp;期货（vol）'!AC46</f>
      </c>
      <c r="AD46" s="4">
        <f>'中国汇率&amp;期货（change）'!AD46/'中国汇率&amp;期货（vol）'!AD46</f>
      </c>
      <c r="AE46" s="4">
        <f>'中国汇率&amp;期货（change）'!AE46/'中国汇率&amp;期货（vol）'!AE46</f>
      </c>
      <c r="AF46" s="4">
        <f>'中国汇率&amp;期货（change）'!AF46/'中国汇率&amp;期货（vol）'!AF46</f>
      </c>
      <c r="AG46" s="4">
        <f>'中国汇率&amp;期货（change）'!AG46/'中国汇率&amp;期货（vol）'!AG46</f>
      </c>
      <c r="AH46" s="4">
        <f>'中国汇率&amp;期货（change）'!AH46/'中国汇率&amp;期货（vol）'!AH46</f>
      </c>
      <c r="AI46" s="4">
        <f>'中国汇率&amp;期货（change）'!AI46/'中国汇率&amp;期货（vol）'!AI46</f>
      </c>
      <c r="AJ46" s="4">
        <f>'中国汇率&amp;期货（change）'!AJ46/'中国汇率&amp;期货（vol）'!AJ46</f>
      </c>
      <c r="AK46" s="4">
        <f>'中国汇率&amp;期货（change）'!AK46/'中国汇率&amp;期货（vol）'!AK46</f>
      </c>
      <c r="AL46" s="4">
        <f>'中国汇率&amp;期货（change）'!AL46/'中国汇率&amp;期货（vol）'!AL46</f>
      </c>
      <c r="AM46" s="4">
        <f>'中国汇率&amp;期货（change）'!AM46/'中国汇率&amp;期货（vol）'!AM46</f>
      </c>
      <c r="AN46" s="4">
        <f>'中国汇率&amp;期货（change）'!AN46/'中国汇率&amp;期货（vol）'!AN46</f>
      </c>
      <c r="AO46" s="4">
        <f>'中国汇率&amp;期货（change）'!AO46/'中国汇率&amp;期货（vol）'!AO46</f>
      </c>
      <c r="AP46" s="4">
        <f>'中国汇率&amp;期货（change）'!AP46/'中国汇率&amp;期货（vol）'!AP46</f>
      </c>
      <c r="AQ46" s="4">
        <f>'中国汇率&amp;期货（change）'!AQ46/'中国汇率&amp;期货（vol）'!AQ46</f>
      </c>
      <c r="AR46" s="4">
        <f>'中国汇率&amp;期货（change）'!AR46/'中国汇率&amp;期货（vol）'!AR46</f>
      </c>
      <c r="AS46" s="4">
        <f>'中国汇率&amp;期货（change）'!AS46/'中国汇率&amp;期货（vol）'!AS46</f>
      </c>
      <c r="AT46" s="4">
        <f>'中国汇率&amp;期货（change）'!AT46/'中国汇率&amp;期货（vol）'!AT46</f>
      </c>
      <c r="AU46" s="4">
        <f>'中国汇率&amp;期货（change）'!AU46/'中国汇率&amp;期货（vol）'!AU46</f>
      </c>
      <c r="AV46" s="4">
        <f>'中国汇率&amp;期货（change）'!AV46/'中国汇率&amp;期货（vol）'!AV46</f>
      </c>
      <c r="AW46" s="4">
        <f>'中国汇率&amp;期货（change）'!AW46/'中国汇率&amp;期货（vol）'!AW46</f>
      </c>
      <c r="AX46" s="4">
        <f>'中国汇率&amp;期货（change）'!AX46/'中国汇率&amp;期货（vol）'!AX46</f>
      </c>
      <c r="AY46" s="4">
        <f>'中国汇率&amp;期货（change）'!AY46/'中国汇率&amp;期货（vol）'!AY46</f>
      </c>
      <c r="AZ46" s="4">
        <f>'中国汇率&amp;期货（change）'!AZ46/'中国汇率&amp;期货（vol）'!AZ46</f>
      </c>
      <c r="BA46" s="4">
        <f>'中国汇率&amp;期货（change）'!BA46/'中国汇率&amp;期货（vol）'!BA46</f>
      </c>
      <c r="BB46" s="4">
        <f>'中国汇率&amp;期货（change）'!BB46/'中国汇率&amp;期货（vol）'!BB46</f>
      </c>
      <c r="BC46" s="4">
        <f>'中国汇率&amp;期货（change）'!BC46/'中国汇率&amp;期货（vol）'!BC46</f>
      </c>
      <c r="BD46" s="4">
        <f>'中国汇率&amp;期货（change）'!BD46/'中国汇率&amp;期货（vol）'!BD46</f>
      </c>
      <c r="BE46" s="4">
        <f>'中国汇率&amp;期货（change）'!BE46/'中国汇率&amp;期货（vol）'!BE46</f>
      </c>
    </row>
    <row x14ac:dyDescent="0.25" r="47" customHeight="1" ht="18.75">
      <c r="A47" s="1"/>
      <c r="B47" s="4">
        <f>'中国汇率&amp;期货（change）'!B47/'中国汇率&amp;期货（vol）'!B47</f>
      </c>
      <c r="C47" s="4">
        <f>'中国汇率&amp;期货（change）'!C47/'中国汇率&amp;期货（vol）'!C47</f>
      </c>
      <c r="D47" s="4">
        <f>'中国汇率&amp;期货（change）'!D47/'中国汇率&amp;期货（vol）'!D47</f>
      </c>
      <c r="E47" s="4">
        <f>'中国汇率&amp;期货（change）'!E47/'中国汇率&amp;期货（vol）'!E47</f>
      </c>
      <c r="F47" s="4">
        <f>'中国汇率&amp;期货（change）'!F47/'中国汇率&amp;期货（vol）'!F47</f>
      </c>
      <c r="G47" s="4">
        <f>'中国汇率&amp;期货（change）'!G47/'中国汇率&amp;期货（vol）'!G47</f>
      </c>
      <c r="H47" s="4">
        <f>'中国汇率&amp;期货（change）'!H47/'中国汇率&amp;期货（vol）'!H47</f>
      </c>
      <c r="I47" s="4">
        <f>'中国汇率&amp;期货（change）'!I47/'中国汇率&amp;期货（vol）'!I47</f>
      </c>
      <c r="J47" s="4">
        <f>'中国汇率&amp;期货（change）'!J47/'中国汇率&amp;期货（vol）'!J47</f>
      </c>
      <c r="K47" s="4">
        <f>'中国汇率&amp;期货（change）'!K47/'中国汇率&amp;期货（vol）'!K47</f>
      </c>
      <c r="L47" s="4">
        <f>'中国汇率&amp;期货（change）'!L47/'中国汇率&amp;期货（vol）'!L47</f>
      </c>
      <c r="M47" s="4">
        <f>'中国汇率&amp;期货（change）'!M47/'中国汇率&amp;期货（vol）'!M47</f>
      </c>
      <c r="N47" s="4">
        <f>'中国汇率&amp;期货（change）'!N47/'中国汇率&amp;期货（vol）'!N47</f>
      </c>
      <c r="O47" s="4">
        <f>'中国汇率&amp;期货（change）'!O47/'中国汇率&amp;期货（vol）'!O47</f>
      </c>
      <c r="P47" s="4">
        <f>'中国汇率&amp;期货（change）'!P47/'中国汇率&amp;期货（vol）'!P47</f>
      </c>
      <c r="Q47" s="4">
        <f>'中国汇率&amp;期货（change）'!Q47/'中国汇率&amp;期货（vol）'!Q47</f>
      </c>
      <c r="R47" s="4">
        <f>'中国汇率&amp;期货（change）'!R47/'中国汇率&amp;期货（vol）'!R47</f>
      </c>
      <c r="S47" s="4">
        <f>'中国汇率&amp;期货（change）'!S47/'中国汇率&amp;期货（vol）'!S47</f>
      </c>
      <c r="T47" s="4">
        <f>'中国汇率&amp;期货（change）'!T47/'中国汇率&amp;期货（vol）'!T47</f>
      </c>
      <c r="U47" s="4">
        <f>'中国汇率&amp;期货（change）'!U47/'中国汇率&amp;期货（vol）'!U47</f>
      </c>
      <c r="V47" s="4">
        <f>'中国汇率&amp;期货（change）'!V47/'中国汇率&amp;期货（vol）'!V47</f>
      </c>
      <c r="W47" s="4">
        <f>'中国汇率&amp;期货（change）'!W47/'中国汇率&amp;期货（vol）'!W47</f>
      </c>
      <c r="X47" s="4">
        <f>'中国汇率&amp;期货（change）'!X47/'中国汇率&amp;期货（vol）'!X47</f>
      </c>
      <c r="Y47" s="4">
        <f>'中国汇率&amp;期货（change）'!Y47/'中国汇率&amp;期货（vol）'!Y47</f>
      </c>
      <c r="Z47" s="4">
        <f>'中国汇率&amp;期货（change）'!Z47/'中国汇率&amp;期货（vol）'!Z47</f>
      </c>
      <c r="AA47" s="4">
        <f>'中国汇率&amp;期货（change）'!AA47/'中国汇率&amp;期货（vol）'!AA47</f>
      </c>
      <c r="AB47" s="4">
        <f>'中国汇率&amp;期货（change）'!AB47/'中国汇率&amp;期货（vol）'!AB47</f>
      </c>
      <c r="AC47" s="4">
        <f>'中国汇率&amp;期货（change）'!AC47/'中国汇率&amp;期货（vol）'!AC47</f>
      </c>
      <c r="AD47" s="4">
        <f>'中国汇率&amp;期货（change）'!AD47/'中国汇率&amp;期货（vol）'!AD47</f>
      </c>
      <c r="AE47" s="4">
        <f>'中国汇率&amp;期货（change）'!AE47/'中国汇率&amp;期货（vol）'!AE47</f>
      </c>
      <c r="AF47" s="4">
        <f>'中国汇率&amp;期货（change）'!AF47/'中国汇率&amp;期货（vol）'!AF47</f>
      </c>
      <c r="AG47" s="4">
        <f>'中国汇率&amp;期货（change）'!AG47/'中国汇率&amp;期货（vol）'!AG47</f>
      </c>
      <c r="AH47" s="4">
        <f>'中国汇率&amp;期货（change）'!AH47/'中国汇率&amp;期货（vol）'!AH47</f>
      </c>
      <c r="AI47" s="4">
        <f>'中国汇率&amp;期货（change）'!AI47/'中国汇率&amp;期货（vol）'!AI47</f>
      </c>
      <c r="AJ47" s="4">
        <f>'中国汇率&amp;期货（change）'!AJ47/'中国汇率&amp;期货（vol）'!AJ47</f>
      </c>
      <c r="AK47" s="4">
        <f>'中国汇率&amp;期货（change）'!AK47/'中国汇率&amp;期货（vol）'!AK47</f>
      </c>
      <c r="AL47" s="5">
        <f>'中国汇率&amp;期货（change）'!AL47/'中国汇率&amp;期货（vol）'!AL47</f>
      </c>
      <c r="AM47" s="4">
        <f>'中国汇率&amp;期货（change）'!AM47/'中国汇率&amp;期货（vol）'!AM47</f>
      </c>
      <c r="AN47" s="4">
        <f>'中国汇率&amp;期货（change）'!AN47/'中国汇率&amp;期货（vol）'!AN47</f>
      </c>
      <c r="AO47" s="4">
        <f>'中国汇率&amp;期货（change）'!AO47/'中国汇率&amp;期货（vol）'!AO47</f>
      </c>
      <c r="AP47" s="4">
        <f>'中国汇率&amp;期货（change）'!AP47/'中国汇率&amp;期货（vol）'!AP47</f>
      </c>
      <c r="AQ47" s="4">
        <f>'中国汇率&amp;期货（change）'!AQ47/'中国汇率&amp;期货（vol）'!AQ47</f>
      </c>
      <c r="AR47" s="4">
        <f>'中国汇率&amp;期货（change）'!AR47/'中国汇率&amp;期货（vol）'!AR47</f>
      </c>
      <c r="AS47" s="4">
        <f>'中国汇率&amp;期货（change）'!AS47/'中国汇率&amp;期货（vol）'!AS47</f>
      </c>
      <c r="AT47" s="4">
        <f>'中国汇率&amp;期货（change）'!AT47/'中国汇率&amp;期货（vol）'!AT47</f>
      </c>
      <c r="AU47" s="4">
        <f>'中国汇率&amp;期货（change）'!AU47/'中国汇率&amp;期货（vol）'!AU47</f>
      </c>
      <c r="AV47" s="4">
        <f>'中国汇率&amp;期货（change）'!AV47/'中国汇率&amp;期货（vol）'!AV47</f>
      </c>
      <c r="AW47" s="4">
        <f>'中国汇率&amp;期货（change）'!AW47/'中国汇率&amp;期货（vol）'!AW47</f>
      </c>
      <c r="AX47" s="4">
        <f>'中国汇率&amp;期货（change）'!AX47/'中国汇率&amp;期货（vol）'!AX47</f>
      </c>
      <c r="AY47" s="4">
        <f>'中国汇率&amp;期货（change）'!AY47/'中国汇率&amp;期货（vol）'!AY47</f>
      </c>
      <c r="AZ47" s="4">
        <f>'中国汇率&amp;期货（change）'!AZ47/'中国汇率&amp;期货（vol）'!AZ47</f>
      </c>
      <c r="BA47" s="4">
        <f>'中国汇率&amp;期货（change）'!BA47/'中国汇率&amp;期货（vol）'!BA47</f>
      </c>
      <c r="BB47" s="4">
        <f>'中国汇率&amp;期货（change）'!BB47/'中国汇率&amp;期货（vol）'!BB47</f>
      </c>
      <c r="BC47" s="4">
        <f>'中国汇率&amp;期货（change）'!BC47/'中国汇率&amp;期货（vol）'!BC47</f>
      </c>
      <c r="BD47" s="4">
        <f>'中国汇率&amp;期货（change）'!BD47/'中国汇率&amp;期货（vol）'!BD47</f>
      </c>
      <c r="BE47" s="4">
        <f>'中国汇率&amp;期货（change）'!BE47/'中国汇率&amp;期货（vol）'!BE47</f>
      </c>
    </row>
    <row x14ac:dyDescent="0.25" r="48" customHeight="1" ht="18.75">
      <c r="A48" s="1"/>
      <c r="B48" s="4">
        <f>'中国汇率&amp;期货（change）'!B48/'中国汇率&amp;期货（vol）'!B48</f>
      </c>
      <c r="C48" s="4">
        <f>'中国汇率&amp;期货（change）'!C48/'中国汇率&amp;期货（vol）'!C48</f>
      </c>
      <c r="D48" s="4">
        <f>'中国汇率&amp;期货（change）'!D48/'中国汇率&amp;期货（vol）'!D48</f>
      </c>
      <c r="E48" s="4">
        <f>'中国汇率&amp;期货（change）'!E48/'中国汇率&amp;期货（vol）'!E48</f>
      </c>
      <c r="F48" s="4">
        <f>'中国汇率&amp;期货（change）'!F48/'中国汇率&amp;期货（vol）'!F48</f>
      </c>
      <c r="G48" s="4">
        <f>'中国汇率&amp;期货（change）'!G48/'中国汇率&amp;期货（vol）'!G48</f>
      </c>
      <c r="H48" s="4">
        <f>'中国汇率&amp;期货（change）'!H48/'中国汇率&amp;期货（vol）'!H48</f>
      </c>
      <c r="I48" s="4">
        <f>'中国汇率&amp;期货（change）'!I48/'中国汇率&amp;期货（vol）'!I48</f>
      </c>
      <c r="J48" s="4">
        <f>'中国汇率&amp;期货（change）'!J48/'中国汇率&amp;期货（vol）'!J48</f>
      </c>
      <c r="K48" s="4">
        <f>'中国汇率&amp;期货（change）'!K48/'中国汇率&amp;期货（vol）'!K48</f>
      </c>
      <c r="L48" s="4">
        <f>'中国汇率&amp;期货（change）'!L48/'中国汇率&amp;期货（vol）'!L48</f>
      </c>
      <c r="M48" s="4">
        <f>'中国汇率&amp;期货（change）'!M48/'中国汇率&amp;期货（vol）'!M48</f>
      </c>
      <c r="N48" s="4">
        <f>'中国汇率&amp;期货（change）'!N48/'中国汇率&amp;期货（vol）'!N48</f>
      </c>
      <c r="O48" s="4">
        <f>'中国汇率&amp;期货（change）'!O48/'中国汇率&amp;期货（vol）'!O48</f>
      </c>
      <c r="P48" s="4">
        <f>'中国汇率&amp;期货（change）'!P48/'中国汇率&amp;期货（vol）'!P48</f>
      </c>
      <c r="Q48" s="4">
        <f>'中国汇率&amp;期货（change）'!Q48/'中国汇率&amp;期货（vol）'!Q48</f>
      </c>
      <c r="R48" s="4">
        <f>'中国汇率&amp;期货（change）'!R48/'中国汇率&amp;期货（vol）'!R48</f>
      </c>
      <c r="S48" s="4">
        <f>'中国汇率&amp;期货（change）'!S48/'中国汇率&amp;期货（vol）'!S48</f>
      </c>
      <c r="T48" s="4">
        <f>'中国汇率&amp;期货（change）'!T48/'中国汇率&amp;期货（vol）'!T48</f>
      </c>
      <c r="U48" s="4">
        <f>'中国汇率&amp;期货（change）'!U48/'中国汇率&amp;期货（vol）'!U48</f>
      </c>
      <c r="V48" s="4">
        <f>'中国汇率&amp;期货（change）'!V48/'中国汇率&amp;期货（vol）'!V48</f>
      </c>
      <c r="W48" s="4">
        <f>'中国汇率&amp;期货（change）'!W48/'中国汇率&amp;期货（vol）'!W48</f>
      </c>
      <c r="X48" s="4">
        <f>'中国汇率&amp;期货（change）'!X48/'中国汇率&amp;期货（vol）'!X48</f>
      </c>
      <c r="Y48" s="4">
        <f>'中国汇率&amp;期货（change）'!Y48/'中国汇率&amp;期货（vol）'!Y48</f>
      </c>
      <c r="Z48" s="4">
        <f>'中国汇率&amp;期货（change）'!Z48/'中国汇率&amp;期货（vol）'!Z48</f>
      </c>
      <c r="AA48" s="4">
        <f>'中国汇率&amp;期货（change）'!AA48/'中国汇率&amp;期货（vol）'!AA48</f>
      </c>
      <c r="AB48" s="4">
        <f>'中国汇率&amp;期货（change）'!AB48/'中国汇率&amp;期货（vol）'!AB48</f>
      </c>
      <c r="AC48" s="4">
        <f>'中国汇率&amp;期货（change）'!AC48/'中国汇率&amp;期货（vol）'!AC48</f>
      </c>
      <c r="AD48" s="4">
        <f>'中国汇率&amp;期货（change）'!AD48/'中国汇率&amp;期货（vol）'!AD48</f>
      </c>
      <c r="AE48" s="4">
        <f>'中国汇率&amp;期货（change）'!AE48/'中国汇率&amp;期货（vol）'!AE48</f>
      </c>
      <c r="AF48" s="4">
        <f>'中国汇率&amp;期货（change）'!AF48/'中国汇率&amp;期货（vol）'!AF48</f>
      </c>
      <c r="AG48" s="4">
        <f>'中国汇率&amp;期货（change）'!AG48/'中国汇率&amp;期货（vol）'!AG48</f>
      </c>
      <c r="AH48" s="4">
        <f>'中国汇率&amp;期货（change）'!AH48/'中国汇率&amp;期货（vol）'!AH48</f>
      </c>
      <c r="AI48" s="4">
        <f>'中国汇率&amp;期货（change）'!AI48/'中国汇率&amp;期货（vol）'!AI48</f>
      </c>
      <c r="AJ48" s="4">
        <f>'中国汇率&amp;期货（change）'!AJ48/'中国汇率&amp;期货（vol）'!AJ48</f>
      </c>
      <c r="AK48" s="4">
        <f>'中国汇率&amp;期货（change）'!AK48/'中国汇率&amp;期货（vol）'!AK48</f>
      </c>
      <c r="AL48" s="4">
        <f>'中国汇率&amp;期货（change）'!AL48/'中国汇率&amp;期货（vol）'!AL48</f>
      </c>
      <c r="AM48" s="4">
        <f>'中国汇率&amp;期货（change）'!AM48/'中国汇率&amp;期货（vol）'!AM48</f>
      </c>
      <c r="AN48" s="4">
        <f>'中国汇率&amp;期货（change）'!AN48/'中国汇率&amp;期货（vol）'!AN48</f>
      </c>
      <c r="AO48" s="4">
        <f>'中国汇率&amp;期货（change）'!AO48/'中国汇率&amp;期货（vol）'!AO48</f>
      </c>
      <c r="AP48" s="4">
        <f>'中国汇率&amp;期货（change）'!AP48/'中国汇率&amp;期货（vol）'!AP48</f>
      </c>
      <c r="AQ48" s="4">
        <f>'中国汇率&amp;期货（change）'!AQ48/'中国汇率&amp;期货（vol）'!AQ48</f>
      </c>
      <c r="AR48" s="4">
        <f>'中国汇率&amp;期货（change）'!AR48/'中国汇率&amp;期货（vol）'!AR48</f>
      </c>
      <c r="AS48" s="4">
        <f>'中国汇率&amp;期货（change）'!AS48/'中国汇率&amp;期货（vol）'!AS48</f>
      </c>
      <c r="AT48" s="4">
        <f>'中国汇率&amp;期货（change）'!AT48/'中国汇率&amp;期货（vol）'!AT48</f>
      </c>
      <c r="AU48" s="4">
        <f>'中国汇率&amp;期货（change）'!AU48/'中国汇率&amp;期货（vol）'!AU48</f>
      </c>
      <c r="AV48" s="4">
        <f>'中国汇率&amp;期货（change）'!AV48/'中国汇率&amp;期货（vol）'!AV48</f>
      </c>
      <c r="AW48" s="4">
        <f>'中国汇率&amp;期货（change）'!AW48/'中国汇率&amp;期货（vol）'!AW48</f>
      </c>
      <c r="AX48" s="4">
        <f>'中国汇率&amp;期货（change）'!AX48/'中国汇率&amp;期货（vol）'!AX48</f>
      </c>
      <c r="AY48" s="4">
        <f>'中国汇率&amp;期货（change）'!AY48/'中国汇率&amp;期货（vol）'!AY48</f>
      </c>
      <c r="AZ48" s="4">
        <f>'中国汇率&amp;期货（change）'!AZ48/'中国汇率&amp;期货（vol）'!AZ48</f>
      </c>
      <c r="BA48" s="4">
        <f>'中国汇率&amp;期货（change）'!BA48/'中国汇率&amp;期货（vol）'!BA48</f>
      </c>
      <c r="BB48" s="4">
        <f>'中国汇率&amp;期货（change）'!BB48/'中国汇率&amp;期货（vol）'!BB48</f>
      </c>
      <c r="BC48" s="4">
        <f>'中国汇率&amp;期货（change）'!BC48/'中国汇率&amp;期货（vol）'!BC48</f>
      </c>
      <c r="BD48" s="4">
        <f>'中国汇率&amp;期货（change）'!BD48/'中国汇率&amp;期货（vol）'!BD48</f>
      </c>
      <c r="BE48" s="4">
        <f>'中国汇率&amp;期货（change）'!BE48/'中国汇率&amp;期货（vol）'!BE48</f>
      </c>
    </row>
    <row x14ac:dyDescent="0.25" r="49" customHeight="1" ht="18.75">
      <c r="A49" s="1"/>
      <c r="B49" s="4">
        <f>'中国汇率&amp;期货（change）'!B49/'中国汇率&amp;期货（vol）'!B49</f>
      </c>
      <c r="C49" s="4">
        <f>'中国汇率&amp;期货（change）'!C49/'中国汇率&amp;期货（vol）'!C49</f>
      </c>
      <c r="D49" s="4">
        <f>'中国汇率&amp;期货（change）'!D49/'中国汇率&amp;期货（vol）'!D49</f>
      </c>
      <c r="E49" s="4">
        <f>'中国汇率&amp;期货（change）'!E49/'中国汇率&amp;期货（vol）'!E49</f>
      </c>
      <c r="F49" s="4">
        <f>'中国汇率&amp;期货（change）'!F49/'中国汇率&amp;期货（vol）'!F49</f>
      </c>
      <c r="G49" s="4">
        <f>'中国汇率&amp;期货（change）'!G49/'中国汇率&amp;期货（vol）'!G49</f>
      </c>
      <c r="H49" s="4">
        <f>'中国汇率&amp;期货（change）'!H49/'中国汇率&amp;期货（vol）'!H49</f>
      </c>
      <c r="I49" s="4">
        <f>'中国汇率&amp;期货（change）'!I49/'中国汇率&amp;期货（vol）'!I49</f>
      </c>
      <c r="J49" s="4">
        <f>'中国汇率&amp;期货（change）'!J49/'中国汇率&amp;期货（vol）'!J49</f>
      </c>
      <c r="K49" s="4">
        <f>'中国汇率&amp;期货（change）'!K49/'中国汇率&amp;期货（vol）'!K49</f>
      </c>
      <c r="L49" s="4">
        <f>'中国汇率&amp;期货（change）'!L49/'中国汇率&amp;期货（vol）'!L49</f>
      </c>
      <c r="M49" s="4">
        <f>'中国汇率&amp;期货（change）'!M49/'中国汇率&amp;期货（vol）'!M49</f>
      </c>
      <c r="N49" s="4">
        <f>'中国汇率&amp;期货（change）'!N49/'中国汇率&amp;期货（vol）'!N49</f>
      </c>
      <c r="O49" s="4">
        <f>'中国汇率&amp;期货（change）'!O49/'中国汇率&amp;期货（vol）'!O49</f>
      </c>
      <c r="P49" s="4">
        <f>'中国汇率&amp;期货（change）'!P49/'中国汇率&amp;期货（vol）'!P49</f>
      </c>
      <c r="Q49" s="4">
        <f>'中国汇率&amp;期货（change）'!Q49/'中国汇率&amp;期货（vol）'!Q49</f>
      </c>
      <c r="R49" s="4">
        <f>'中国汇率&amp;期货（change）'!R49/'中国汇率&amp;期货（vol）'!R49</f>
      </c>
      <c r="S49" s="4">
        <f>'中国汇率&amp;期货（change）'!S49/'中国汇率&amp;期货（vol）'!S49</f>
      </c>
      <c r="T49" s="4">
        <f>'中国汇率&amp;期货（change）'!T49/'中国汇率&amp;期货（vol）'!T49</f>
      </c>
      <c r="U49" s="4">
        <f>'中国汇率&amp;期货（change）'!U49/'中国汇率&amp;期货（vol）'!U49</f>
      </c>
      <c r="V49" s="4">
        <f>'中国汇率&amp;期货（change）'!V49/'中国汇率&amp;期货（vol）'!V49</f>
      </c>
      <c r="W49" s="4">
        <f>'中国汇率&amp;期货（change）'!W49/'中国汇率&amp;期货（vol）'!W49</f>
      </c>
      <c r="X49" s="4">
        <f>'中国汇率&amp;期货（change）'!X49/'中国汇率&amp;期货（vol）'!X49</f>
      </c>
      <c r="Y49" s="4">
        <f>'中国汇率&amp;期货（change）'!Y49/'中国汇率&amp;期货（vol）'!Y49</f>
      </c>
      <c r="Z49" s="4">
        <f>'中国汇率&amp;期货（change）'!Z49/'中国汇率&amp;期货（vol）'!Z49</f>
      </c>
      <c r="AA49" s="4">
        <f>'中国汇率&amp;期货（change）'!AA49/'中国汇率&amp;期货（vol）'!AA49</f>
      </c>
      <c r="AB49" s="4">
        <f>'中国汇率&amp;期货（change）'!AB49/'中国汇率&amp;期货（vol）'!AB49</f>
      </c>
      <c r="AC49" s="4">
        <f>'中国汇率&amp;期货（change）'!AC49/'中国汇率&amp;期货（vol）'!AC49</f>
      </c>
      <c r="AD49" s="4">
        <f>'中国汇率&amp;期货（change）'!AD49/'中国汇率&amp;期货（vol）'!AD49</f>
      </c>
      <c r="AE49" s="4">
        <f>'中国汇率&amp;期货（change）'!AE49/'中国汇率&amp;期货（vol）'!AE49</f>
      </c>
      <c r="AF49" s="4">
        <f>'中国汇率&amp;期货（change）'!AF49/'中国汇率&amp;期货（vol）'!AF49</f>
      </c>
      <c r="AG49" s="4">
        <f>'中国汇率&amp;期货（change）'!AG49/'中国汇率&amp;期货（vol）'!AG49</f>
      </c>
      <c r="AH49" s="4">
        <f>'中国汇率&amp;期货（change）'!AH49/'中国汇率&amp;期货（vol）'!AH49</f>
      </c>
      <c r="AI49" s="4">
        <f>'中国汇率&amp;期货（change）'!AI49/'中国汇率&amp;期货（vol）'!AI49</f>
      </c>
      <c r="AJ49" s="4">
        <f>'中国汇率&amp;期货（change）'!AJ49/'中国汇率&amp;期货（vol）'!AJ49</f>
      </c>
      <c r="AK49" s="4">
        <f>'中国汇率&amp;期货（change）'!AK49/'中国汇率&amp;期货（vol）'!AK49</f>
      </c>
      <c r="AL49" s="4">
        <f>'中国汇率&amp;期货（change）'!AL49/'中国汇率&amp;期货（vol）'!AL49</f>
      </c>
      <c r="AM49" s="4">
        <f>'中国汇率&amp;期货（change）'!AM49/'中国汇率&amp;期货（vol）'!AM49</f>
      </c>
      <c r="AN49" s="4">
        <f>'中国汇率&amp;期货（change）'!AN49/'中国汇率&amp;期货（vol）'!AN49</f>
      </c>
      <c r="AO49" s="4">
        <f>'中国汇率&amp;期货（change）'!AO49/'中国汇率&amp;期货（vol）'!AO49</f>
      </c>
      <c r="AP49" s="4">
        <f>'中国汇率&amp;期货（change）'!AP49/'中国汇率&amp;期货（vol）'!AP49</f>
      </c>
      <c r="AQ49" s="4">
        <f>'中国汇率&amp;期货（change）'!AQ49/'中国汇率&amp;期货（vol）'!AQ49</f>
      </c>
      <c r="AR49" s="4">
        <f>'中国汇率&amp;期货（change）'!AR49/'中国汇率&amp;期货（vol）'!AR49</f>
      </c>
      <c r="AS49" s="4">
        <f>'中国汇率&amp;期货（change）'!AS49/'中国汇率&amp;期货（vol）'!AS49</f>
      </c>
      <c r="AT49" s="4">
        <f>'中国汇率&amp;期货（change）'!AT49/'中国汇率&amp;期货（vol）'!AT49</f>
      </c>
      <c r="AU49" s="4">
        <f>'中国汇率&amp;期货（change）'!AU49/'中国汇率&amp;期货（vol）'!AU49</f>
      </c>
      <c r="AV49" s="4">
        <f>'中国汇率&amp;期货（change）'!AV49/'中国汇率&amp;期货（vol）'!AV49</f>
      </c>
      <c r="AW49" s="4">
        <f>'中国汇率&amp;期货（change）'!AW49/'中国汇率&amp;期货（vol）'!AW49</f>
      </c>
      <c r="AX49" s="4">
        <f>'中国汇率&amp;期货（change）'!AX49/'中国汇率&amp;期货（vol）'!AX49</f>
      </c>
      <c r="AY49" s="4">
        <f>'中国汇率&amp;期货（change）'!AY49/'中国汇率&amp;期货（vol）'!AY49</f>
      </c>
      <c r="AZ49" s="4">
        <f>'中国汇率&amp;期货（change）'!AZ49/'中国汇率&amp;期货（vol）'!AZ49</f>
      </c>
      <c r="BA49" s="4">
        <f>'中国汇率&amp;期货（change）'!BA49/'中国汇率&amp;期货（vol）'!BA49</f>
      </c>
      <c r="BB49" s="4">
        <f>'中国汇率&amp;期货（change）'!BB49/'中国汇率&amp;期货（vol）'!BB49</f>
      </c>
      <c r="BC49" s="4">
        <f>'中国汇率&amp;期货（change）'!BC49/'中国汇率&amp;期货（vol）'!BC49</f>
      </c>
      <c r="BD49" s="4">
        <f>'中国汇率&amp;期货（change）'!BD49/'中国汇率&amp;期货（vol）'!BD49</f>
      </c>
      <c r="BE49" s="4">
        <f>'中国汇率&amp;期货（change）'!BE49/'中国汇率&amp;期货（vol）'!BE49</f>
      </c>
    </row>
    <row x14ac:dyDescent="0.25" r="50" customHeight="1" ht="18.75">
      <c r="A50" s="1"/>
      <c r="B50" s="4">
        <f>'中国汇率&amp;期货（change）'!B50/'中国汇率&amp;期货（vol）'!B50</f>
      </c>
      <c r="C50" s="4">
        <f>'中国汇率&amp;期货（change）'!C50/'中国汇率&amp;期货（vol）'!C50</f>
      </c>
      <c r="D50" s="4">
        <f>'中国汇率&amp;期货（change）'!D50/'中国汇率&amp;期货（vol）'!D50</f>
      </c>
      <c r="E50" s="4">
        <f>'中国汇率&amp;期货（change）'!E50/'中国汇率&amp;期货（vol）'!E50</f>
      </c>
      <c r="F50" s="4">
        <f>'中国汇率&amp;期货（change）'!F50/'中国汇率&amp;期货（vol）'!F50</f>
      </c>
      <c r="G50" s="4">
        <f>'中国汇率&amp;期货（change）'!G50/'中国汇率&amp;期货（vol）'!G50</f>
      </c>
      <c r="H50" s="4">
        <f>'中国汇率&amp;期货（change）'!H50/'中国汇率&amp;期货（vol）'!H50</f>
      </c>
      <c r="I50" s="4">
        <f>'中国汇率&amp;期货（change）'!I50/'中国汇率&amp;期货（vol）'!I50</f>
      </c>
      <c r="J50" s="4">
        <f>'中国汇率&amp;期货（change）'!J50/'中国汇率&amp;期货（vol）'!J50</f>
      </c>
      <c r="K50" s="4">
        <f>'中国汇率&amp;期货（change）'!K50/'中国汇率&amp;期货（vol）'!K50</f>
      </c>
      <c r="L50" s="4">
        <f>'中国汇率&amp;期货（change）'!L50/'中国汇率&amp;期货（vol）'!L50</f>
      </c>
      <c r="M50" s="4">
        <f>'中国汇率&amp;期货（change）'!M50/'中国汇率&amp;期货（vol）'!M50</f>
      </c>
      <c r="N50" s="4">
        <f>'中国汇率&amp;期货（change）'!N50/'中国汇率&amp;期货（vol）'!N50</f>
      </c>
      <c r="O50" s="4">
        <f>'中国汇率&amp;期货（change）'!O50/'中国汇率&amp;期货（vol）'!O50</f>
      </c>
      <c r="P50" s="4">
        <f>'中国汇率&amp;期货（change）'!P50/'中国汇率&amp;期货（vol）'!P50</f>
      </c>
      <c r="Q50" s="4">
        <f>'中国汇率&amp;期货（change）'!Q50/'中国汇率&amp;期货（vol）'!Q50</f>
      </c>
      <c r="R50" s="4">
        <f>'中国汇率&amp;期货（change）'!R50/'中国汇率&amp;期货（vol）'!R50</f>
      </c>
      <c r="S50" s="4">
        <f>'中国汇率&amp;期货（change）'!S50/'中国汇率&amp;期货（vol）'!S50</f>
      </c>
      <c r="T50" s="4">
        <f>'中国汇率&amp;期货（change）'!T50/'中国汇率&amp;期货（vol）'!T50</f>
      </c>
      <c r="U50" s="4">
        <f>'中国汇率&amp;期货（change）'!U50/'中国汇率&amp;期货（vol）'!U50</f>
      </c>
      <c r="V50" s="4">
        <f>'中国汇率&amp;期货（change）'!V50/'中国汇率&amp;期货（vol）'!V50</f>
      </c>
      <c r="W50" s="4">
        <f>'中国汇率&amp;期货（change）'!W50/'中国汇率&amp;期货（vol）'!W50</f>
      </c>
      <c r="X50" s="4">
        <f>'中国汇率&amp;期货（change）'!X50/'中国汇率&amp;期货（vol）'!X50</f>
      </c>
      <c r="Y50" s="4">
        <f>'中国汇率&amp;期货（change）'!Y50/'中国汇率&amp;期货（vol）'!Y50</f>
      </c>
      <c r="Z50" s="4">
        <f>'中国汇率&amp;期货（change）'!Z50/'中国汇率&amp;期货（vol）'!Z50</f>
      </c>
      <c r="AA50" s="4">
        <f>'中国汇率&amp;期货（change）'!AA50/'中国汇率&amp;期货（vol）'!AA50</f>
      </c>
      <c r="AB50" s="4">
        <f>'中国汇率&amp;期货（change）'!AB50/'中国汇率&amp;期货（vol）'!AB50</f>
      </c>
      <c r="AC50" s="4">
        <f>'中国汇率&amp;期货（change）'!AC50/'中国汇率&amp;期货（vol）'!AC50</f>
      </c>
      <c r="AD50" s="4">
        <f>'中国汇率&amp;期货（change）'!AD50/'中国汇率&amp;期货（vol）'!AD50</f>
      </c>
      <c r="AE50" s="4">
        <f>'中国汇率&amp;期货（change）'!AE50/'中国汇率&amp;期货（vol）'!AE50</f>
      </c>
      <c r="AF50" s="4">
        <f>'中国汇率&amp;期货（change）'!AF50/'中国汇率&amp;期货（vol）'!AF50</f>
      </c>
      <c r="AG50" s="4">
        <f>'中国汇率&amp;期货（change）'!AG50/'中国汇率&amp;期货（vol）'!AG50</f>
      </c>
      <c r="AH50" s="4">
        <f>'中国汇率&amp;期货（change）'!AH50/'中国汇率&amp;期货（vol）'!AH50</f>
      </c>
      <c r="AI50" s="4">
        <f>'中国汇率&amp;期货（change）'!AI50/'中国汇率&amp;期货（vol）'!AI50</f>
      </c>
      <c r="AJ50" s="4">
        <f>'中国汇率&amp;期货（change）'!AJ50/'中国汇率&amp;期货（vol）'!AJ50</f>
      </c>
      <c r="AK50" s="4">
        <f>'中国汇率&amp;期货（change）'!AK50/'中国汇率&amp;期货（vol）'!AK50</f>
      </c>
      <c r="AL50" s="4">
        <f>'中国汇率&amp;期货（change）'!AL50/'中国汇率&amp;期货（vol）'!AL50</f>
      </c>
      <c r="AM50" s="4">
        <f>'中国汇率&amp;期货（change）'!AM50/'中国汇率&amp;期货（vol）'!AM50</f>
      </c>
      <c r="AN50" s="4">
        <f>'中国汇率&amp;期货（change）'!AN50/'中国汇率&amp;期货（vol）'!AN50</f>
      </c>
      <c r="AO50" s="4">
        <f>'中国汇率&amp;期货（change）'!AO50/'中国汇率&amp;期货（vol）'!AO50</f>
      </c>
      <c r="AP50" s="4">
        <f>'中国汇率&amp;期货（change）'!AP50/'中国汇率&amp;期货（vol）'!AP50</f>
      </c>
      <c r="AQ50" s="4">
        <f>'中国汇率&amp;期货（change）'!AQ50/'中国汇率&amp;期货（vol）'!AQ50</f>
      </c>
      <c r="AR50" s="4">
        <f>'中国汇率&amp;期货（change）'!AR50/'中国汇率&amp;期货（vol）'!AR50</f>
      </c>
      <c r="AS50" s="4">
        <f>'中国汇率&amp;期货（change）'!AS50/'中国汇率&amp;期货（vol）'!AS50</f>
      </c>
      <c r="AT50" s="4">
        <f>'中国汇率&amp;期货（change）'!AT50/'中国汇率&amp;期货（vol）'!AT50</f>
      </c>
      <c r="AU50" s="4">
        <f>'中国汇率&amp;期货（change）'!AU50/'中国汇率&amp;期货（vol）'!AU50</f>
      </c>
      <c r="AV50" s="4">
        <f>'中国汇率&amp;期货（change）'!AV50/'中国汇率&amp;期货（vol）'!AV50</f>
      </c>
      <c r="AW50" s="4">
        <f>'中国汇率&amp;期货（change）'!AW50/'中国汇率&amp;期货（vol）'!AW50</f>
      </c>
      <c r="AX50" s="4">
        <f>'中国汇率&amp;期货（change）'!AX50/'中国汇率&amp;期货（vol）'!AX50</f>
      </c>
      <c r="AY50" s="4">
        <f>'中国汇率&amp;期货（change）'!AY50/'中国汇率&amp;期货（vol）'!AY50</f>
      </c>
      <c r="AZ50" s="4">
        <f>'中国汇率&amp;期货（change）'!AZ50/'中国汇率&amp;期货（vol）'!AZ50</f>
      </c>
      <c r="BA50" s="4">
        <f>'中国汇率&amp;期货（change）'!BA50/'中国汇率&amp;期货（vol）'!BA50</f>
      </c>
      <c r="BB50" s="4">
        <f>'中国汇率&amp;期货（change）'!BB50/'中国汇率&amp;期货（vol）'!BB50</f>
      </c>
      <c r="BC50" s="4">
        <f>'中国汇率&amp;期货（change）'!BC50/'中国汇率&amp;期货（vol）'!BC50</f>
      </c>
      <c r="BD50" s="4">
        <f>'中国汇率&amp;期货（change）'!BD50/'中国汇率&amp;期货（vol）'!BD50</f>
      </c>
      <c r="BE50" s="4">
        <f>'中国汇率&amp;期货（change）'!BE50/'中国汇率&amp;期货（vol）'!BE50</f>
      </c>
    </row>
    <row x14ac:dyDescent="0.25" r="51" customHeight="1" ht="18.75">
      <c r="A51" s="1"/>
      <c r="B51" s="4">
        <f>'中国汇率&amp;期货（change）'!B51/'中国汇率&amp;期货（vol）'!B51</f>
      </c>
      <c r="C51" s="4">
        <f>'中国汇率&amp;期货（change）'!C51/'中国汇率&amp;期货（vol）'!C51</f>
      </c>
      <c r="D51" s="4">
        <f>'中国汇率&amp;期货（change）'!D51/'中国汇率&amp;期货（vol）'!D51</f>
      </c>
      <c r="E51" s="4">
        <f>'中国汇率&amp;期货（change）'!E51/'中国汇率&amp;期货（vol）'!E51</f>
      </c>
      <c r="F51" s="4">
        <f>'中国汇率&amp;期货（change）'!F51/'中国汇率&amp;期货（vol）'!F51</f>
      </c>
      <c r="G51" s="4">
        <f>'中国汇率&amp;期货（change）'!G51/'中国汇率&amp;期货（vol）'!G51</f>
      </c>
      <c r="H51" s="4">
        <f>'中国汇率&amp;期货（change）'!H51/'中国汇率&amp;期货（vol）'!H51</f>
      </c>
      <c r="I51" s="4">
        <f>'中国汇率&amp;期货（change）'!I51/'中国汇率&amp;期货（vol）'!I51</f>
      </c>
      <c r="J51" s="4">
        <f>'中国汇率&amp;期货（change）'!J51/'中国汇率&amp;期货（vol）'!J51</f>
      </c>
      <c r="K51" s="4">
        <f>'中国汇率&amp;期货（change）'!K51/'中国汇率&amp;期货（vol）'!K51</f>
      </c>
      <c r="L51" s="4">
        <f>'中国汇率&amp;期货（change）'!L51/'中国汇率&amp;期货（vol）'!L51</f>
      </c>
      <c r="M51" s="4">
        <f>'中国汇率&amp;期货（change）'!M51/'中国汇率&amp;期货（vol）'!M51</f>
      </c>
      <c r="N51" s="4">
        <f>'中国汇率&amp;期货（change）'!N51/'中国汇率&amp;期货（vol）'!N51</f>
      </c>
      <c r="O51" s="4">
        <f>'中国汇率&amp;期货（change）'!O51/'中国汇率&amp;期货（vol）'!O51</f>
      </c>
      <c r="P51" s="4">
        <f>'中国汇率&amp;期货（change）'!P51/'中国汇率&amp;期货（vol）'!P51</f>
      </c>
      <c r="Q51" s="4">
        <f>'中国汇率&amp;期货（change）'!Q51/'中国汇率&amp;期货（vol）'!Q51</f>
      </c>
      <c r="R51" s="4">
        <f>'中国汇率&amp;期货（change）'!R51/'中国汇率&amp;期货（vol）'!R51</f>
      </c>
      <c r="S51" s="4">
        <f>'中国汇率&amp;期货（change）'!S51/'中国汇率&amp;期货（vol）'!S51</f>
      </c>
      <c r="T51" s="4">
        <f>'中国汇率&amp;期货（change）'!T51/'中国汇率&amp;期货（vol）'!T51</f>
      </c>
      <c r="U51" s="4">
        <f>'中国汇率&amp;期货（change）'!U51/'中国汇率&amp;期货（vol）'!U51</f>
      </c>
      <c r="V51" s="4">
        <f>'中国汇率&amp;期货（change）'!V51/'中国汇率&amp;期货（vol）'!V51</f>
      </c>
      <c r="W51" s="4">
        <f>'中国汇率&amp;期货（change）'!W51/'中国汇率&amp;期货（vol）'!W51</f>
      </c>
      <c r="X51" s="4">
        <f>'中国汇率&amp;期货（change）'!X51/'中国汇率&amp;期货（vol）'!X51</f>
      </c>
      <c r="Y51" s="4">
        <f>'中国汇率&amp;期货（change）'!Y51/'中国汇率&amp;期货（vol）'!Y51</f>
      </c>
      <c r="Z51" s="4">
        <f>'中国汇率&amp;期货（change）'!Z51/'中国汇率&amp;期货（vol）'!Z51</f>
      </c>
      <c r="AA51" s="4">
        <f>'中国汇率&amp;期货（change）'!AA51/'中国汇率&amp;期货（vol）'!AA51</f>
      </c>
      <c r="AB51" s="4">
        <f>'中国汇率&amp;期货（change）'!AB51/'中国汇率&amp;期货（vol）'!AB51</f>
      </c>
      <c r="AC51" s="4">
        <f>'中国汇率&amp;期货（change）'!AC51/'中国汇率&amp;期货（vol）'!AC51</f>
      </c>
      <c r="AD51" s="4">
        <f>'中国汇率&amp;期货（change）'!AD51/'中国汇率&amp;期货（vol）'!AD51</f>
      </c>
      <c r="AE51" s="4">
        <f>'中国汇率&amp;期货（change）'!AE51/'中国汇率&amp;期货（vol）'!AE51</f>
      </c>
      <c r="AF51" s="4">
        <f>'中国汇率&amp;期货（change）'!AF51/'中国汇率&amp;期货（vol）'!AF51</f>
      </c>
      <c r="AG51" s="4">
        <f>'中国汇率&amp;期货（change）'!AG51/'中国汇率&amp;期货（vol）'!AG51</f>
      </c>
      <c r="AH51" s="4">
        <f>'中国汇率&amp;期货（change）'!AH51/'中国汇率&amp;期货（vol）'!AH51</f>
      </c>
      <c r="AI51" s="4">
        <f>'中国汇率&amp;期货（change）'!AI51/'中国汇率&amp;期货（vol）'!AI51</f>
      </c>
      <c r="AJ51" s="4">
        <f>'中国汇率&amp;期货（change）'!AJ51/'中国汇率&amp;期货（vol）'!AJ51</f>
      </c>
      <c r="AK51" s="4">
        <f>'中国汇率&amp;期货（change）'!AK51/'中国汇率&amp;期货（vol）'!AK51</f>
      </c>
      <c r="AL51" s="4">
        <f>'中国汇率&amp;期货（change）'!AL51/'中国汇率&amp;期货（vol）'!AL51</f>
      </c>
      <c r="AM51" s="4">
        <f>'中国汇率&amp;期货（change）'!AM51/'中国汇率&amp;期货（vol）'!AM51</f>
      </c>
      <c r="AN51" s="4">
        <f>'中国汇率&amp;期货（change）'!AN51/'中国汇率&amp;期货（vol）'!AN51</f>
      </c>
      <c r="AO51" s="4">
        <f>'中国汇率&amp;期货（change）'!AO51/'中国汇率&amp;期货（vol）'!AO51</f>
      </c>
      <c r="AP51" s="4">
        <f>'中国汇率&amp;期货（change）'!AP51/'中国汇率&amp;期货（vol）'!AP51</f>
      </c>
      <c r="AQ51" s="4">
        <f>'中国汇率&amp;期货（change）'!AQ51/'中国汇率&amp;期货（vol）'!AQ51</f>
      </c>
      <c r="AR51" s="4">
        <f>'中国汇率&amp;期货（change）'!AR51/'中国汇率&amp;期货（vol）'!AR51</f>
      </c>
      <c r="AS51" s="4">
        <f>'中国汇率&amp;期货（change）'!AS51/'中国汇率&amp;期货（vol）'!AS51</f>
      </c>
      <c r="AT51" s="4">
        <f>'中国汇率&amp;期货（change）'!AT51/'中国汇率&amp;期货（vol）'!AT51</f>
      </c>
      <c r="AU51" s="4">
        <f>'中国汇率&amp;期货（change）'!AU51/'中国汇率&amp;期货（vol）'!AU51</f>
      </c>
      <c r="AV51" s="4">
        <f>'中国汇率&amp;期货（change）'!AV51/'中国汇率&amp;期货（vol）'!AV51</f>
      </c>
      <c r="AW51" s="4">
        <f>'中国汇率&amp;期货（change）'!AW51/'中国汇率&amp;期货（vol）'!AW51</f>
      </c>
      <c r="AX51" s="4">
        <f>'中国汇率&amp;期货（change）'!AX51/'中国汇率&amp;期货（vol）'!AX51</f>
      </c>
      <c r="AY51" s="4">
        <f>'中国汇率&amp;期货（change）'!AY51/'中国汇率&amp;期货（vol）'!AY51</f>
      </c>
      <c r="AZ51" s="4">
        <f>'中国汇率&amp;期货（change）'!AZ51/'中国汇率&amp;期货（vol）'!AZ51</f>
      </c>
      <c r="BA51" s="4">
        <f>'中国汇率&amp;期货（change）'!BA51/'中国汇率&amp;期货（vol）'!BA51</f>
      </c>
      <c r="BB51" s="4">
        <f>'中国汇率&amp;期货（change）'!BB51/'中国汇率&amp;期货（vol）'!BB51</f>
      </c>
      <c r="BC51" s="4">
        <f>'中国汇率&amp;期货（change）'!BC51/'中国汇率&amp;期货（vol）'!BC51</f>
      </c>
      <c r="BD51" s="4">
        <f>'中国汇率&amp;期货（change）'!BD51/'中国汇率&amp;期货（vol）'!BD51</f>
      </c>
      <c r="BE51" s="4">
        <f>'中国汇率&amp;期货（change）'!BE51/'中国汇率&amp;期货（vol）'!BE51</f>
      </c>
    </row>
    <row x14ac:dyDescent="0.25" r="52" customHeight="1" ht="18.75">
      <c r="A52" s="1"/>
      <c r="B52" s="4">
        <f>'中国汇率&amp;期货（change）'!B52/'中国汇率&amp;期货（vol）'!B52</f>
      </c>
      <c r="C52" s="4">
        <f>'中国汇率&amp;期货（change）'!C52/'中国汇率&amp;期货（vol）'!C52</f>
      </c>
      <c r="D52" s="4">
        <f>'中国汇率&amp;期货（change）'!D52/'中国汇率&amp;期货（vol）'!D52</f>
      </c>
      <c r="E52" s="4">
        <f>'中国汇率&amp;期货（change）'!E52/'中国汇率&amp;期货（vol）'!E52</f>
      </c>
      <c r="F52" s="4">
        <f>'中国汇率&amp;期货（change）'!F52/'中国汇率&amp;期货（vol）'!F52</f>
      </c>
      <c r="G52" s="4">
        <f>'中国汇率&amp;期货（change）'!G52/'中国汇率&amp;期货（vol）'!G52</f>
      </c>
      <c r="H52" s="4">
        <f>'中国汇率&amp;期货（change）'!H52/'中国汇率&amp;期货（vol）'!H52</f>
      </c>
      <c r="I52" s="4">
        <f>'中国汇率&amp;期货（change）'!I52/'中国汇率&amp;期货（vol）'!I52</f>
      </c>
      <c r="J52" s="4">
        <f>'中国汇率&amp;期货（change）'!J52/'中国汇率&amp;期货（vol）'!J52</f>
      </c>
      <c r="K52" s="4">
        <f>'中国汇率&amp;期货（change）'!K52/'中国汇率&amp;期货（vol）'!K52</f>
      </c>
      <c r="L52" s="4">
        <f>'中国汇率&amp;期货（change）'!L52/'中国汇率&amp;期货（vol）'!L52</f>
      </c>
      <c r="M52" s="4">
        <f>'中国汇率&amp;期货（change）'!M52/'中国汇率&amp;期货（vol）'!M52</f>
      </c>
      <c r="N52" s="4">
        <f>'中国汇率&amp;期货（change）'!N52/'中国汇率&amp;期货（vol）'!N52</f>
      </c>
      <c r="O52" s="4">
        <f>'中国汇率&amp;期货（change）'!O52/'中国汇率&amp;期货（vol）'!O52</f>
      </c>
      <c r="P52" s="4">
        <f>'中国汇率&amp;期货（change）'!P52/'中国汇率&amp;期货（vol）'!P52</f>
      </c>
      <c r="Q52" s="4">
        <f>'中国汇率&amp;期货（change）'!Q52/'中国汇率&amp;期货（vol）'!Q52</f>
      </c>
      <c r="R52" s="4">
        <f>'中国汇率&amp;期货（change）'!R52/'中国汇率&amp;期货（vol）'!R52</f>
      </c>
      <c r="S52" s="4">
        <f>'中国汇率&amp;期货（change）'!S52/'中国汇率&amp;期货（vol）'!S52</f>
      </c>
      <c r="T52" s="4">
        <f>'中国汇率&amp;期货（change）'!T52/'中国汇率&amp;期货（vol）'!T52</f>
      </c>
      <c r="U52" s="4">
        <f>'中国汇率&amp;期货（change）'!U52/'中国汇率&amp;期货（vol）'!U52</f>
      </c>
      <c r="V52" s="4">
        <f>'中国汇率&amp;期货（change）'!V52/'中国汇率&amp;期货（vol）'!V52</f>
      </c>
      <c r="W52" s="4">
        <f>'中国汇率&amp;期货（change）'!W52/'中国汇率&amp;期货（vol）'!W52</f>
      </c>
      <c r="X52" s="4">
        <f>'中国汇率&amp;期货（change）'!X52/'中国汇率&amp;期货（vol）'!X52</f>
      </c>
      <c r="Y52" s="4">
        <f>'中国汇率&amp;期货（change）'!Y52/'中国汇率&amp;期货（vol）'!Y52</f>
      </c>
      <c r="Z52" s="4">
        <f>'中国汇率&amp;期货（change）'!Z52/'中国汇率&amp;期货（vol）'!Z52</f>
      </c>
      <c r="AA52" s="4">
        <f>'中国汇率&amp;期货（change）'!AA52/'中国汇率&amp;期货（vol）'!AA52</f>
      </c>
      <c r="AB52" s="4">
        <f>'中国汇率&amp;期货（change）'!AB52/'中国汇率&amp;期货（vol）'!AB52</f>
      </c>
      <c r="AC52" s="4">
        <f>'中国汇率&amp;期货（change）'!AC52/'中国汇率&amp;期货（vol）'!AC52</f>
      </c>
      <c r="AD52" s="4">
        <f>'中国汇率&amp;期货（change）'!AD52/'中国汇率&amp;期货（vol）'!AD52</f>
      </c>
      <c r="AE52" s="4">
        <f>'中国汇率&amp;期货（change）'!AE52/'中国汇率&amp;期货（vol）'!AE52</f>
      </c>
      <c r="AF52" s="4">
        <f>'中国汇率&amp;期货（change）'!AF52/'中国汇率&amp;期货（vol）'!AF52</f>
      </c>
      <c r="AG52" s="4">
        <f>'中国汇率&amp;期货（change）'!AG52/'中国汇率&amp;期货（vol）'!AG52</f>
      </c>
      <c r="AH52" s="4">
        <f>'中国汇率&amp;期货（change）'!AH52/'中国汇率&amp;期货（vol）'!AH52</f>
      </c>
      <c r="AI52" s="4">
        <f>'中国汇率&amp;期货（change）'!AI52/'中国汇率&amp;期货（vol）'!AI52</f>
      </c>
      <c r="AJ52" s="4">
        <f>'中国汇率&amp;期货（change）'!AJ52/'中国汇率&amp;期货（vol）'!AJ52</f>
      </c>
      <c r="AK52" s="4">
        <f>'中国汇率&amp;期货（change）'!AK52/'中国汇率&amp;期货（vol）'!AK52</f>
      </c>
      <c r="AL52" s="4">
        <f>'中国汇率&amp;期货（change）'!AL52/'中国汇率&amp;期货（vol）'!AL52</f>
      </c>
      <c r="AM52" s="4">
        <f>'中国汇率&amp;期货（change）'!AM52/'中国汇率&amp;期货（vol）'!AM52</f>
      </c>
      <c r="AN52" s="4">
        <f>'中国汇率&amp;期货（change）'!AN52/'中国汇率&amp;期货（vol）'!AN52</f>
      </c>
      <c r="AO52" s="4">
        <f>'中国汇率&amp;期货（change）'!AO52/'中国汇率&amp;期货（vol）'!AO52</f>
      </c>
      <c r="AP52" s="4">
        <f>'中国汇率&amp;期货（change）'!AP52/'中国汇率&amp;期货（vol）'!AP52</f>
      </c>
      <c r="AQ52" s="4">
        <f>'中国汇率&amp;期货（change）'!AQ52/'中国汇率&amp;期货（vol）'!AQ52</f>
      </c>
      <c r="AR52" s="4">
        <f>'中国汇率&amp;期货（change）'!AR52/'中国汇率&amp;期货（vol）'!AR52</f>
      </c>
      <c r="AS52" s="4">
        <f>'中国汇率&amp;期货（change）'!AS52/'中国汇率&amp;期货（vol）'!AS52</f>
      </c>
      <c r="AT52" s="4">
        <f>'中国汇率&amp;期货（change）'!AT52/'中国汇率&amp;期货（vol）'!AT52</f>
      </c>
      <c r="AU52" s="4">
        <f>'中国汇率&amp;期货（change）'!AU52/'中国汇率&amp;期货（vol）'!AU52</f>
      </c>
      <c r="AV52" s="4">
        <f>'中国汇率&amp;期货（change）'!AV52/'中国汇率&amp;期货（vol）'!AV52</f>
      </c>
      <c r="AW52" s="4">
        <f>'中国汇率&amp;期货（change）'!AW52/'中国汇率&amp;期货（vol）'!AW52</f>
      </c>
      <c r="AX52" s="4">
        <f>'中国汇率&amp;期货（change）'!AX52/'中国汇率&amp;期货（vol）'!AX52</f>
      </c>
      <c r="AY52" s="4">
        <f>'中国汇率&amp;期货（change）'!AY52/'中国汇率&amp;期货（vol）'!AY52</f>
      </c>
      <c r="AZ52" s="4">
        <f>'中国汇率&amp;期货（change）'!AZ52/'中国汇率&amp;期货（vol）'!AZ52</f>
      </c>
      <c r="BA52" s="4">
        <f>'中国汇率&amp;期货（change）'!BA52/'中国汇率&amp;期货（vol）'!BA52</f>
      </c>
      <c r="BB52" s="4">
        <f>'中国汇率&amp;期货（change）'!BB52/'中国汇率&amp;期货（vol）'!BB52</f>
      </c>
      <c r="BC52" s="4">
        <f>'中国汇率&amp;期货（change）'!BC52/'中国汇率&amp;期货（vol）'!BC52</f>
      </c>
      <c r="BD52" s="4">
        <f>'中国汇率&amp;期货（change）'!BD52/'中国汇率&amp;期货（vol）'!BD52</f>
      </c>
      <c r="BE52" s="4">
        <f>'中国汇率&amp;期货（change）'!BE52/'中国汇率&amp;期货（vol）'!BE52</f>
      </c>
    </row>
    <row x14ac:dyDescent="0.25" r="53" customHeight="1" ht="18.75">
      <c r="A53" s="1"/>
      <c r="B53" s="4">
        <f>'中国汇率&amp;期货（change）'!B53/'中国汇率&amp;期货（vol）'!B53</f>
      </c>
      <c r="C53" s="4">
        <f>'中国汇率&amp;期货（change）'!C53/'中国汇率&amp;期货（vol）'!C53</f>
      </c>
      <c r="D53" s="4">
        <f>'中国汇率&amp;期货（change）'!D53/'中国汇率&amp;期货（vol）'!D53</f>
      </c>
      <c r="E53" s="4">
        <f>'中国汇率&amp;期货（change）'!E53/'中国汇率&amp;期货（vol）'!E53</f>
      </c>
      <c r="F53" s="4">
        <f>'中国汇率&amp;期货（change）'!F53/'中国汇率&amp;期货（vol）'!F53</f>
      </c>
      <c r="G53" s="4">
        <f>'中国汇率&amp;期货（change）'!G53/'中国汇率&amp;期货（vol）'!G53</f>
      </c>
      <c r="H53" s="4">
        <f>'中国汇率&amp;期货（change）'!H53/'中国汇率&amp;期货（vol）'!H53</f>
      </c>
      <c r="I53" s="4">
        <f>'中国汇率&amp;期货（change）'!I53/'中国汇率&amp;期货（vol）'!I53</f>
      </c>
      <c r="J53" s="4">
        <f>'中国汇率&amp;期货（change）'!J53/'中国汇率&amp;期货（vol）'!J53</f>
      </c>
      <c r="K53" s="4">
        <f>'中国汇率&amp;期货（change）'!K53/'中国汇率&amp;期货（vol）'!K53</f>
      </c>
      <c r="L53" s="4">
        <f>'中国汇率&amp;期货（change）'!L53/'中国汇率&amp;期货（vol）'!L53</f>
      </c>
      <c r="M53" s="4">
        <f>'中国汇率&amp;期货（change）'!M53/'中国汇率&amp;期货（vol）'!M53</f>
      </c>
      <c r="N53" s="4">
        <f>'中国汇率&amp;期货（change）'!N53/'中国汇率&amp;期货（vol）'!N53</f>
      </c>
      <c r="O53" s="4">
        <f>'中国汇率&amp;期货（change）'!O53/'中国汇率&amp;期货（vol）'!O53</f>
      </c>
      <c r="P53" s="4">
        <f>'中国汇率&amp;期货（change）'!P53/'中国汇率&amp;期货（vol）'!P53</f>
      </c>
      <c r="Q53" s="4">
        <f>'中国汇率&amp;期货（change）'!Q53/'中国汇率&amp;期货（vol）'!Q53</f>
      </c>
      <c r="R53" s="4">
        <f>'中国汇率&amp;期货（change）'!R53/'中国汇率&amp;期货（vol）'!R53</f>
      </c>
      <c r="S53" s="4">
        <f>'中国汇率&amp;期货（change）'!S53/'中国汇率&amp;期货（vol）'!S53</f>
      </c>
      <c r="T53" s="4">
        <f>'中国汇率&amp;期货（change）'!T53/'中国汇率&amp;期货（vol）'!T53</f>
      </c>
      <c r="U53" s="4">
        <f>'中国汇率&amp;期货（change）'!U53/'中国汇率&amp;期货（vol）'!U53</f>
      </c>
      <c r="V53" s="4">
        <f>'中国汇率&amp;期货（change）'!V53/'中国汇率&amp;期货（vol）'!V53</f>
      </c>
      <c r="W53" s="4">
        <f>'中国汇率&amp;期货（change）'!W53/'中国汇率&amp;期货（vol）'!W53</f>
      </c>
      <c r="X53" s="4">
        <f>'中国汇率&amp;期货（change）'!X53/'中国汇率&amp;期货（vol）'!X53</f>
      </c>
      <c r="Y53" s="4">
        <f>'中国汇率&amp;期货（change）'!Y53/'中国汇率&amp;期货（vol）'!Y53</f>
      </c>
      <c r="Z53" s="4">
        <f>'中国汇率&amp;期货（change）'!Z53/'中国汇率&amp;期货（vol）'!Z53</f>
      </c>
      <c r="AA53" s="4">
        <f>'中国汇率&amp;期货（change）'!AA53/'中国汇率&amp;期货（vol）'!AA53</f>
      </c>
      <c r="AB53" s="4">
        <f>'中国汇率&amp;期货（change）'!AB53/'中国汇率&amp;期货（vol）'!AB53</f>
      </c>
      <c r="AC53" s="4">
        <f>'中国汇率&amp;期货（change）'!AC53/'中国汇率&amp;期货（vol）'!AC53</f>
      </c>
      <c r="AD53" s="4">
        <f>'中国汇率&amp;期货（change）'!AD53/'中国汇率&amp;期货（vol）'!AD53</f>
      </c>
      <c r="AE53" s="4">
        <f>'中国汇率&amp;期货（change）'!AE53/'中国汇率&amp;期货（vol）'!AE53</f>
      </c>
      <c r="AF53" s="4">
        <f>'中国汇率&amp;期货（change）'!AF53/'中国汇率&amp;期货（vol）'!AF53</f>
      </c>
      <c r="AG53" s="4">
        <f>'中国汇率&amp;期货（change）'!AG53/'中国汇率&amp;期货（vol）'!AG53</f>
      </c>
      <c r="AH53" s="4">
        <f>'中国汇率&amp;期货（change）'!AH53/'中国汇率&amp;期货（vol）'!AH53</f>
      </c>
      <c r="AI53" s="4">
        <f>'中国汇率&amp;期货（change）'!AI53/'中国汇率&amp;期货（vol）'!AI53</f>
      </c>
      <c r="AJ53" s="4">
        <f>'中国汇率&amp;期货（change）'!AJ53/'中国汇率&amp;期货（vol）'!AJ53</f>
      </c>
      <c r="AK53" s="4">
        <f>'中国汇率&amp;期货（change）'!AK53/'中国汇率&amp;期货（vol）'!AK53</f>
      </c>
      <c r="AL53" s="4">
        <f>'中国汇率&amp;期货（change）'!AL53/'中国汇率&amp;期货（vol）'!AL53</f>
      </c>
      <c r="AM53" s="4">
        <f>'中国汇率&amp;期货（change）'!AM53/'中国汇率&amp;期货（vol）'!AM53</f>
      </c>
      <c r="AN53" s="4">
        <f>'中国汇率&amp;期货（change）'!AN53/'中国汇率&amp;期货（vol）'!AN53</f>
      </c>
      <c r="AO53" s="4">
        <f>'中国汇率&amp;期货（change）'!AO53/'中国汇率&amp;期货（vol）'!AO53</f>
      </c>
      <c r="AP53" s="4">
        <f>'中国汇率&amp;期货（change）'!AP53/'中国汇率&amp;期货（vol）'!AP53</f>
      </c>
      <c r="AQ53" s="4">
        <f>'中国汇率&amp;期货（change）'!AQ53/'中国汇率&amp;期货（vol）'!AQ53</f>
      </c>
      <c r="AR53" s="4">
        <f>'中国汇率&amp;期货（change）'!AR53/'中国汇率&amp;期货（vol）'!AR53</f>
      </c>
      <c r="AS53" s="4">
        <f>'中国汇率&amp;期货（change）'!AS53/'中国汇率&amp;期货（vol）'!AS53</f>
      </c>
      <c r="AT53" s="4">
        <f>'中国汇率&amp;期货（change）'!AT53/'中国汇率&amp;期货（vol）'!AT53</f>
      </c>
      <c r="AU53" s="4">
        <f>'中国汇率&amp;期货（change）'!AU53/'中国汇率&amp;期货（vol）'!AU53</f>
      </c>
      <c r="AV53" s="4">
        <f>'中国汇率&amp;期货（change）'!AV53/'中国汇率&amp;期货（vol）'!AV53</f>
      </c>
      <c r="AW53" s="4">
        <f>'中国汇率&amp;期货（change）'!AW53/'中国汇率&amp;期货（vol）'!AW53</f>
      </c>
      <c r="AX53" s="4">
        <f>'中国汇率&amp;期货（change）'!AX53/'中国汇率&amp;期货（vol）'!AX53</f>
      </c>
      <c r="AY53" s="4">
        <f>'中国汇率&amp;期货（change）'!AY53/'中国汇率&amp;期货（vol）'!AY53</f>
      </c>
      <c r="AZ53" s="4">
        <f>'中国汇率&amp;期货（change）'!AZ53/'中国汇率&amp;期货（vol）'!AZ53</f>
      </c>
      <c r="BA53" s="4">
        <f>'中国汇率&amp;期货（change）'!BA53/'中国汇率&amp;期货（vol）'!BA53</f>
      </c>
      <c r="BB53" s="4">
        <f>'中国汇率&amp;期货（change）'!BB53/'中国汇率&amp;期货（vol）'!BB53</f>
      </c>
      <c r="BC53" s="4">
        <f>'中国汇率&amp;期货（change）'!BC53/'中国汇率&amp;期货（vol）'!BC53</f>
      </c>
      <c r="BD53" s="4">
        <f>'中国汇率&amp;期货（change）'!BD53/'中国汇率&amp;期货（vol）'!BD53</f>
      </c>
      <c r="BE53" s="4">
        <f>'中国汇率&amp;期货（change）'!BE53/'中国汇率&amp;期货（vol）'!BE53</f>
      </c>
    </row>
    <row x14ac:dyDescent="0.25" r="54" customHeight="1" ht="18.75">
      <c r="A54" s="1"/>
      <c r="B54" s="4">
        <f>'中国汇率&amp;期货（change）'!B54/'中国汇率&amp;期货（vol）'!B54</f>
      </c>
      <c r="C54" s="4">
        <f>'中国汇率&amp;期货（change）'!C54/'中国汇率&amp;期货（vol）'!C54</f>
      </c>
      <c r="D54" s="4">
        <f>'中国汇率&amp;期货（change）'!D54/'中国汇率&amp;期货（vol）'!D54</f>
      </c>
      <c r="E54" s="4">
        <f>'中国汇率&amp;期货（change）'!E54/'中国汇率&amp;期货（vol）'!E54</f>
      </c>
      <c r="F54" s="4">
        <f>'中国汇率&amp;期货（change）'!F54/'中国汇率&amp;期货（vol）'!F54</f>
      </c>
      <c r="G54" s="4">
        <f>'中国汇率&amp;期货（change）'!G54/'中国汇率&amp;期货（vol）'!G54</f>
      </c>
      <c r="H54" s="4">
        <f>'中国汇率&amp;期货（change）'!H54/'中国汇率&amp;期货（vol）'!H54</f>
      </c>
      <c r="I54" s="4">
        <f>'中国汇率&amp;期货（change）'!I54/'中国汇率&amp;期货（vol）'!I54</f>
      </c>
      <c r="J54" s="4">
        <f>'中国汇率&amp;期货（change）'!J54/'中国汇率&amp;期货（vol）'!J54</f>
      </c>
      <c r="K54" s="4">
        <f>'中国汇率&amp;期货（change）'!K54/'中国汇率&amp;期货（vol）'!K54</f>
      </c>
      <c r="L54" s="4">
        <f>'中国汇率&amp;期货（change）'!L54/'中国汇率&amp;期货（vol）'!L54</f>
      </c>
      <c r="M54" s="4">
        <f>'中国汇率&amp;期货（change）'!M54/'中国汇率&amp;期货（vol）'!M54</f>
      </c>
      <c r="N54" s="4">
        <f>'中国汇率&amp;期货（change）'!N54/'中国汇率&amp;期货（vol）'!N54</f>
      </c>
      <c r="O54" s="4">
        <f>'中国汇率&amp;期货（change）'!O54/'中国汇率&amp;期货（vol）'!O54</f>
      </c>
      <c r="P54" s="4">
        <f>'中国汇率&amp;期货（change）'!P54/'中国汇率&amp;期货（vol）'!P54</f>
      </c>
      <c r="Q54" s="4">
        <f>'中国汇率&amp;期货（change）'!Q54/'中国汇率&amp;期货（vol）'!Q54</f>
      </c>
      <c r="R54" s="4">
        <f>'中国汇率&amp;期货（change）'!R54/'中国汇率&amp;期货（vol）'!R54</f>
      </c>
      <c r="S54" s="4">
        <f>'中国汇率&amp;期货（change）'!S54/'中国汇率&amp;期货（vol）'!S54</f>
      </c>
      <c r="T54" s="4">
        <f>'中国汇率&amp;期货（change）'!T54/'中国汇率&amp;期货（vol）'!T54</f>
      </c>
      <c r="U54" s="4">
        <f>'中国汇率&amp;期货（change）'!U54/'中国汇率&amp;期货（vol）'!U54</f>
      </c>
      <c r="V54" s="4">
        <f>'中国汇率&amp;期货（change）'!V54/'中国汇率&amp;期货（vol）'!V54</f>
      </c>
      <c r="W54" s="4">
        <f>'中国汇率&amp;期货（change）'!W54/'中国汇率&amp;期货（vol）'!W54</f>
      </c>
      <c r="X54" s="4">
        <f>'中国汇率&amp;期货（change）'!X54/'中国汇率&amp;期货（vol）'!X54</f>
      </c>
      <c r="Y54" s="4">
        <f>'中国汇率&amp;期货（change）'!Y54/'中国汇率&amp;期货（vol）'!Y54</f>
      </c>
      <c r="Z54" s="4">
        <f>'中国汇率&amp;期货（change）'!Z54/'中国汇率&amp;期货（vol）'!Z54</f>
      </c>
      <c r="AA54" s="4">
        <f>'中国汇率&amp;期货（change）'!AA54/'中国汇率&amp;期货（vol）'!AA54</f>
      </c>
      <c r="AB54" s="4">
        <f>'中国汇率&amp;期货（change）'!AB54/'中国汇率&amp;期货（vol）'!AB54</f>
      </c>
      <c r="AC54" s="4">
        <f>'中国汇率&amp;期货（change）'!AC54/'中国汇率&amp;期货（vol）'!AC54</f>
      </c>
      <c r="AD54" s="4">
        <f>'中国汇率&amp;期货（change）'!AD54/'中国汇率&amp;期货（vol）'!AD54</f>
      </c>
      <c r="AE54" s="4">
        <f>'中国汇率&amp;期货（change）'!AE54/'中国汇率&amp;期货（vol）'!AE54</f>
      </c>
      <c r="AF54" s="4">
        <f>'中国汇率&amp;期货（change）'!AF54/'中国汇率&amp;期货（vol）'!AF54</f>
      </c>
      <c r="AG54" s="4">
        <f>'中国汇率&amp;期货（change）'!AG54/'中国汇率&amp;期货（vol）'!AG54</f>
      </c>
      <c r="AH54" s="4">
        <f>'中国汇率&amp;期货（change）'!AH54/'中国汇率&amp;期货（vol）'!AH54</f>
      </c>
      <c r="AI54" s="4">
        <f>'中国汇率&amp;期货（change）'!AI54/'中国汇率&amp;期货（vol）'!AI54</f>
      </c>
      <c r="AJ54" s="4">
        <f>'中国汇率&amp;期货（change）'!AJ54/'中国汇率&amp;期货（vol）'!AJ54</f>
      </c>
      <c r="AK54" s="4">
        <f>'中国汇率&amp;期货（change）'!AK54/'中国汇率&amp;期货（vol）'!AK54</f>
      </c>
      <c r="AL54" s="4">
        <f>'中国汇率&amp;期货（change）'!AL54/'中国汇率&amp;期货（vol）'!AL54</f>
      </c>
      <c r="AM54" s="4">
        <f>'中国汇率&amp;期货（change）'!AM54/'中国汇率&amp;期货（vol）'!AM54</f>
      </c>
      <c r="AN54" s="4">
        <f>'中国汇率&amp;期货（change）'!AN54/'中国汇率&amp;期货（vol）'!AN54</f>
      </c>
      <c r="AO54" s="4">
        <f>'中国汇率&amp;期货（change）'!AO54/'中国汇率&amp;期货（vol）'!AO54</f>
      </c>
      <c r="AP54" s="4">
        <f>'中国汇率&amp;期货（change）'!AP54/'中国汇率&amp;期货（vol）'!AP54</f>
      </c>
      <c r="AQ54" s="4">
        <f>'中国汇率&amp;期货（change）'!AQ54/'中国汇率&amp;期货（vol）'!AQ54</f>
      </c>
      <c r="AR54" s="4">
        <f>'中国汇率&amp;期货（change）'!AR54/'中国汇率&amp;期货（vol）'!AR54</f>
      </c>
      <c r="AS54" s="4">
        <f>'中国汇率&amp;期货（change）'!AS54/'中国汇率&amp;期货（vol）'!AS54</f>
      </c>
      <c r="AT54" s="4">
        <f>'中国汇率&amp;期货（change）'!AT54/'中国汇率&amp;期货（vol）'!AT54</f>
      </c>
      <c r="AU54" s="4">
        <f>'中国汇率&amp;期货（change）'!AU54/'中国汇率&amp;期货（vol）'!AU54</f>
      </c>
      <c r="AV54" s="4">
        <f>'中国汇率&amp;期货（change）'!AV54/'中国汇率&amp;期货（vol）'!AV54</f>
      </c>
      <c r="AW54" s="4">
        <f>'中国汇率&amp;期货（change）'!AW54/'中国汇率&amp;期货（vol）'!AW54</f>
      </c>
      <c r="AX54" s="4">
        <f>'中国汇率&amp;期货（change）'!AX54/'中国汇率&amp;期货（vol）'!AX54</f>
      </c>
      <c r="AY54" s="4">
        <f>'中国汇率&amp;期货（change）'!AY54/'中国汇率&amp;期货（vol）'!AY54</f>
      </c>
      <c r="AZ54" s="4">
        <f>'中国汇率&amp;期货（change）'!AZ54/'中国汇率&amp;期货（vol）'!AZ54</f>
      </c>
      <c r="BA54" s="4">
        <f>'中国汇率&amp;期货（change）'!BA54/'中国汇率&amp;期货（vol）'!BA54</f>
      </c>
      <c r="BB54" s="4">
        <f>'中国汇率&amp;期货（change）'!BB54/'中国汇率&amp;期货（vol）'!BB54</f>
      </c>
      <c r="BC54" s="4">
        <f>'中国汇率&amp;期货（change）'!BC54/'中国汇率&amp;期货（vol）'!BC54</f>
      </c>
      <c r="BD54" s="4">
        <f>'中国汇率&amp;期货（change）'!BD54/'中国汇率&amp;期货（vol）'!BD54</f>
      </c>
      <c r="BE54" s="4">
        <f>'中国汇率&amp;期货（change）'!BE54/'中国汇率&amp;期货（vol）'!BE54</f>
      </c>
    </row>
    <row x14ac:dyDescent="0.25" r="55" customHeight="1" ht="18.75">
      <c r="A55" s="1"/>
      <c r="B55" s="4">
        <f>'中国汇率&amp;期货（change）'!B55/'中国汇率&amp;期货（vol）'!B55</f>
      </c>
      <c r="C55" s="4">
        <f>'中国汇率&amp;期货（change）'!C55/'中国汇率&amp;期货（vol）'!C55</f>
      </c>
      <c r="D55" s="4">
        <f>'中国汇率&amp;期货（change）'!D55/'中国汇率&amp;期货（vol）'!D55</f>
      </c>
      <c r="E55" s="4">
        <f>'中国汇率&amp;期货（change）'!E55/'中国汇率&amp;期货（vol）'!E55</f>
      </c>
      <c r="F55" s="4">
        <f>'中国汇率&amp;期货（change）'!F55/'中国汇率&amp;期货（vol）'!F55</f>
      </c>
      <c r="G55" s="4">
        <f>'中国汇率&amp;期货（change）'!G55/'中国汇率&amp;期货（vol）'!G55</f>
      </c>
      <c r="H55" s="4">
        <f>'中国汇率&amp;期货（change）'!H55/'中国汇率&amp;期货（vol）'!H55</f>
      </c>
      <c r="I55" s="4">
        <f>'中国汇率&amp;期货（change）'!I55/'中国汇率&amp;期货（vol）'!I55</f>
      </c>
      <c r="J55" s="4">
        <f>'中国汇率&amp;期货（change）'!J55/'中国汇率&amp;期货（vol）'!J55</f>
      </c>
      <c r="K55" s="4">
        <f>'中国汇率&amp;期货（change）'!K55/'中国汇率&amp;期货（vol）'!K55</f>
      </c>
      <c r="L55" s="4">
        <f>'中国汇率&amp;期货（change）'!L55/'中国汇率&amp;期货（vol）'!L55</f>
      </c>
      <c r="M55" s="4">
        <f>'中国汇率&amp;期货（change）'!M55/'中国汇率&amp;期货（vol）'!M55</f>
      </c>
      <c r="N55" s="4">
        <f>'中国汇率&amp;期货（change）'!N55/'中国汇率&amp;期货（vol）'!N55</f>
      </c>
      <c r="O55" s="4">
        <f>'中国汇率&amp;期货（change）'!O55/'中国汇率&amp;期货（vol）'!O55</f>
      </c>
      <c r="P55" s="4">
        <f>'中国汇率&amp;期货（change）'!P55/'中国汇率&amp;期货（vol）'!P55</f>
      </c>
      <c r="Q55" s="4">
        <f>'中国汇率&amp;期货（change）'!Q55/'中国汇率&amp;期货（vol）'!Q55</f>
      </c>
      <c r="R55" s="4">
        <f>'中国汇率&amp;期货（change）'!R55/'中国汇率&amp;期货（vol）'!R55</f>
      </c>
      <c r="S55" s="4">
        <f>'中国汇率&amp;期货（change）'!S55/'中国汇率&amp;期货（vol）'!S55</f>
      </c>
      <c r="T55" s="4">
        <f>'中国汇率&amp;期货（change）'!T55/'中国汇率&amp;期货（vol）'!T55</f>
      </c>
      <c r="U55" s="4">
        <f>'中国汇率&amp;期货（change）'!U55/'中国汇率&amp;期货（vol）'!U55</f>
      </c>
      <c r="V55" s="4">
        <f>'中国汇率&amp;期货（change）'!V55/'中国汇率&amp;期货（vol）'!V55</f>
      </c>
      <c r="W55" s="4">
        <f>'中国汇率&amp;期货（change）'!W55/'中国汇率&amp;期货（vol）'!W55</f>
      </c>
      <c r="X55" s="4">
        <f>'中国汇率&amp;期货（change）'!X55/'中国汇率&amp;期货（vol）'!X55</f>
      </c>
      <c r="Y55" s="4">
        <f>'中国汇率&amp;期货（change）'!Y55/'中国汇率&amp;期货（vol）'!Y55</f>
      </c>
      <c r="Z55" s="4">
        <f>'中国汇率&amp;期货（change）'!Z55/'中国汇率&amp;期货（vol）'!Z55</f>
      </c>
      <c r="AA55" s="4">
        <f>'中国汇率&amp;期货（change）'!AA55/'中国汇率&amp;期货（vol）'!AA55</f>
      </c>
      <c r="AB55" s="4">
        <f>'中国汇率&amp;期货（change）'!AB55/'中国汇率&amp;期货（vol）'!AB55</f>
      </c>
      <c r="AC55" s="4">
        <f>'中国汇率&amp;期货（change）'!AC55/'中国汇率&amp;期货（vol）'!AC55</f>
      </c>
      <c r="AD55" s="4">
        <f>'中国汇率&amp;期货（change）'!AD55/'中国汇率&amp;期货（vol）'!AD55</f>
      </c>
      <c r="AE55" s="4">
        <f>'中国汇率&amp;期货（change）'!AE55/'中国汇率&amp;期货（vol）'!AE55</f>
      </c>
      <c r="AF55" s="4">
        <f>'中国汇率&amp;期货（change）'!AF55/'中国汇率&amp;期货（vol）'!AF55</f>
      </c>
      <c r="AG55" s="4">
        <f>'中国汇率&amp;期货（change）'!AG55/'中国汇率&amp;期货（vol）'!AG55</f>
      </c>
      <c r="AH55" s="4">
        <f>'中国汇率&amp;期货（change）'!AH55/'中国汇率&amp;期货（vol）'!AH55</f>
      </c>
      <c r="AI55" s="4">
        <f>'中国汇率&amp;期货（change）'!AI55/'中国汇率&amp;期货（vol）'!AI55</f>
      </c>
      <c r="AJ55" s="4">
        <f>'中国汇率&amp;期货（change）'!AJ55/'中国汇率&amp;期货（vol）'!AJ55</f>
      </c>
      <c r="AK55" s="4">
        <f>'中国汇率&amp;期货（change）'!AK55/'中国汇率&amp;期货（vol）'!AK55</f>
      </c>
      <c r="AL55" s="4">
        <f>'中国汇率&amp;期货（change）'!AL55/'中国汇率&amp;期货（vol）'!AL55</f>
      </c>
      <c r="AM55" s="4">
        <f>'中国汇率&amp;期货（change）'!AM55/'中国汇率&amp;期货（vol）'!AM55</f>
      </c>
      <c r="AN55" s="4">
        <f>'中国汇率&amp;期货（change）'!AN55/'中国汇率&amp;期货（vol）'!AN55</f>
      </c>
      <c r="AO55" s="4">
        <f>'中国汇率&amp;期货（change）'!AO55/'中国汇率&amp;期货（vol）'!AO55</f>
      </c>
      <c r="AP55" s="4">
        <f>'中国汇率&amp;期货（change）'!AP55/'中国汇率&amp;期货（vol）'!AP55</f>
      </c>
      <c r="AQ55" s="4">
        <f>'中国汇率&amp;期货（change）'!AQ55/'中国汇率&amp;期货（vol）'!AQ55</f>
      </c>
      <c r="AR55" s="4">
        <f>'中国汇率&amp;期货（change）'!AR55/'中国汇率&amp;期货（vol）'!AR55</f>
      </c>
      <c r="AS55" s="4">
        <f>'中国汇率&amp;期货（change）'!AS55/'中国汇率&amp;期货（vol）'!AS55</f>
      </c>
      <c r="AT55" s="4">
        <f>'中国汇率&amp;期货（change）'!AT55/'中国汇率&amp;期货（vol）'!AT55</f>
      </c>
      <c r="AU55" s="4">
        <f>'中国汇率&amp;期货（change）'!AU55/'中国汇率&amp;期货（vol）'!AU55</f>
      </c>
      <c r="AV55" s="4">
        <f>'中国汇率&amp;期货（change）'!AV55/'中国汇率&amp;期货（vol）'!AV55</f>
      </c>
      <c r="AW55" s="4">
        <f>'中国汇率&amp;期货（change）'!AW55/'中国汇率&amp;期货（vol）'!AW55</f>
      </c>
      <c r="AX55" s="4">
        <f>'中国汇率&amp;期货（change）'!AX55/'中国汇率&amp;期货（vol）'!AX55</f>
      </c>
      <c r="AY55" s="4">
        <f>'中国汇率&amp;期货（change）'!AY55/'中国汇率&amp;期货（vol）'!AY55</f>
      </c>
      <c r="AZ55" s="4">
        <f>'中国汇率&amp;期货（change）'!AZ55/'中国汇率&amp;期货（vol）'!AZ55</f>
      </c>
      <c r="BA55" s="4">
        <f>'中国汇率&amp;期货（change）'!BA55/'中国汇率&amp;期货（vol）'!BA55</f>
      </c>
      <c r="BB55" s="4">
        <f>'中国汇率&amp;期货（change）'!BB55/'中国汇率&amp;期货（vol）'!BB55</f>
      </c>
      <c r="BC55" s="4">
        <f>'中国汇率&amp;期货（change）'!BC55/'中国汇率&amp;期货（vol）'!BC55</f>
      </c>
      <c r="BD55" s="4">
        <f>'中国汇率&amp;期货（change）'!BD55/'中国汇率&amp;期货（vol）'!BD55</f>
      </c>
      <c r="BE55" s="4">
        <f>'中国汇率&amp;期货（change）'!BE55/'中国汇率&amp;期货（vol）'!BE55</f>
      </c>
    </row>
    <row x14ac:dyDescent="0.25" r="56" customHeight="1" ht="18.75">
      <c r="A56" s="1"/>
      <c r="B56" s="4">
        <f>'中国汇率&amp;期货（change）'!B56/'中国汇率&amp;期货（vol）'!B56</f>
      </c>
      <c r="C56" s="4">
        <f>'中国汇率&amp;期货（change）'!C56/'中国汇率&amp;期货（vol）'!C56</f>
      </c>
      <c r="D56" s="4">
        <f>'中国汇率&amp;期货（change）'!D56/'中国汇率&amp;期货（vol）'!D56</f>
      </c>
      <c r="E56" s="4">
        <f>'中国汇率&amp;期货（change）'!E56/'中国汇率&amp;期货（vol）'!E56</f>
      </c>
      <c r="F56" s="4">
        <f>'中国汇率&amp;期货（change）'!F56/'中国汇率&amp;期货（vol）'!F56</f>
      </c>
      <c r="G56" s="4">
        <f>'中国汇率&amp;期货（change）'!G56/'中国汇率&amp;期货（vol）'!G56</f>
      </c>
      <c r="H56" s="4">
        <f>'中国汇率&amp;期货（change）'!H56/'中国汇率&amp;期货（vol）'!H56</f>
      </c>
      <c r="I56" s="4">
        <f>'中国汇率&amp;期货（change）'!I56/'中国汇率&amp;期货（vol）'!I56</f>
      </c>
      <c r="J56" s="4">
        <f>'中国汇率&amp;期货（change）'!J56/'中国汇率&amp;期货（vol）'!J56</f>
      </c>
      <c r="K56" s="4">
        <f>'中国汇率&amp;期货（change）'!K56/'中国汇率&amp;期货（vol）'!K56</f>
      </c>
      <c r="L56" s="4">
        <f>'中国汇率&amp;期货（change）'!L56/'中国汇率&amp;期货（vol）'!L56</f>
      </c>
      <c r="M56" s="4">
        <f>'中国汇率&amp;期货（change）'!M56/'中国汇率&amp;期货（vol）'!M56</f>
      </c>
      <c r="N56" s="4">
        <f>'中国汇率&amp;期货（change）'!N56/'中国汇率&amp;期货（vol）'!N56</f>
      </c>
      <c r="O56" s="4">
        <f>'中国汇率&amp;期货（change）'!O56/'中国汇率&amp;期货（vol）'!O56</f>
      </c>
      <c r="P56" s="4">
        <f>'中国汇率&amp;期货（change）'!P56/'中国汇率&amp;期货（vol）'!P56</f>
      </c>
      <c r="Q56" s="4">
        <f>'中国汇率&amp;期货（change）'!Q56/'中国汇率&amp;期货（vol）'!Q56</f>
      </c>
      <c r="R56" s="4">
        <f>'中国汇率&amp;期货（change）'!R56/'中国汇率&amp;期货（vol）'!R56</f>
      </c>
      <c r="S56" s="4">
        <f>'中国汇率&amp;期货（change）'!S56/'中国汇率&amp;期货（vol）'!S56</f>
      </c>
      <c r="T56" s="4">
        <f>'中国汇率&amp;期货（change）'!T56/'中国汇率&amp;期货（vol）'!T56</f>
      </c>
      <c r="U56" s="4">
        <f>'中国汇率&amp;期货（change）'!U56/'中国汇率&amp;期货（vol）'!U56</f>
      </c>
      <c r="V56" s="4">
        <f>'中国汇率&amp;期货（change）'!V56/'中国汇率&amp;期货（vol）'!V56</f>
      </c>
      <c r="W56" s="4">
        <f>'中国汇率&amp;期货（change）'!W56/'中国汇率&amp;期货（vol）'!W56</f>
      </c>
      <c r="X56" s="4">
        <f>'中国汇率&amp;期货（change）'!X56/'中国汇率&amp;期货（vol）'!X56</f>
      </c>
      <c r="Y56" s="4">
        <f>'中国汇率&amp;期货（change）'!Y56/'中国汇率&amp;期货（vol）'!Y56</f>
      </c>
      <c r="Z56" s="4">
        <f>'中国汇率&amp;期货（change）'!Z56/'中国汇率&amp;期货（vol）'!Z56</f>
      </c>
      <c r="AA56" s="4">
        <f>'中国汇率&amp;期货（change）'!AA56/'中国汇率&amp;期货（vol）'!AA56</f>
      </c>
      <c r="AB56" s="4">
        <f>'中国汇率&amp;期货（change）'!AB56/'中国汇率&amp;期货（vol）'!AB56</f>
      </c>
      <c r="AC56" s="4">
        <f>'中国汇率&amp;期货（change）'!AC56/'中国汇率&amp;期货（vol）'!AC56</f>
      </c>
      <c r="AD56" s="4">
        <f>'中国汇率&amp;期货（change）'!AD56/'中国汇率&amp;期货（vol）'!AD56</f>
      </c>
      <c r="AE56" s="4">
        <f>'中国汇率&amp;期货（change）'!AE56/'中国汇率&amp;期货（vol）'!AE56</f>
      </c>
      <c r="AF56" s="4">
        <f>'中国汇率&amp;期货（change）'!AF56/'中国汇率&amp;期货（vol）'!AF56</f>
      </c>
      <c r="AG56" s="4">
        <f>'中国汇率&amp;期货（change）'!AG56/'中国汇率&amp;期货（vol）'!AG56</f>
      </c>
      <c r="AH56" s="4">
        <f>'中国汇率&amp;期货（change）'!AH56/'中国汇率&amp;期货（vol）'!AH56</f>
      </c>
      <c r="AI56" s="4">
        <f>'中国汇率&amp;期货（change）'!AI56/'中国汇率&amp;期货（vol）'!AI56</f>
      </c>
      <c r="AJ56" s="4">
        <f>'中国汇率&amp;期货（change）'!AJ56/'中国汇率&amp;期货（vol）'!AJ56</f>
      </c>
      <c r="AK56" s="4">
        <f>'中国汇率&amp;期货（change）'!AK56/'中国汇率&amp;期货（vol）'!AK56</f>
      </c>
      <c r="AL56" s="4">
        <f>'中国汇率&amp;期货（change）'!AL56/'中国汇率&amp;期货（vol）'!AL56</f>
      </c>
      <c r="AM56" s="4">
        <f>'中国汇率&amp;期货（change）'!AM56/'中国汇率&amp;期货（vol）'!AM56</f>
      </c>
      <c r="AN56" s="4">
        <f>'中国汇率&amp;期货（change）'!AN56/'中国汇率&amp;期货（vol）'!AN56</f>
      </c>
      <c r="AO56" s="4">
        <f>'中国汇率&amp;期货（change）'!AO56/'中国汇率&amp;期货（vol）'!AO56</f>
      </c>
      <c r="AP56" s="4">
        <f>'中国汇率&amp;期货（change）'!AP56/'中国汇率&amp;期货（vol）'!AP56</f>
      </c>
      <c r="AQ56" s="4">
        <f>'中国汇率&amp;期货（change）'!AQ56/'中国汇率&amp;期货（vol）'!AQ56</f>
      </c>
      <c r="AR56" s="4">
        <f>'中国汇率&amp;期货（change）'!AR56/'中国汇率&amp;期货（vol）'!AR56</f>
      </c>
      <c r="AS56" s="4">
        <f>'中国汇率&amp;期货（change）'!AS56/'中国汇率&amp;期货（vol）'!AS56</f>
      </c>
      <c r="AT56" s="4">
        <f>'中国汇率&amp;期货（change）'!AT56/'中国汇率&amp;期货（vol）'!AT56</f>
      </c>
      <c r="AU56" s="4">
        <f>'中国汇率&amp;期货（change）'!AU56/'中国汇率&amp;期货（vol）'!AU56</f>
      </c>
      <c r="AV56" s="4">
        <f>'中国汇率&amp;期货（change）'!AV56/'中国汇率&amp;期货（vol）'!AV56</f>
      </c>
      <c r="AW56" s="4">
        <f>'中国汇率&amp;期货（change）'!AW56/'中国汇率&amp;期货（vol）'!AW56</f>
      </c>
      <c r="AX56" s="4">
        <f>'中国汇率&amp;期货（change）'!AX56/'中国汇率&amp;期货（vol）'!AX56</f>
      </c>
      <c r="AY56" s="4">
        <f>'中国汇率&amp;期货（change）'!AY56/'中国汇率&amp;期货（vol）'!AY56</f>
      </c>
      <c r="AZ56" s="4">
        <f>'中国汇率&amp;期货（change）'!AZ56/'中国汇率&amp;期货（vol）'!AZ56</f>
      </c>
      <c r="BA56" s="4">
        <f>'中国汇率&amp;期货（change）'!BA56/'中国汇率&amp;期货（vol）'!BA56</f>
      </c>
      <c r="BB56" s="4">
        <f>'中国汇率&amp;期货（change）'!BB56/'中国汇率&amp;期货（vol）'!BB56</f>
      </c>
      <c r="BC56" s="4">
        <f>'中国汇率&amp;期货（change）'!BC56/'中国汇率&amp;期货（vol）'!BC56</f>
      </c>
      <c r="BD56" s="4">
        <f>'中国汇率&amp;期货（change）'!BD56/'中国汇率&amp;期货（vol）'!BD56</f>
      </c>
      <c r="BE56" s="4">
        <f>'中国汇率&amp;期货（change）'!BE56/'中国汇率&amp;期货（vol）'!BE56</f>
      </c>
    </row>
    <row x14ac:dyDescent="0.25" r="57" customHeight="1" ht="18.75">
      <c r="A57" s="1"/>
      <c r="B57" s="4">
        <f>'中国汇率&amp;期货（change）'!B57/'中国汇率&amp;期货（vol）'!B57</f>
      </c>
      <c r="C57" s="4">
        <f>'中国汇率&amp;期货（change）'!C57/'中国汇率&amp;期货（vol）'!C57</f>
      </c>
      <c r="D57" s="4">
        <f>'中国汇率&amp;期货（change）'!D57/'中国汇率&amp;期货（vol）'!D57</f>
      </c>
      <c r="E57" s="4">
        <f>'中国汇率&amp;期货（change）'!E57/'中国汇率&amp;期货（vol）'!E57</f>
      </c>
      <c r="F57" s="4">
        <f>'中国汇率&amp;期货（change）'!F57/'中国汇率&amp;期货（vol）'!F57</f>
      </c>
      <c r="G57" s="4">
        <f>'中国汇率&amp;期货（change）'!G57/'中国汇率&amp;期货（vol）'!G57</f>
      </c>
      <c r="H57" s="4">
        <f>'中国汇率&amp;期货（change）'!H57/'中国汇率&amp;期货（vol）'!H57</f>
      </c>
      <c r="I57" s="4">
        <f>'中国汇率&amp;期货（change）'!I57/'中国汇率&amp;期货（vol）'!I57</f>
      </c>
      <c r="J57" s="4">
        <f>'中国汇率&amp;期货（change）'!J57/'中国汇率&amp;期货（vol）'!J57</f>
      </c>
      <c r="K57" s="4">
        <f>'中国汇率&amp;期货（change）'!K57/'中国汇率&amp;期货（vol）'!K57</f>
      </c>
      <c r="L57" s="4">
        <f>'中国汇率&amp;期货（change）'!L57/'中国汇率&amp;期货（vol）'!L57</f>
      </c>
      <c r="M57" s="4">
        <f>'中国汇率&amp;期货（change）'!M57/'中国汇率&amp;期货（vol）'!M57</f>
      </c>
      <c r="N57" s="4">
        <f>'中国汇率&amp;期货（change）'!N57/'中国汇率&amp;期货（vol）'!N57</f>
      </c>
      <c r="O57" s="4">
        <f>'中国汇率&amp;期货（change）'!O57/'中国汇率&amp;期货（vol）'!O57</f>
      </c>
      <c r="P57" s="4">
        <f>'中国汇率&amp;期货（change）'!P57/'中国汇率&amp;期货（vol）'!P57</f>
      </c>
      <c r="Q57" s="4">
        <f>'中国汇率&amp;期货（change）'!Q57/'中国汇率&amp;期货（vol）'!Q57</f>
      </c>
      <c r="R57" s="4">
        <f>'中国汇率&amp;期货（change）'!R57/'中国汇率&amp;期货（vol）'!R57</f>
      </c>
      <c r="S57" s="4">
        <f>'中国汇率&amp;期货（change）'!S57/'中国汇率&amp;期货（vol）'!S57</f>
      </c>
      <c r="T57" s="4">
        <f>'中国汇率&amp;期货（change）'!T57/'中国汇率&amp;期货（vol）'!T57</f>
      </c>
      <c r="U57" s="4">
        <f>'中国汇率&amp;期货（change）'!U57/'中国汇率&amp;期货（vol）'!U57</f>
      </c>
      <c r="V57" s="4">
        <f>'中国汇率&amp;期货（change）'!V57/'中国汇率&amp;期货（vol）'!V57</f>
      </c>
      <c r="W57" s="4">
        <f>'中国汇率&amp;期货（change）'!W57/'中国汇率&amp;期货（vol）'!W57</f>
      </c>
      <c r="X57" s="4">
        <f>'中国汇率&amp;期货（change）'!X57/'中国汇率&amp;期货（vol）'!X57</f>
      </c>
      <c r="Y57" s="4">
        <f>'中国汇率&amp;期货（change）'!Y57/'中国汇率&amp;期货（vol）'!Y57</f>
      </c>
      <c r="Z57" s="4">
        <f>'中国汇率&amp;期货（change）'!Z57/'中国汇率&amp;期货（vol）'!Z57</f>
      </c>
      <c r="AA57" s="4">
        <f>'中国汇率&amp;期货（change）'!AA57/'中国汇率&amp;期货（vol）'!AA57</f>
      </c>
      <c r="AB57" s="4">
        <f>'中国汇率&amp;期货（change）'!AB57/'中国汇率&amp;期货（vol）'!AB57</f>
      </c>
      <c r="AC57" s="4">
        <f>'中国汇率&amp;期货（change）'!AC57/'中国汇率&amp;期货（vol）'!AC57</f>
      </c>
      <c r="AD57" s="4">
        <f>'中国汇率&amp;期货（change）'!AD57/'中国汇率&amp;期货（vol）'!AD57</f>
      </c>
      <c r="AE57" s="4">
        <f>'中国汇率&amp;期货（change）'!AE57/'中国汇率&amp;期货（vol）'!AE57</f>
      </c>
      <c r="AF57" s="4">
        <f>'中国汇率&amp;期货（change）'!AF57/'中国汇率&amp;期货（vol）'!AF57</f>
      </c>
      <c r="AG57" s="4">
        <f>'中国汇率&amp;期货（change）'!AG57/'中国汇率&amp;期货（vol）'!AG57</f>
      </c>
      <c r="AH57" s="4">
        <f>'中国汇率&amp;期货（change）'!AH57/'中国汇率&amp;期货（vol）'!AH57</f>
      </c>
      <c r="AI57" s="4">
        <f>'中国汇率&amp;期货（change）'!AI57/'中国汇率&amp;期货（vol）'!AI57</f>
      </c>
      <c r="AJ57" s="4">
        <f>'中国汇率&amp;期货（change）'!AJ57/'中国汇率&amp;期货（vol）'!AJ57</f>
      </c>
      <c r="AK57" s="4">
        <f>'中国汇率&amp;期货（change）'!AK57/'中国汇率&amp;期货（vol）'!AK57</f>
      </c>
      <c r="AL57" s="4">
        <f>'中国汇率&amp;期货（change）'!AL57/'中国汇率&amp;期货（vol）'!AL57</f>
      </c>
      <c r="AM57" s="4">
        <f>'中国汇率&amp;期货（change）'!AM57/'中国汇率&amp;期货（vol）'!AM57</f>
      </c>
      <c r="AN57" s="4">
        <f>'中国汇率&amp;期货（change）'!AN57/'中国汇率&amp;期货（vol）'!AN57</f>
      </c>
      <c r="AO57" s="4">
        <f>'中国汇率&amp;期货（change）'!AO57/'中国汇率&amp;期货（vol）'!AO57</f>
      </c>
      <c r="AP57" s="4">
        <f>'中国汇率&amp;期货（change）'!AP57/'中国汇率&amp;期货（vol）'!AP57</f>
      </c>
      <c r="AQ57" s="4">
        <f>'中国汇率&amp;期货（change）'!AQ57/'中国汇率&amp;期货（vol）'!AQ57</f>
      </c>
      <c r="AR57" s="4">
        <f>'中国汇率&amp;期货（change）'!AR57/'中国汇率&amp;期货（vol）'!AR57</f>
      </c>
      <c r="AS57" s="4">
        <f>'中国汇率&amp;期货（change）'!AS57/'中国汇率&amp;期货（vol）'!AS57</f>
      </c>
      <c r="AT57" s="4">
        <f>'中国汇率&amp;期货（change）'!AT57/'中国汇率&amp;期货（vol）'!AT57</f>
      </c>
      <c r="AU57" s="4">
        <f>'中国汇率&amp;期货（change）'!AU57/'中国汇率&amp;期货（vol）'!AU57</f>
      </c>
      <c r="AV57" s="4">
        <f>'中国汇率&amp;期货（change）'!AV57/'中国汇率&amp;期货（vol）'!AV57</f>
      </c>
      <c r="AW57" s="4">
        <f>'中国汇率&amp;期货（change）'!AW57/'中国汇率&amp;期货（vol）'!AW57</f>
      </c>
      <c r="AX57" s="4">
        <f>'中国汇率&amp;期货（change）'!AX57/'中国汇率&amp;期货（vol）'!AX57</f>
      </c>
      <c r="AY57" s="4">
        <f>'中国汇率&amp;期货（change）'!AY57/'中国汇率&amp;期货（vol）'!AY57</f>
      </c>
      <c r="AZ57" s="4">
        <f>'中国汇率&amp;期货（change）'!AZ57/'中国汇率&amp;期货（vol）'!AZ57</f>
      </c>
      <c r="BA57" s="4">
        <f>'中国汇率&amp;期货（change）'!BA57/'中国汇率&amp;期货（vol）'!BA57</f>
      </c>
      <c r="BB57" s="4">
        <f>'中国汇率&amp;期货（change）'!BB57/'中国汇率&amp;期货（vol）'!BB57</f>
      </c>
      <c r="BC57" s="4">
        <f>'中国汇率&amp;期货（change）'!BC57/'中国汇率&amp;期货（vol）'!BC57</f>
      </c>
      <c r="BD57" s="4">
        <f>'中国汇率&amp;期货（change）'!BD57/'中国汇率&amp;期货（vol）'!BD57</f>
      </c>
      <c r="BE57" s="4">
        <f>'中国汇率&amp;期货（change）'!BE57/'中国汇率&amp;期货（vol）'!BE57</f>
      </c>
    </row>
    <row x14ac:dyDescent="0.25" r="58" customHeight="1" ht="18.75">
      <c r="A58" s="1"/>
      <c r="B58" s="4">
        <f>'中国汇率&amp;期货（change）'!B58/'中国汇率&amp;期货（vol）'!B58</f>
      </c>
      <c r="C58" s="4">
        <f>'中国汇率&amp;期货（change）'!C58/'中国汇率&amp;期货（vol）'!C58</f>
      </c>
      <c r="D58" s="4">
        <f>'中国汇率&amp;期货（change）'!D58/'中国汇率&amp;期货（vol）'!D58</f>
      </c>
      <c r="E58" s="4">
        <f>'中国汇率&amp;期货（change）'!E58/'中国汇率&amp;期货（vol）'!E58</f>
      </c>
      <c r="F58" s="4">
        <f>'中国汇率&amp;期货（change）'!F58/'中国汇率&amp;期货（vol）'!F58</f>
      </c>
      <c r="G58" s="4">
        <f>'中国汇率&amp;期货（change）'!G58/'中国汇率&amp;期货（vol）'!G58</f>
      </c>
      <c r="H58" s="4">
        <f>'中国汇率&amp;期货（change）'!H58/'中国汇率&amp;期货（vol）'!H58</f>
      </c>
      <c r="I58" s="4">
        <f>'中国汇率&amp;期货（change）'!I58/'中国汇率&amp;期货（vol）'!I58</f>
      </c>
      <c r="J58" s="4">
        <f>'中国汇率&amp;期货（change）'!J58/'中国汇率&amp;期货（vol）'!J58</f>
      </c>
      <c r="K58" s="4">
        <f>'中国汇率&amp;期货（change）'!K58/'中国汇率&amp;期货（vol）'!K58</f>
      </c>
      <c r="L58" s="4">
        <f>'中国汇率&amp;期货（change）'!L58/'中国汇率&amp;期货（vol）'!L58</f>
      </c>
      <c r="M58" s="4">
        <f>'中国汇率&amp;期货（change）'!M58/'中国汇率&amp;期货（vol）'!M58</f>
      </c>
      <c r="N58" s="4">
        <f>'中国汇率&amp;期货（change）'!N58/'中国汇率&amp;期货（vol）'!N58</f>
      </c>
      <c r="O58" s="4">
        <f>'中国汇率&amp;期货（change）'!O58/'中国汇率&amp;期货（vol）'!O58</f>
      </c>
      <c r="P58" s="4">
        <f>'中国汇率&amp;期货（change）'!P58/'中国汇率&amp;期货（vol）'!P58</f>
      </c>
      <c r="Q58" s="4">
        <f>'中国汇率&amp;期货（change）'!Q58/'中国汇率&amp;期货（vol）'!Q58</f>
      </c>
      <c r="R58" s="4">
        <f>'中国汇率&amp;期货（change）'!R58/'中国汇率&amp;期货（vol）'!R58</f>
      </c>
      <c r="S58" s="4">
        <f>'中国汇率&amp;期货（change）'!S58/'中国汇率&amp;期货（vol）'!S58</f>
      </c>
      <c r="T58" s="4">
        <f>'中国汇率&amp;期货（change）'!T58/'中国汇率&amp;期货（vol）'!T58</f>
      </c>
      <c r="U58" s="4">
        <f>'中国汇率&amp;期货（change）'!U58/'中国汇率&amp;期货（vol）'!U58</f>
      </c>
      <c r="V58" s="4">
        <f>'中国汇率&amp;期货（change）'!V58/'中国汇率&amp;期货（vol）'!V58</f>
      </c>
      <c r="W58" s="4">
        <f>'中国汇率&amp;期货（change）'!W58/'中国汇率&amp;期货（vol）'!W58</f>
      </c>
      <c r="X58" s="4">
        <f>'中国汇率&amp;期货（change）'!X58/'中国汇率&amp;期货（vol）'!X58</f>
      </c>
      <c r="Y58" s="4">
        <f>'中国汇率&amp;期货（change）'!Y58/'中国汇率&amp;期货（vol）'!Y58</f>
      </c>
      <c r="Z58" s="4">
        <f>'中国汇率&amp;期货（change）'!Z58/'中国汇率&amp;期货（vol）'!Z58</f>
      </c>
      <c r="AA58" s="4">
        <f>'中国汇率&amp;期货（change）'!AA58/'中国汇率&amp;期货（vol）'!AA58</f>
      </c>
      <c r="AB58" s="4">
        <f>'中国汇率&amp;期货（change）'!AB58/'中国汇率&amp;期货（vol）'!AB58</f>
      </c>
      <c r="AC58" s="4">
        <f>'中国汇率&amp;期货（change）'!AC58/'中国汇率&amp;期货（vol）'!AC58</f>
      </c>
      <c r="AD58" s="4">
        <f>'中国汇率&amp;期货（change）'!AD58/'中国汇率&amp;期货（vol）'!AD58</f>
      </c>
      <c r="AE58" s="4">
        <f>'中国汇率&amp;期货（change）'!AE58/'中国汇率&amp;期货（vol）'!AE58</f>
      </c>
      <c r="AF58" s="4">
        <f>'中国汇率&amp;期货（change）'!AF58/'中国汇率&amp;期货（vol）'!AF58</f>
      </c>
      <c r="AG58" s="4">
        <f>'中国汇率&amp;期货（change）'!AG58/'中国汇率&amp;期货（vol）'!AG58</f>
      </c>
      <c r="AH58" s="4">
        <f>'中国汇率&amp;期货（change）'!AH58/'中国汇率&amp;期货（vol）'!AH58</f>
      </c>
      <c r="AI58" s="4">
        <f>'中国汇率&amp;期货（change）'!AI58/'中国汇率&amp;期货（vol）'!AI58</f>
      </c>
      <c r="AJ58" s="4">
        <f>'中国汇率&amp;期货（change）'!AJ58/'中国汇率&amp;期货（vol）'!AJ58</f>
      </c>
      <c r="AK58" s="4">
        <f>'中国汇率&amp;期货（change）'!AK58/'中国汇率&amp;期货（vol）'!AK58</f>
      </c>
      <c r="AL58" s="4">
        <f>'中国汇率&amp;期货（change）'!AL58/'中国汇率&amp;期货（vol）'!AL58</f>
      </c>
      <c r="AM58" s="4">
        <f>'中国汇率&amp;期货（change）'!AM58/'中国汇率&amp;期货（vol）'!AM58</f>
      </c>
      <c r="AN58" s="4">
        <f>'中国汇率&amp;期货（change）'!AN58/'中国汇率&amp;期货（vol）'!AN58</f>
      </c>
      <c r="AO58" s="4">
        <f>'中国汇率&amp;期货（change）'!AO58/'中国汇率&amp;期货（vol）'!AO58</f>
      </c>
      <c r="AP58" s="4">
        <f>'中国汇率&amp;期货（change）'!AP58/'中国汇率&amp;期货（vol）'!AP58</f>
      </c>
      <c r="AQ58" s="4">
        <f>'中国汇率&amp;期货（change）'!AQ58/'中国汇率&amp;期货（vol）'!AQ58</f>
      </c>
      <c r="AR58" s="4">
        <f>'中国汇率&amp;期货（change）'!AR58/'中国汇率&amp;期货（vol）'!AR58</f>
      </c>
      <c r="AS58" s="4">
        <f>'中国汇率&amp;期货（change）'!AS58/'中国汇率&amp;期货（vol）'!AS58</f>
      </c>
      <c r="AT58" s="4">
        <f>'中国汇率&amp;期货（change）'!AT58/'中国汇率&amp;期货（vol）'!AT58</f>
      </c>
      <c r="AU58" s="4">
        <f>'中国汇率&amp;期货（change）'!AU58/'中国汇率&amp;期货（vol）'!AU58</f>
      </c>
      <c r="AV58" s="4">
        <f>'中国汇率&amp;期货（change）'!AV58/'中国汇率&amp;期货（vol）'!AV58</f>
      </c>
      <c r="AW58" s="4">
        <f>'中国汇率&amp;期货（change）'!AW58/'中国汇率&amp;期货（vol）'!AW58</f>
      </c>
      <c r="AX58" s="4">
        <f>'中国汇率&amp;期货（change）'!AX58/'中国汇率&amp;期货（vol）'!AX58</f>
      </c>
      <c r="AY58" s="4">
        <f>'中国汇率&amp;期货（change）'!AY58/'中国汇率&amp;期货（vol）'!AY58</f>
      </c>
      <c r="AZ58" s="4">
        <f>'中国汇率&amp;期货（change）'!AZ58/'中国汇率&amp;期货（vol）'!AZ58</f>
      </c>
      <c r="BA58" s="4">
        <f>'中国汇率&amp;期货（change）'!BA58/'中国汇率&amp;期货（vol）'!BA58</f>
      </c>
      <c r="BB58" s="4">
        <f>'中国汇率&amp;期货（change）'!BB58/'中国汇率&amp;期货（vol）'!BB58</f>
      </c>
      <c r="BC58" s="4">
        <f>'中国汇率&amp;期货（change）'!BC58/'中国汇率&amp;期货（vol）'!BC58</f>
      </c>
      <c r="BD58" s="4">
        <f>'中国汇率&amp;期货（change）'!BD58/'中国汇率&amp;期货（vol）'!BD58</f>
      </c>
      <c r="BE58" s="4">
        <f>'中国汇率&amp;期货（change）'!BE58/'中国汇率&amp;期货（vol）'!BE58</f>
      </c>
    </row>
    <row x14ac:dyDescent="0.25" r="59" customHeight="1" ht="18.75">
      <c r="A59" s="1"/>
      <c r="B59" s="4">
        <f>'中国汇率&amp;期货（change）'!B59/'中国汇率&amp;期货（vol）'!B59</f>
      </c>
      <c r="C59" s="4">
        <f>'中国汇率&amp;期货（change）'!C59/'中国汇率&amp;期货（vol）'!C59</f>
      </c>
      <c r="D59" s="4">
        <f>'中国汇率&amp;期货（change）'!D59/'中国汇率&amp;期货（vol）'!D59</f>
      </c>
      <c r="E59" s="4">
        <f>'中国汇率&amp;期货（change）'!E59/'中国汇率&amp;期货（vol）'!E59</f>
      </c>
      <c r="F59" s="4">
        <f>'中国汇率&amp;期货（change）'!F59/'中国汇率&amp;期货（vol）'!F59</f>
      </c>
      <c r="G59" s="4">
        <f>'中国汇率&amp;期货（change）'!G59/'中国汇率&amp;期货（vol）'!G59</f>
      </c>
      <c r="H59" s="4">
        <f>'中国汇率&amp;期货（change）'!H59/'中国汇率&amp;期货（vol）'!H59</f>
      </c>
      <c r="I59" s="4">
        <f>'中国汇率&amp;期货（change）'!I59/'中国汇率&amp;期货（vol）'!I59</f>
      </c>
      <c r="J59" s="4">
        <f>'中国汇率&amp;期货（change）'!J59/'中国汇率&amp;期货（vol）'!J59</f>
      </c>
      <c r="K59" s="4">
        <f>'中国汇率&amp;期货（change）'!K59/'中国汇率&amp;期货（vol）'!K59</f>
      </c>
      <c r="L59" s="4">
        <f>'中国汇率&amp;期货（change）'!L59/'中国汇率&amp;期货（vol）'!L59</f>
      </c>
      <c r="M59" s="4">
        <f>'中国汇率&amp;期货（change）'!M59/'中国汇率&amp;期货（vol）'!M59</f>
      </c>
      <c r="N59" s="4">
        <f>'中国汇率&amp;期货（change）'!N59/'中国汇率&amp;期货（vol）'!N59</f>
      </c>
      <c r="O59" s="4">
        <f>'中国汇率&amp;期货（change）'!O59/'中国汇率&amp;期货（vol）'!O59</f>
      </c>
      <c r="P59" s="4">
        <f>'中国汇率&amp;期货（change）'!P59/'中国汇率&amp;期货（vol）'!P59</f>
      </c>
      <c r="Q59" s="4">
        <f>'中国汇率&amp;期货（change）'!Q59/'中国汇率&amp;期货（vol）'!Q59</f>
      </c>
      <c r="R59" s="4">
        <f>'中国汇率&amp;期货（change）'!R59/'中国汇率&amp;期货（vol）'!R59</f>
      </c>
      <c r="S59" s="4">
        <f>'中国汇率&amp;期货（change）'!S59/'中国汇率&amp;期货（vol）'!S59</f>
      </c>
      <c r="T59" s="4">
        <f>'中国汇率&amp;期货（change）'!T59/'中国汇率&amp;期货（vol）'!T59</f>
      </c>
      <c r="U59" s="4">
        <f>'中国汇率&amp;期货（change）'!U59/'中国汇率&amp;期货（vol）'!U59</f>
      </c>
      <c r="V59" s="4">
        <f>'中国汇率&amp;期货（change）'!V59/'中国汇率&amp;期货（vol）'!V59</f>
      </c>
      <c r="W59" s="4">
        <f>'中国汇率&amp;期货（change）'!W59/'中国汇率&amp;期货（vol）'!W59</f>
      </c>
      <c r="X59" s="4">
        <f>'中国汇率&amp;期货（change）'!X59/'中国汇率&amp;期货（vol）'!X59</f>
      </c>
      <c r="Y59" s="4">
        <f>'中国汇率&amp;期货（change）'!Y59/'中国汇率&amp;期货（vol）'!Y59</f>
      </c>
      <c r="Z59" s="4">
        <f>'中国汇率&amp;期货（change）'!Z59/'中国汇率&amp;期货（vol）'!Z59</f>
      </c>
      <c r="AA59" s="4">
        <f>'中国汇率&amp;期货（change）'!AA59/'中国汇率&amp;期货（vol）'!AA59</f>
      </c>
      <c r="AB59" s="4">
        <f>'中国汇率&amp;期货（change）'!AB59/'中国汇率&amp;期货（vol）'!AB59</f>
      </c>
      <c r="AC59" s="4">
        <f>'中国汇率&amp;期货（change）'!AC59/'中国汇率&amp;期货（vol）'!AC59</f>
      </c>
      <c r="AD59" s="4">
        <f>'中国汇率&amp;期货（change）'!AD59/'中国汇率&amp;期货（vol）'!AD59</f>
      </c>
      <c r="AE59" s="4">
        <f>'中国汇率&amp;期货（change）'!AE59/'中国汇率&amp;期货（vol）'!AE59</f>
      </c>
      <c r="AF59" s="4">
        <f>'中国汇率&amp;期货（change）'!AF59/'中国汇率&amp;期货（vol）'!AF59</f>
      </c>
      <c r="AG59" s="4">
        <f>'中国汇率&amp;期货（change）'!AG59/'中国汇率&amp;期货（vol）'!AG59</f>
      </c>
      <c r="AH59" s="4">
        <f>'中国汇率&amp;期货（change）'!AH59/'中国汇率&amp;期货（vol）'!AH59</f>
      </c>
      <c r="AI59" s="4">
        <f>'中国汇率&amp;期货（change）'!AI59/'中国汇率&amp;期货（vol）'!AI59</f>
      </c>
      <c r="AJ59" s="4">
        <f>'中国汇率&amp;期货（change）'!AJ59/'中国汇率&amp;期货（vol）'!AJ59</f>
      </c>
      <c r="AK59" s="4">
        <f>'中国汇率&amp;期货（change）'!AK59/'中国汇率&amp;期货（vol）'!AK59</f>
      </c>
      <c r="AL59" s="4">
        <f>'中国汇率&amp;期货（change）'!AL59/'中国汇率&amp;期货（vol）'!AL59</f>
      </c>
      <c r="AM59" s="4">
        <f>'中国汇率&amp;期货（change）'!AM59/'中国汇率&amp;期货（vol）'!AM59</f>
      </c>
      <c r="AN59" s="4">
        <f>'中国汇率&amp;期货（change）'!AN59/'中国汇率&amp;期货（vol）'!AN59</f>
      </c>
      <c r="AO59" s="4">
        <f>'中国汇率&amp;期货（change）'!AO59/'中国汇率&amp;期货（vol）'!AO59</f>
      </c>
      <c r="AP59" s="4">
        <f>'中国汇率&amp;期货（change）'!AP59/'中国汇率&amp;期货（vol）'!AP59</f>
      </c>
      <c r="AQ59" s="4">
        <f>'中国汇率&amp;期货（change）'!AQ59/'中国汇率&amp;期货（vol）'!AQ59</f>
      </c>
      <c r="AR59" s="4">
        <f>'中国汇率&amp;期货（change）'!AR59/'中国汇率&amp;期货（vol）'!AR59</f>
      </c>
      <c r="AS59" s="4">
        <f>'中国汇率&amp;期货（change）'!AS59/'中国汇率&amp;期货（vol）'!AS59</f>
      </c>
      <c r="AT59" s="4">
        <f>'中国汇率&amp;期货（change）'!AT59/'中国汇率&amp;期货（vol）'!AT59</f>
      </c>
      <c r="AU59" s="4">
        <f>'中国汇率&amp;期货（change）'!AU59/'中国汇率&amp;期货（vol）'!AU59</f>
      </c>
      <c r="AV59" s="4">
        <f>'中国汇率&amp;期货（change）'!AV59/'中国汇率&amp;期货（vol）'!AV59</f>
      </c>
      <c r="AW59" s="4">
        <f>'中国汇率&amp;期货（change）'!AW59/'中国汇率&amp;期货（vol）'!AW59</f>
      </c>
      <c r="AX59" s="4">
        <f>'中国汇率&amp;期货（change）'!AX59/'中国汇率&amp;期货（vol）'!AX59</f>
      </c>
      <c r="AY59" s="4">
        <f>'中国汇率&amp;期货（change）'!AY59/'中国汇率&amp;期货（vol）'!AY59</f>
      </c>
      <c r="AZ59" s="4">
        <f>'中国汇率&amp;期货（change）'!AZ59/'中国汇率&amp;期货（vol）'!AZ59</f>
      </c>
      <c r="BA59" s="4">
        <f>'中国汇率&amp;期货（change）'!BA59/'中国汇率&amp;期货（vol）'!BA59</f>
      </c>
      <c r="BB59" s="4">
        <f>'中国汇率&amp;期货（change）'!BB59/'中国汇率&amp;期货（vol）'!BB59</f>
      </c>
      <c r="BC59" s="4">
        <f>'中国汇率&amp;期货（change）'!BC59/'中国汇率&amp;期货（vol）'!BC59</f>
      </c>
      <c r="BD59" s="4">
        <f>'中国汇率&amp;期货（change）'!BD59/'中国汇率&amp;期货（vol）'!BD59</f>
      </c>
      <c r="BE59" s="4">
        <f>'中国汇率&amp;期货（change）'!BE59/'中国汇率&amp;期货（vol）'!BE59</f>
      </c>
    </row>
    <row x14ac:dyDescent="0.25" r="60" customHeight="1" ht="18.75">
      <c r="A60" s="1"/>
      <c r="B60" s="4">
        <f>'中国汇率&amp;期货（change）'!B60/'中国汇率&amp;期货（vol）'!B60</f>
      </c>
      <c r="C60" s="4">
        <f>'中国汇率&amp;期货（change）'!C60/'中国汇率&amp;期货（vol）'!C60</f>
      </c>
      <c r="D60" s="4">
        <f>'中国汇率&amp;期货（change）'!D60/'中国汇率&amp;期货（vol）'!D60</f>
      </c>
      <c r="E60" s="4">
        <f>'中国汇率&amp;期货（change）'!E60/'中国汇率&amp;期货（vol）'!E60</f>
      </c>
      <c r="F60" s="4">
        <f>'中国汇率&amp;期货（change）'!F60/'中国汇率&amp;期货（vol）'!F60</f>
      </c>
      <c r="G60" s="4">
        <f>'中国汇率&amp;期货（change）'!G60/'中国汇率&amp;期货（vol）'!G60</f>
      </c>
      <c r="H60" s="4">
        <f>'中国汇率&amp;期货（change）'!H60/'中国汇率&amp;期货（vol）'!H60</f>
      </c>
      <c r="I60" s="4">
        <f>'中国汇率&amp;期货（change）'!I60/'中国汇率&amp;期货（vol）'!I60</f>
      </c>
      <c r="J60" s="4">
        <f>'中国汇率&amp;期货（change）'!J60/'中国汇率&amp;期货（vol）'!J60</f>
      </c>
      <c r="K60" s="4">
        <f>'中国汇率&amp;期货（change）'!K60/'中国汇率&amp;期货（vol）'!K60</f>
      </c>
      <c r="L60" s="4">
        <f>'中国汇率&amp;期货（change）'!L60/'中国汇率&amp;期货（vol）'!L60</f>
      </c>
      <c r="M60" s="4">
        <f>'中国汇率&amp;期货（change）'!M60/'中国汇率&amp;期货（vol）'!M60</f>
      </c>
      <c r="N60" s="4">
        <f>'中国汇率&amp;期货（change）'!N60/'中国汇率&amp;期货（vol）'!N60</f>
      </c>
      <c r="O60" s="4">
        <f>'中国汇率&amp;期货（change）'!O60/'中国汇率&amp;期货（vol）'!O60</f>
      </c>
      <c r="P60" s="4">
        <f>'中国汇率&amp;期货（change）'!P60/'中国汇率&amp;期货（vol）'!P60</f>
      </c>
      <c r="Q60" s="4">
        <f>'中国汇率&amp;期货（change）'!Q60/'中国汇率&amp;期货（vol）'!Q60</f>
      </c>
      <c r="R60" s="4">
        <f>'中国汇率&amp;期货（change）'!R60/'中国汇率&amp;期货（vol）'!R60</f>
      </c>
      <c r="S60" s="4">
        <f>'中国汇率&amp;期货（change）'!S60/'中国汇率&amp;期货（vol）'!S60</f>
      </c>
      <c r="T60" s="4">
        <f>'中国汇率&amp;期货（change）'!T60/'中国汇率&amp;期货（vol）'!T60</f>
      </c>
      <c r="U60" s="4">
        <f>'中国汇率&amp;期货（change）'!U60/'中国汇率&amp;期货（vol）'!U60</f>
      </c>
      <c r="V60" s="4">
        <f>'中国汇率&amp;期货（change）'!V60/'中国汇率&amp;期货（vol）'!V60</f>
      </c>
      <c r="W60" s="4">
        <f>'中国汇率&amp;期货（change）'!W60/'中国汇率&amp;期货（vol）'!W60</f>
      </c>
      <c r="X60" s="4">
        <f>'中国汇率&amp;期货（change）'!X60/'中国汇率&amp;期货（vol）'!X60</f>
      </c>
      <c r="Y60" s="4">
        <f>'中国汇率&amp;期货（change）'!Y60/'中国汇率&amp;期货（vol）'!Y60</f>
      </c>
      <c r="Z60" s="4">
        <f>'中国汇率&amp;期货（change）'!Z60/'中国汇率&amp;期货（vol）'!Z60</f>
      </c>
      <c r="AA60" s="4">
        <f>'中国汇率&amp;期货（change）'!AA60/'中国汇率&amp;期货（vol）'!AA60</f>
      </c>
      <c r="AB60" s="4">
        <f>'中国汇率&amp;期货（change）'!AB60/'中国汇率&amp;期货（vol）'!AB60</f>
      </c>
      <c r="AC60" s="4">
        <f>'中国汇率&amp;期货（change）'!AC60/'中国汇率&amp;期货（vol）'!AC60</f>
      </c>
      <c r="AD60" s="4">
        <f>'中国汇率&amp;期货（change）'!AD60/'中国汇率&amp;期货（vol）'!AD60</f>
      </c>
      <c r="AE60" s="4">
        <f>'中国汇率&amp;期货（change）'!AE60/'中国汇率&amp;期货（vol）'!AE60</f>
      </c>
      <c r="AF60" s="4">
        <f>'中国汇率&amp;期货（change）'!AF60/'中国汇率&amp;期货（vol）'!AF60</f>
      </c>
      <c r="AG60" s="4">
        <f>'中国汇率&amp;期货（change）'!AG60/'中国汇率&amp;期货（vol）'!AG60</f>
      </c>
      <c r="AH60" s="4">
        <f>'中国汇率&amp;期货（change）'!AH60/'中国汇率&amp;期货（vol）'!AH60</f>
      </c>
      <c r="AI60" s="4">
        <f>'中国汇率&amp;期货（change）'!AI60/'中国汇率&amp;期货（vol）'!AI60</f>
      </c>
      <c r="AJ60" s="4">
        <f>'中国汇率&amp;期货（change）'!AJ60/'中国汇率&amp;期货（vol）'!AJ60</f>
      </c>
      <c r="AK60" s="4">
        <f>'中国汇率&amp;期货（change）'!AK60/'中国汇率&amp;期货（vol）'!AK60</f>
      </c>
      <c r="AL60" s="4">
        <f>'中国汇率&amp;期货（change）'!AL60/'中国汇率&amp;期货（vol）'!AL60</f>
      </c>
      <c r="AM60" s="4">
        <f>'中国汇率&amp;期货（change）'!AM60/'中国汇率&amp;期货（vol）'!AM60</f>
      </c>
      <c r="AN60" s="4">
        <f>'中国汇率&amp;期货（change）'!AN60/'中国汇率&amp;期货（vol）'!AN60</f>
      </c>
      <c r="AO60" s="4">
        <f>'中国汇率&amp;期货（change）'!AO60/'中国汇率&amp;期货（vol）'!AO60</f>
      </c>
      <c r="AP60" s="4">
        <f>'中国汇率&amp;期货（change）'!AP60/'中国汇率&amp;期货（vol）'!AP60</f>
      </c>
      <c r="AQ60" s="4">
        <f>'中国汇率&amp;期货（change）'!AQ60/'中国汇率&amp;期货（vol）'!AQ60</f>
      </c>
      <c r="AR60" s="4">
        <f>'中国汇率&amp;期货（change）'!AR60/'中国汇率&amp;期货（vol）'!AR60</f>
      </c>
      <c r="AS60" s="4">
        <f>'中国汇率&amp;期货（change）'!AS60/'中国汇率&amp;期货（vol）'!AS60</f>
      </c>
      <c r="AT60" s="4">
        <f>'中国汇率&amp;期货（change）'!AT60/'中国汇率&amp;期货（vol）'!AT60</f>
      </c>
      <c r="AU60" s="4">
        <f>'中国汇率&amp;期货（change）'!AU60/'中国汇率&amp;期货（vol）'!AU60</f>
      </c>
      <c r="AV60" s="4">
        <f>'中国汇率&amp;期货（change）'!AV60/'中国汇率&amp;期货（vol）'!AV60</f>
      </c>
      <c r="AW60" s="4">
        <f>'中国汇率&amp;期货（change）'!AW60/'中国汇率&amp;期货（vol）'!AW60</f>
      </c>
      <c r="AX60" s="4">
        <f>'中国汇率&amp;期货（change）'!AX60/'中国汇率&amp;期货（vol）'!AX60</f>
      </c>
      <c r="AY60" s="4">
        <f>'中国汇率&amp;期货（change）'!AY60/'中国汇率&amp;期货（vol）'!AY60</f>
      </c>
      <c r="AZ60" s="4">
        <f>'中国汇率&amp;期货（change）'!AZ60/'中国汇率&amp;期货（vol）'!AZ60</f>
      </c>
      <c r="BA60" s="4">
        <f>'中国汇率&amp;期货（change）'!BA60/'中国汇率&amp;期货（vol）'!BA60</f>
      </c>
      <c r="BB60" s="4">
        <f>'中国汇率&amp;期货（change）'!BB60/'中国汇率&amp;期货（vol）'!BB60</f>
      </c>
      <c r="BC60" s="4">
        <f>'中国汇率&amp;期货（change）'!BC60/'中国汇率&amp;期货（vol）'!BC60</f>
      </c>
      <c r="BD60" s="4">
        <f>'中国汇率&amp;期货（change）'!BD60/'中国汇率&amp;期货（vol）'!BD60</f>
      </c>
      <c r="BE60" s="4">
        <f>'中国汇率&amp;期货（change）'!BE60/'中国汇率&amp;期货（vol）'!BE60</f>
      </c>
    </row>
    <row x14ac:dyDescent="0.25" r="61" customHeight="1" ht="18.75">
      <c r="A61" s="1"/>
      <c r="B61" s="4">
        <f>'中国汇率&amp;期货（change）'!B61/'中国汇率&amp;期货（vol）'!B61</f>
      </c>
      <c r="C61" s="4">
        <f>'中国汇率&amp;期货（change）'!C61/'中国汇率&amp;期货（vol）'!C61</f>
      </c>
      <c r="D61" s="4">
        <f>'中国汇率&amp;期货（change）'!D61/'中国汇率&amp;期货（vol）'!D61</f>
      </c>
      <c r="E61" s="4">
        <f>'中国汇率&amp;期货（change）'!E61/'中国汇率&amp;期货（vol）'!E61</f>
      </c>
      <c r="F61" s="4">
        <f>'中国汇率&amp;期货（change）'!F61/'中国汇率&amp;期货（vol）'!F61</f>
      </c>
      <c r="G61" s="4">
        <f>'中国汇率&amp;期货（change）'!G61/'中国汇率&amp;期货（vol）'!G61</f>
      </c>
      <c r="H61" s="4">
        <f>'中国汇率&amp;期货（change）'!H61/'中国汇率&amp;期货（vol）'!H61</f>
      </c>
      <c r="I61" s="4">
        <f>'中国汇率&amp;期货（change）'!I61/'中国汇率&amp;期货（vol）'!I61</f>
      </c>
      <c r="J61" s="4">
        <f>'中国汇率&amp;期货（change）'!J61/'中国汇率&amp;期货（vol）'!J61</f>
      </c>
      <c r="K61" s="4">
        <f>'中国汇率&amp;期货（change）'!K61/'中国汇率&amp;期货（vol）'!K61</f>
      </c>
      <c r="L61" s="4">
        <f>'中国汇率&amp;期货（change）'!L61/'中国汇率&amp;期货（vol）'!L61</f>
      </c>
      <c r="M61" s="4">
        <f>'中国汇率&amp;期货（change）'!M61/'中国汇率&amp;期货（vol）'!M61</f>
      </c>
      <c r="N61" s="4">
        <f>'中国汇率&amp;期货（change）'!N61/'中国汇率&amp;期货（vol）'!N61</f>
      </c>
      <c r="O61" s="4">
        <f>'中国汇率&amp;期货（change）'!O61/'中国汇率&amp;期货（vol）'!O61</f>
      </c>
      <c r="P61" s="4">
        <f>'中国汇率&amp;期货（change）'!P61/'中国汇率&amp;期货（vol）'!P61</f>
      </c>
      <c r="Q61" s="4">
        <f>'中国汇率&amp;期货（change）'!Q61/'中国汇率&amp;期货（vol）'!Q61</f>
      </c>
      <c r="R61" s="4">
        <f>'中国汇率&amp;期货（change）'!R61/'中国汇率&amp;期货（vol）'!R61</f>
      </c>
      <c r="S61" s="4">
        <f>'中国汇率&amp;期货（change）'!S61/'中国汇率&amp;期货（vol）'!S61</f>
      </c>
      <c r="T61" s="4">
        <f>'中国汇率&amp;期货（change）'!T61/'中国汇率&amp;期货（vol）'!T61</f>
      </c>
      <c r="U61" s="4">
        <f>'中国汇率&amp;期货（change）'!U61/'中国汇率&amp;期货（vol）'!U61</f>
      </c>
      <c r="V61" s="4">
        <f>'中国汇率&amp;期货（change）'!V61/'中国汇率&amp;期货（vol）'!V61</f>
      </c>
      <c r="W61" s="4">
        <f>'中国汇率&amp;期货（change）'!W61/'中国汇率&amp;期货（vol）'!W61</f>
      </c>
      <c r="X61" s="4">
        <f>'中国汇率&amp;期货（change）'!X61/'中国汇率&amp;期货（vol）'!X61</f>
      </c>
      <c r="Y61" s="4">
        <f>'中国汇率&amp;期货（change）'!Y61/'中国汇率&amp;期货（vol）'!Y61</f>
      </c>
      <c r="Z61" s="4">
        <f>'中国汇率&amp;期货（change）'!Z61/'中国汇率&amp;期货（vol）'!Z61</f>
      </c>
      <c r="AA61" s="4">
        <f>'中国汇率&amp;期货（change）'!AA61/'中国汇率&amp;期货（vol）'!AA61</f>
      </c>
      <c r="AB61" s="4">
        <f>'中国汇率&amp;期货（change）'!AB61/'中国汇率&amp;期货（vol）'!AB61</f>
      </c>
      <c r="AC61" s="4">
        <f>'中国汇率&amp;期货（change）'!AC61/'中国汇率&amp;期货（vol）'!AC61</f>
      </c>
      <c r="AD61" s="4">
        <f>'中国汇率&amp;期货（change）'!AD61/'中国汇率&amp;期货（vol）'!AD61</f>
      </c>
      <c r="AE61" s="4">
        <f>'中国汇率&amp;期货（change）'!AE61/'中国汇率&amp;期货（vol）'!AE61</f>
      </c>
      <c r="AF61" s="4">
        <f>'中国汇率&amp;期货（change）'!AF61/'中国汇率&amp;期货（vol）'!AF61</f>
      </c>
      <c r="AG61" s="4">
        <f>'中国汇率&amp;期货（change）'!AG61/'中国汇率&amp;期货（vol）'!AG61</f>
      </c>
      <c r="AH61" s="4">
        <f>'中国汇率&amp;期货（change）'!AH61/'中国汇率&amp;期货（vol）'!AH61</f>
      </c>
      <c r="AI61" s="4">
        <f>'中国汇率&amp;期货（change）'!AI61/'中国汇率&amp;期货（vol）'!AI61</f>
      </c>
      <c r="AJ61" s="4">
        <f>'中国汇率&amp;期货（change）'!AJ61/'中国汇率&amp;期货（vol）'!AJ61</f>
      </c>
      <c r="AK61" s="4">
        <f>'中国汇率&amp;期货（change）'!AK61/'中国汇率&amp;期货（vol）'!AK61</f>
      </c>
      <c r="AL61" s="4">
        <f>'中国汇率&amp;期货（change）'!AL61/'中国汇率&amp;期货（vol）'!AL61</f>
      </c>
      <c r="AM61" s="4">
        <f>'中国汇率&amp;期货（change）'!AM61/'中国汇率&amp;期货（vol）'!AM61</f>
      </c>
      <c r="AN61" s="4">
        <f>'中国汇率&amp;期货（change）'!AN61/'中国汇率&amp;期货（vol）'!AN61</f>
      </c>
      <c r="AO61" s="4">
        <f>'中国汇率&amp;期货（change）'!AO61/'中国汇率&amp;期货（vol）'!AO61</f>
      </c>
      <c r="AP61" s="4">
        <f>'中国汇率&amp;期货（change）'!AP61/'中国汇率&amp;期货（vol）'!AP61</f>
      </c>
      <c r="AQ61" s="4">
        <f>'中国汇率&amp;期货（change）'!AQ61/'中国汇率&amp;期货（vol）'!AQ61</f>
      </c>
      <c r="AR61" s="4">
        <f>'中国汇率&amp;期货（change）'!AR61/'中国汇率&amp;期货（vol）'!AR61</f>
      </c>
      <c r="AS61" s="4">
        <f>'中国汇率&amp;期货（change）'!AS61/'中国汇率&amp;期货（vol）'!AS61</f>
      </c>
      <c r="AT61" s="4">
        <f>'中国汇率&amp;期货（change）'!AT61/'中国汇率&amp;期货（vol）'!AT61</f>
      </c>
      <c r="AU61" s="4">
        <f>'中国汇率&amp;期货（change）'!AU61/'中国汇率&amp;期货（vol）'!AU61</f>
      </c>
      <c r="AV61" s="4">
        <f>'中国汇率&amp;期货（change）'!AV61/'中国汇率&amp;期货（vol）'!AV61</f>
      </c>
      <c r="AW61" s="4">
        <f>'中国汇率&amp;期货（change）'!AW61/'中国汇率&amp;期货（vol）'!AW61</f>
      </c>
      <c r="AX61" s="4">
        <f>'中国汇率&amp;期货（change）'!AX61/'中国汇率&amp;期货（vol）'!AX61</f>
      </c>
      <c r="AY61" s="4">
        <f>'中国汇率&amp;期货（change）'!AY61/'中国汇率&amp;期货（vol）'!AY61</f>
      </c>
      <c r="AZ61" s="4">
        <f>'中国汇率&amp;期货（change）'!AZ61/'中国汇率&amp;期货（vol）'!AZ61</f>
      </c>
      <c r="BA61" s="4">
        <f>'中国汇率&amp;期货（change）'!BA61/'中国汇率&amp;期货（vol）'!BA61</f>
      </c>
      <c r="BB61" s="4">
        <f>'中国汇率&amp;期货（change）'!BB61/'中国汇率&amp;期货（vol）'!BB61</f>
      </c>
      <c r="BC61" s="4">
        <f>'中国汇率&amp;期货（change）'!BC61/'中国汇率&amp;期货（vol）'!BC61</f>
      </c>
      <c r="BD61" s="4">
        <f>'中国汇率&amp;期货（change）'!BD61/'中国汇率&amp;期货（vol）'!BD61</f>
      </c>
      <c r="BE61" s="4">
        <f>'中国汇率&amp;期货（change）'!BE61/'中国汇率&amp;期货（vol）'!BE61</f>
      </c>
    </row>
    <row x14ac:dyDescent="0.25" r="62" customHeight="1" ht="18.75">
      <c r="A62" s="1"/>
      <c r="B62" s="4">
        <f>'中国汇率&amp;期货（change）'!B62/'中国汇率&amp;期货（vol）'!B62</f>
      </c>
      <c r="C62" s="4">
        <f>'中国汇率&amp;期货（change）'!C62/'中国汇率&amp;期货（vol）'!C62</f>
      </c>
      <c r="D62" s="4">
        <f>'中国汇率&amp;期货（change）'!D62/'中国汇率&amp;期货（vol）'!D62</f>
      </c>
      <c r="E62" s="4">
        <f>'中国汇率&amp;期货（change）'!E62/'中国汇率&amp;期货（vol）'!E62</f>
      </c>
      <c r="F62" s="4">
        <f>'中国汇率&amp;期货（change）'!F62/'中国汇率&amp;期货（vol）'!F62</f>
      </c>
      <c r="G62" s="4">
        <f>'中国汇率&amp;期货（change）'!G62/'中国汇率&amp;期货（vol）'!G62</f>
      </c>
      <c r="H62" s="4">
        <f>'中国汇率&amp;期货（change）'!H62/'中国汇率&amp;期货（vol）'!H62</f>
      </c>
      <c r="I62" s="4">
        <f>'中国汇率&amp;期货（change）'!I62/'中国汇率&amp;期货（vol）'!I62</f>
      </c>
      <c r="J62" s="4">
        <f>'中国汇率&amp;期货（change）'!J62/'中国汇率&amp;期货（vol）'!J62</f>
      </c>
      <c r="K62" s="4">
        <f>'中国汇率&amp;期货（change）'!K62/'中国汇率&amp;期货（vol）'!K62</f>
      </c>
      <c r="L62" s="4">
        <f>'中国汇率&amp;期货（change）'!L62/'中国汇率&amp;期货（vol）'!L62</f>
      </c>
      <c r="M62" s="4">
        <f>'中国汇率&amp;期货（change）'!M62/'中国汇率&amp;期货（vol）'!M62</f>
      </c>
      <c r="N62" s="4">
        <f>'中国汇率&amp;期货（change）'!N62/'中国汇率&amp;期货（vol）'!N62</f>
      </c>
      <c r="O62" s="4">
        <f>'中国汇率&amp;期货（change）'!O62/'中国汇率&amp;期货（vol）'!O62</f>
      </c>
      <c r="P62" s="4">
        <f>'中国汇率&amp;期货（change）'!P62/'中国汇率&amp;期货（vol）'!P62</f>
      </c>
      <c r="Q62" s="4">
        <f>'中国汇率&amp;期货（change）'!Q62/'中国汇率&amp;期货（vol）'!Q62</f>
      </c>
      <c r="R62" s="4">
        <f>'中国汇率&amp;期货（change）'!R62/'中国汇率&amp;期货（vol）'!R62</f>
      </c>
      <c r="S62" s="4">
        <f>'中国汇率&amp;期货（change）'!S62/'中国汇率&amp;期货（vol）'!S62</f>
      </c>
      <c r="T62" s="4">
        <f>'中国汇率&amp;期货（change）'!T62/'中国汇率&amp;期货（vol）'!T62</f>
      </c>
      <c r="U62" s="4">
        <f>'中国汇率&amp;期货（change）'!U62/'中国汇率&amp;期货（vol）'!U62</f>
      </c>
      <c r="V62" s="4">
        <f>'中国汇率&amp;期货（change）'!V62/'中国汇率&amp;期货（vol）'!V62</f>
      </c>
      <c r="W62" s="4">
        <f>'中国汇率&amp;期货（change）'!W62/'中国汇率&amp;期货（vol）'!W62</f>
      </c>
      <c r="X62" s="4">
        <f>'中国汇率&amp;期货（change）'!X62/'中国汇率&amp;期货（vol）'!X62</f>
      </c>
      <c r="Y62" s="4">
        <f>'中国汇率&amp;期货（change）'!Y62/'中国汇率&amp;期货（vol）'!Y62</f>
      </c>
      <c r="Z62" s="4">
        <f>'中国汇率&amp;期货（change）'!Z62/'中国汇率&amp;期货（vol）'!Z62</f>
      </c>
      <c r="AA62" s="4">
        <f>'中国汇率&amp;期货（change）'!AA62/'中国汇率&amp;期货（vol）'!AA62</f>
      </c>
      <c r="AB62" s="4">
        <f>'中国汇率&amp;期货（change）'!AB62/'中国汇率&amp;期货（vol）'!AB62</f>
      </c>
      <c r="AC62" s="4">
        <f>'中国汇率&amp;期货（change）'!AC62/'中国汇率&amp;期货（vol）'!AC62</f>
      </c>
      <c r="AD62" s="4">
        <f>'中国汇率&amp;期货（change）'!AD62/'中国汇率&amp;期货（vol）'!AD62</f>
      </c>
      <c r="AE62" s="4">
        <f>'中国汇率&amp;期货（change）'!AE62/'中国汇率&amp;期货（vol）'!AE62</f>
      </c>
      <c r="AF62" s="4">
        <f>'中国汇率&amp;期货（change）'!AF62/'中国汇率&amp;期货（vol）'!AF62</f>
      </c>
      <c r="AG62" s="4">
        <f>'中国汇率&amp;期货（change）'!AG62/'中国汇率&amp;期货（vol）'!AG62</f>
      </c>
      <c r="AH62" s="4">
        <f>'中国汇率&amp;期货（change）'!AH62/'中国汇率&amp;期货（vol）'!AH62</f>
      </c>
      <c r="AI62" s="4">
        <f>'中国汇率&amp;期货（change）'!AI62/'中国汇率&amp;期货（vol）'!AI62</f>
      </c>
      <c r="AJ62" s="4">
        <f>'中国汇率&amp;期货（change）'!AJ62/'中国汇率&amp;期货（vol）'!AJ62</f>
      </c>
      <c r="AK62" s="4">
        <f>'中国汇率&amp;期货（change）'!AK62/'中国汇率&amp;期货（vol）'!AK62</f>
      </c>
      <c r="AL62" s="4">
        <f>'中国汇率&amp;期货（change）'!AL62/'中国汇率&amp;期货（vol）'!AL62</f>
      </c>
      <c r="AM62" s="4">
        <f>'中国汇率&amp;期货（change）'!AM62/'中国汇率&amp;期货（vol）'!AM62</f>
      </c>
      <c r="AN62" s="4">
        <f>'中国汇率&amp;期货（change）'!AN62/'中国汇率&amp;期货（vol）'!AN62</f>
      </c>
      <c r="AO62" s="4">
        <f>'中国汇率&amp;期货（change）'!AO62/'中国汇率&amp;期货（vol）'!AO62</f>
      </c>
      <c r="AP62" s="4">
        <f>'中国汇率&amp;期货（change）'!AP62/'中国汇率&amp;期货（vol）'!AP62</f>
      </c>
      <c r="AQ62" s="4">
        <f>'中国汇率&amp;期货（change）'!AQ62/'中国汇率&amp;期货（vol）'!AQ62</f>
      </c>
      <c r="AR62" s="4">
        <f>'中国汇率&amp;期货（change）'!AR62/'中国汇率&amp;期货（vol）'!AR62</f>
      </c>
      <c r="AS62" s="4">
        <f>'中国汇率&amp;期货（change）'!AS62/'中国汇率&amp;期货（vol）'!AS62</f>
      </c>
      <c r="AT62" s="4">
        <f>'中国汇率&amp;期货（change）'!AT62/'中国汇率&amp;期货（vol）'!AT62</f>
      </c>
      <c r="AU62" s="4">
        <f>'中国汇率&amp;期货（change）'!AU62/'中国汇率&amp;期货（vol）'!AU62</f>
      </c>
      <c r="AV62" s="4">
        <f>'中国汇率&amp;期货（change）'!AV62/'中国汇率&amp;期货（vol）'!AV62</f>
      </c>
      <c r="AW62" s="4">
        <f>'中国汇率&amp;期货（change）'!AW62/'中国汇率&amp;期货（vol）'!AW62</f>
      </c>
      <c r="AX62" s="4">
        <f>'中国汇率&amp;期货（change）'!AX62/'中国汇率&amp;期货（vol）'!AX62</f>
      </c>
      <c r="AY62" s="4">
        <f>'中国汇率&amp;期货（change）'!AY62/'中国汇率&amp;期货（vol）'!AY62</f>
      </c>
      <c r="AZ62" s="4">
        <f>'中国汇率&amp;期货（change）'!AZ62/'中国汇率&amp;期货（vol）'!AZ62</f>
      </c>
      <c r="BA62" s="4">
        <f>'中国汇率&amp;期货（change）'!BA62/'中国汇率&amp;期货（vol）'!BA62</f>
      </c>
      <c r="BB62" s="4">
        <f>'中国汇率&amp;期货（change）'!BB62/'中国汇率&amp;期货（vol）'!BB62</f>
      </c>
      <c r="BC62" s="4">
        <f>'中国汇率&amp;期货（change）'!BC62/'中国汇率&amp;期货（vol）'!BC62</f>
      </c>
      <c r="BD62" s="4">
        <f>'中国汇率&amp;期货（change）'!BD62/'中国汇率&amp;期货（vol）'!BD62</f>
      </c>
      <c r="BE62" s="4">
        <f>'中国汇率&amp;期货（change）'!BE62/'中国汇率&amp;期货（vol）'!BE62</f>
      </c>
    </row>
    <row x14ac:dyDescent="0.25" r="63" customHeight="1" ht="18.75">
      <c r="A63" s="1"/>
      <c r="B63" s="4">
        <f>'中国汇率&amp;期货（change）'!B63/'中国汇率&amp;期货（vol）'!B63</f>
      </c>
      <c r="C63" s="4">
        <f>'中国汇率&amp;期货（change）'!C63/'中国汇率&amp;期货（vol）'!C63</f>
      </c>
      <c r="D63" s="4">
        <f>'中国汇率&amp;期货（change）'!D63/'中国汇率&amp;期货（vol）'!D63</f>
      </c>
      <c r="E63" s="4">
        <f>'中国汇率&amp;期货（change）'!E63/'中国汇率&amp;期货（vol）'!E63</f>
      </c>
      <c r="F63" s="4">
        <f>'中国汇率&amp;期货（change）'!F63/'中国汇率&amp;期货（vol）'!F63</f>
      </c>
      <c r="G63" s="4">
        <f>'中国汇率&amp;期货（change）'!G63/'中国汇率&amp;期货（vol）'!G63</f>
      </c>
      <c r="H63" s="4">
        <f>'中国汇率&amp;期货（change）'!H63/'中国汇率&amp;期货（vol）'!H63</f>
      </c>
      <c r="I63" s="4">
        <f>'中国汇率&amp;期货（change）'!I63/'中国汇率&amp;期货（vol）'!I63</f>
      </c>
      <c r="J63" s="4">
        <f>'中国汇率&amp;期货（change）'!J63/'中国汇率&amp;期货（vol）'!J63</f>
      </c>
      <c r="K63" s="4">
        <f>'中国汇率&amp;期货（change）'!K63/'中国汇率&amp;期货（vol）'!K63</f>
      </c>
      <c r="L63" s="4">
        <f>'中国汇率&amp;期货（change）'!L63/'中国汇率&amp;期货（vol）'!L63</f>
      </c>
      <c r="M63" s="4">
        <f>'中国汇率&amp;期货（change）'!M63/'中国汇率&amp;期货（vol）'!M63</f>
      </c>
      <c r="N63" s="4">
        <f>'中国汇率&amp;期货（change）'!N63/'中国汇率&amp;期货（vol）'!N63</f>
      </c>
      <c r="O63" s="4">
        <f>'中国汇率&amp;期货（change）'!O63/'中国汇率&amp;期货（vol）'!O63</f>
      </c>
      <c r="P63" s="4">
        <f>'中国汇率&amp;期货（change）'!P63/'中国汇率&amp;期货（vol）'!P63</f>
      </c>
      <c r="Q63" s="4">
        <f>'中国汇率&amp;期货（change）'!Q63/'中国汇率&amp;期货（vol）'!Q63</f>
      </c>
      <c r="R63" s="4">
        <f>'中国汇率&amp;期货（change）'!R63/'中国汇率&amp;期货（vol）'!R63</f>
      </c>
      <c r="S63" s="4">
        <f>'中国汇率&amp;期货（change）'!S63/'中国汇率&amp;期货（vol）'!S63</f>
      </c>
      <c r="T63" s="4">
        <f>'中国汇率&amp;期货（change）'!T63/'中国汇率&amp;期货（vol）'!T63</f>
      </c>
      <c r="U63" s="4">
        <f>'中国汇率&amp;期货（change）'!U63/'中国汇率&amp;期货（vol）'!U63</f>
      </c>
      <c r="V63" s="4">
        <f>'中国汇率&amp;期货（change）'!V63/'中国汇率&amp;期货（vol）'!V63</f>
      </c>
      <c r="W63" s="4">
        <f>'中国汇率&amp;期货（change）'!W63/'中国汇率&amp;期货（vol）'!W63</f>
      </c>
      <c r="X63" s="4">
        <f>'中国汇率&amp;期货（change）'!X63/'中国汇率&amp;期货（vol）'!X63</f>
      </c>
      <c r="Y63" s="4">
        <f>'中国汇率&amp;期货（change）'!Y63/'中国汇率&amp;期货（vol）'!Y63</f>
      </c>
      <c r="Z63" s="4">
        <f>'中国汇率&amp;期货（change）'!Z63/'中国汇率&amp;期货（vol）'!Z63</f>
      </c>
      <c r="AA63" s="4">
        <f>'中国汇率&amp;期货（change）'!AA63/'中国汇率&amp;期货（vol）'!AA63</f>
      </c>
      <c r="AB63" s="4">
        <f>'中国汇率&amp;期货（change）'!AB63/'中国汇率&amp;期货（vol）'!AB63</f>
      </c>
      <c r="AC63" s="4">
        <f>'中国汇率&amp;期货（change）'!AC63/'中国汇率&amp;期货（vol）'!AC63</f>
      </c>
      <c r="AD63" s="4">
        <f>'中国汇率&amp;期货（change）'!AD63/'中国汇率&amp;期货（vol）'!AD63</f>
      </c>
      <c r="AE63" s="4">
        <f>'中国汇率&amp;期货（change）'!AE63/'中国汇率&amp;期货（vol）'!AE63</f>
      </c>
      <c r="AF63" s="4">
        <f>'中国汇率&amp;期货（change）'!AF63/'中国汇率&amp;期货（vol）'!AF63</f>
      </c>
      <c r="AG63" s="4">
        <f>'中国汇率&amp;期货（change）'!AG63/'中国汇率&amp;期货（vol）'!AG63</f>
      </c>
      <c r="AH63" s="4">
        <f>'中国汇率&amp;期货（change）'!AH63/'中国汇率&amp;期货（vol）'!AH63</f>
      </c>
      <c r="AI63" s="4">
        <f>'中国汇率&amp;期货（change）'!AI63/'中国汇率&amp;期货（vol）'!AI63</f>
      </c>
      <c r="AJ63" s="4">
        <f>'中国汇率&amp;期货（change）'!AJ63/'中国汇率&amp;期货（vol）'!AJ63</f>
      </c>
      <c r="AK63" s="4">
        <f>'中国汇率&amp;期货（change）'!AK63/'中国汇率&amp;期货（vol）'!AK63</f>
      </c>
      <c r="AL63" s="4">
        <f>'中国汇率&amp;期货（change）'!AL63/'中国汇率&amp;期货（vol）'!AL63</f>
      </c>
      <c r="AM63" s="4">
        <f>'中国汇率&amp;期货（change）'!AM63/'中国汇率&amp;期货（vol）'!AM63</f>
      </c>
      <c r="AN63" s="4">
        <f>'中国汇率&amp;期货（change）'!AN63/'中国汇率&amp;期货（vol）'!AN63</f>
      </c>
      <c r="AO63" s="4">
        <f>'中国汇率&amp;期货（change）'!AO63/'中国汇率&amp;期货（vol）'!AO63</f>
      </c>
      <c r="AP63" s="4">
        <f>'中国汇率&amp;期货（change）'!AP63/'中国汇率&amp;期货（vol）'!AP63</f>
      </c>
      <c r="AQ63" s="4">
        <f>'中国汇率&amp;期货（change）'!AQ63/'中国汇率&amp;期货（vol）'!AQ63</f>
      </c>
      <c r="AR63" s="4">
        <f>'中国汇率&amp;期货（change）'!AR63/'中国汇率&amp;期货（vol）'!AR63</f>
      </c>
      <c r="AS63" s="4">
        <f>'中国汇率&amp;期货（change）'!AS63/'中国汇率&amp;期货（vol）'!AS63</f>
      </c>
      <c r="AT63" s="4">
        <f>'中国汇率&amp;期货（change）'!AT63/'中国汇率&amp;期货（vol）'!AT63</f>
      </c>
      <c r="AU63" s="4">
        <f>'中国汇率&amp;期货（change）'!AU63/'中国汇率&amp;期货（vol）'!AU63</f>
      </c>
      <c r="AV63" s="4">
        <f>'中国汇率&amp;期货（change）'!AV63/'中国汇率&amp;期货（vol）'!AV63</f>
      </c>
      <c r="AW63" s="4">
        <f>'中国汇率&amp;期货（change）'!AW63/'中国汇率&amp;期货（vol）'!AW63</f>
      </c>
      <c r="AX63" s="4">
        <f>'中国汇率&amp;期货（change）'!AX63/'中国汇率&amp;期货（vol）'!AX63</f>
      </c>
      <c r="AY63" s="4">
        <f>'中国汇率&amp;期货（change）'!AY63/'中国汇率&amp;期货（vol）'!AY63</f>
      </c>
      <c r="AZ63" s="4">
        <f>'中国汇率&amp;期货（change）'!AZ63/'中国汇率&amp;期货（vol）'!AZ63</f>
      </c>
      <c r="BA63" s="4">
        <f>'中国汇率&amp;期货（change）'!BA63/'中国汇率&amp;期货（vol）'!BA63</f>
      </c>
      <c r="BB63" s="4">
        <f>'中国汇率&amp;期货（change）'!BB63/'中国汇率&amp;期货（vol）'!BB63</f>
      </c>
      <c r="BC63" s="4">
        <f>'中国汇率&amp;期货（change）'!BC63/'中国汇率&amp;期货（vol）'!BC63</f>
      </c>
      <c r="BD63" s="4">
        <f>'中国汇率&amp;期货（change）'!BD63/'中国汇率&amp;期货（vol）'!BD63</f>
      </c>
      <c r="BE63" s="4">
        <f>'中国汇率&amp;期货（change）'!BE63/'中国汇率&amp;期货（vol）'!BE63</f>
      </c>
    </row>
    <row x14ac:dyDescent="0.25" r="64" customHeight="1" ht="18.75">
      <c r="A64" s="1"/>
      <c r="B64" s="4">
        <f>'中国汇率&amp;期货（change）'!B64/'中国汇率&amp;期货（vol）'!B64</f>
      </c>
      <c r="C64" s="4">
        <f>'中国汇率&amp;期货（change）'!C64/'中国汇率&amp;期货（vol）'!C64</f>
      </c>
      <c r="D64" s="4">
        <f>'中国汇率&amp;期货（change）'!D64/'中国汇率&amp;期货（vol）'!D64</f>
      </c>
      <c r="E64" s="4">
        <f>'中国汇率&amp;期货（change）'!E64/'中国汇率&amp;期货（vol）'!E64</f>
      </c>
      <c r="F64" s="4">
        <f>'中国汇率&amp;期货（change）'!F64/'中国汇率&amp;期货（vol）'!F64</f>
      </c>
      <c r="G64" s="4">
        <f>'中国汇率&amp;期货（change）'!G64/'中国汇率&amp;期货（vol）'!G64</f>
      </c>
      <c r="H64" s="4">
        <f>'中国汇率&amp;期货（change）'!H64/'中国汇率&amp;期货（vol）'!H64</f>
      </c>
      <c r="I64" s="4">
        <f>'中国汇率&amp;期货（change）'!I64/'中国汇率&amp;期货（vol）'!I64</f>
      </c>
      <c r="J64" s="4">
        <f>'中国汇率&amp;期货（change）'!J64/'中国汇率&amp;期货（vol）'!J64</f>
      </c>
      <c r="K64" s="4">
        <f>'中国汇率&amp;期货（change）'!K64/'中国汇率&amp;期货（vol）'!K64</f>
      </c>
      <c r="L64" s="4">
        <f>'中国汇率&amp;期货（change）'!L64/'中国汇率&amp;期货（vol）'!L64</f>
      </c>
      <c r="M64" s="4">
        <f>'中国汇率&amp;期货（change）'!M64/'中国汇率&amp;期货（vol）'!M64</f>
      </c>
      <c r="N64" s="4">
        <f>'中国汇率&amp;期货（change）'!N64/'中国汇率&amp;期货（vol）'!N64</f>
      </c>
      <c r="O64" s="4">
        <f>'中国汇率&amp;期货（change）'!O64/'中国汇率&amp;期货（vol）'!O64</f>
      </c>
      <c r="P64" s="4">
        <f>'中国汇率&amp;期货（change）'!P64/'中国汇率&amp;期货（vol）'!P64</f>
      </c>
      <c r="Q64" s="4">
        <f>'中国汇率&amp;期货（change）'!Q64/'中国汇率&amp;期货（vol）'!Q64</f>
      </c>
      <c r="R64" s="4">
        <f>'中国汇率&amp;期货（change）'!R64/'中国汇率&amp;期货（vol）'!R64</f>
      </c>
      <c r="S64" s="4">
        <f>'中国汇率&amp;期货（change）'!S64/'中国汇率&amp;期货（vol）'!S64</f>
      </c>
      <c r="T64" s="4">
        <f>'中国汇率&amp;期货（change）'!T64/'中国汇率&amp;期货（vol）'!T64</f>
      </c>
      <c r="U64" s="4">
        <f>'中国汇率&amp;期货（change）'!U64/'中国汇率&amp;期货（vol）'!U64</f>
      </c>
      <c r="V64" s="4">
        <f>'中国汇率&amp;期货（change）'!V64/'中国汇率&amp;期货（vol）'!V64</f>
      </c>
      <c r="W64" s="4">
        <f>'中国汇率&amp;期货（change）'!W64/'中国汇率&amp;期货（vol）'!W64</f>
      </c>
      <c r="X64" s="4">
        <f>'中国汇率&amp;期货（change）'!X64/'中国汇率&amp;期货（vol）'!X64</f>
      </c>
      <c r="Y64" s="4">
        <f>'中国汇率&amp;期货（change）'!Y64/'中国汇率&amp;期货（vol）'!Y64</f>
      </c>
      <c r="Z64" s="4">
        <f>'中国汇率&amp;期货（change）'!Z64/'中国汇率&amp;期货（vol）'!Z64</f>
      </c>
      <c r="AA64" s="4">
        <f>'中国汇率&amp;期货（change）'!AA64/'中国汇率&amp;期货（vol）'!AA64</f>
      </c>
      <c r="AB64" s="4">
        <f>'中国汇率&amp;期货（change）'!AB64/'中国汇率&amp;期货（vol）'!AB64</f>
      </c>
      <c r="AC64" s="4">
        <f>'中国汇率&amp;期货（change）'!AC64/'中国汇率&amp;期货（vol）'!AC64</f>
      </c>
      <c r="AD64" s="4">
        <f>'中国汇率&amp;期货（change）'!AD64/'中国汇率&amp;期货（vol）'!AD64</f>
      </c>
      <c r="AE64" s="4">
        <f>'中国汇率&amp;期货（change）'!AE64/'中国汇率&amp;期货（vol）'!AE64</f>
      </c>
      <c r="AF64" s="4">
        <f>'中国汇率&amp;期货（change）'!AF64/'中国汇率&amp;期货（vol）'!AF64</f>
      </c>
      <c r="AG64" s="4">
        <f>'中国汇率&amp;期货（change）'!AG64/'中国汇率&amp;期货（vol）'!AG64</f>
      </c>
      <c r="AH64" s="4">
        <f>'中国汇率&amp;期货（change）'!AH64/'中国汇率&amp;期货（vol）'!AH64</f>
      </c>
      <c r="AI64" s="4">
        <f>'中国汇率&amp;期货（change）'!AI64/'中国汇率&amp;期货（vol）'!AI64</f>
      </c>
      <c r="AJ64" s="4">
        <f>'中国汇率&amp;期货（change）'!AJ64/'中国汇率&amp;期货（vol）'!AJ64</f>
      </c>
      <c r="AK64" s="4">
        <f>'中国汇率&amp;期货（change）'!AK64/'中国汇率&amp;期货（vol）'!AK64</f>
      </c>
      <c r="AL64" s="4">
        <f>'中国汇率&amp;期货（change）'!AL64/'中国汇率&amp;期货（vol）'!AL64</f>
      </c>
      <c r="AM64" s="4">
        <f>'中国汇率&amp;期货（change）'!AM64/'中国汇率&amp;期货（vol）'!AM64</f>
      </c>
      <c r="AN64" s="4">
        <f>'中国汇率&amp;期货（change）'!AN64/'中国汇率&amp;期货（vol）'!AN64</f>
      </c>
      <c r="AO64" s="4">
        <f>'中国汇率&amp;期货（change）'!AO64/'中国汇率&amp;期货（vol）'!AO64</f>
      </c>
      <c r="AP64" s="4">
        <f>'中国汇率&amp;期货（change）'!AP64/'中国汇率&amp;期货（vol）'!AP64</f>
      </c>
      <c r="AQ64" s="4">
        <f>'中国汇率&amp;期货（change）'!AQ64/'中国汇率&amp;期货（vol）'!AQ64</f>
      </c>
      <c r="AR64" s="4">
        <f>'中国汇率&amp;期货（change）'!AR64/'中国汇率&amp;期货（vol）'!AR64</f>
      </c>
      <c r="AS64" s="4">
        <f>'中国汇率&amp;期货（change）'!AS64/'中国汇率&amp;期货（vol）'!AS64</f>
      </c>
      <c r="AT64" s="4">
        <f>'中国汇率&amp;期货（change）'!AT64/'中国汇率&amp;期货（vol）'!AT64</f>
      </c>
      <c r="AU64" s="4">
        <f>'中国汇率&amp;期货（change）'!AU64/'中国汇率&amp;期货（vol）'!AU64</f>
      </c>
      <c r="AV64" s="4">
        <f>'中国汇率&amp;期货（change）'!AV64/'中国汇率&amp;期货（vol）'!AV64</f>
      </c>
      <c r="AW64" s="4">
        <f>'中国汇率&amp;期货（change）'!AW64/'中国汇率&amp;期货（vol）'!AW64</f>
      </c>
      <c r="AX64" s="4">
        <f>'中国汇率&amp;期货（change）'!AX64/'中国汇率&amp;期货（vol）'!AX64</f>
      </c>
      <c r="AY64" s="4">
        <f>'中国汇率&amp;期货（change）'!AY64/'中国汇率&amp;期货（vol）'!AY64</f>
      </c>
      <c r="AZ64" s="4">
        <f>'中国汇率&amp;期货（change）'!AZ64/'中国汇率&amp;期货（vol）'!AZ64</f>
      </c>
      <c r="BA64" s="4">
        <f>'中国汇率&amp;期货（change）'!BA64/'中国汇率&amp;期货（vol）'!BA64</f>
      </c>
      <c r="BB64" s="4">
        <f>'中国汇率&amp;期货（change）'!BB64/'中国汇率&amp;期货（vol）'!BB64</f>
      </c>
      <c r="BC64" s="4">
        <f>'中国汇率&amp;期货（change）'!BC64/'中国汇率&amp;期货（vol）'!BC64</f>
      </c>
      <c r="BD64" s="4">
        <f>'中国汇率&amp;期货（change）'!BD64/'中国汇率&amp;期货（vol）'!BD64</f>
      </c>
      <c r="BE64" s="4">
        <f>'中国汇率&amp;期货（change）'!BE64/'中国汇率&amp;期货（vol）'!BE64</f>
      </c>
    </row>
    <row x14ac:dyDescent="0.25" r="65" customHeight="1" ht="18.75">
      <c r="A65" s="1"/>
      <c r="B65" s="4">
        <f>'中国汇率&amp;期货（change）'!B65/'中国汇率&amp;期货（vol）'!B65</f>
      </c>
      <c r="C65" s="4">
        <f>'中国汇率&amp;期货（change）'!C65/'中国汇率&amp;期货（vol）'!C65</f>
      </c>
      <c r="D65" s="4">
        <f>'中国汇率&amp;期货（change）'!D65/'中国汇率&amp;期货（vol）'!D65</f>
      </c>
      <c r="E65" s="4">
        <f>'中国汇率&amp;期货（change）'!E65/'中国汇率&amp;期货（vol）'!E65</f>
      </c>
      <c r="F65" s="4">
        <f>'中国汇率&amp;期货（change）'!F65/'中国汇率&amp;期货（vol）'!F65</f>
      </c>
      <c r="G65" s="4">
        <f>'中国汇率&amp;期货（change）'!G65/'中国汇率&amp;期货（vol）'!G65</f>
      </c>
      <c r="H65" s="4">
        <f>'中国汇率&amp;期货（change）'!H65/'中国汇率&amp;期货（vol）'!H65</f>
      </c>
      <c r="I65" s="4">
        <f>'中国汇率&amp;期货（change）'!I65/'中国汇率&amp;期货（vol）'!I65</f>
      </c>
      <c r="J65" s="4">
        <f>'中国汇率&amp;期货（change）'!J65/'中国汇率&amp;期货（vol）'!J65</f>
      </c>
      <c r="K65" s="4">
        <f>'中国汇率&amp;期货（change）'!K65/'中国汇率&amp;期货（vol）'!K65</f>
      </c>
      <c r="L65" s="4">
        <f>'中国汇率&amp;期货（change）'!L65/'中国汇率&amp;期货（vol）'!L65</f>
      </c>
      <c r="M65" s="4">
        <f>'中国汇率&amp;期货（change）'!M65/'中国汇率&amp;期货（vol）'!M65</f>
      </c>
      <c r="N65" s="4">
        <f>'中国汇率&amp;期货（change）'!N65/'中国汇率&amp;期货（vol）'!N65</f>
      </c>
      <c r="O65" s="4">
        <f>'中国汇率&amp;期货（change）'!O65/'中国汇率&amp;期货（vol）'!O65</f>
      </c>
      <c r="P65" s="4">
        <f>'中国汇率&amp;期货（change）'!P65/'中国汇率&amp;期货（vol）'!P65</f>
      </c>
      <c r="Q65" s="4">
        <f>'中国汇率&amp;期货（change）'!Q65/'中国汇率&amp;期货（vol）'!Q65</f>
      </c>
      <c r="R65" s="4">
        <f>'中国汇率&amp;期货（change）'!R65/'中国汇率&amp;期货（vol）'!R65</f>
      </c>
      <c r="S65" s="4">
        <f>'中国汇率&amp;期货（change）'!S65/'中国汇率&amp;期货（vol）'!S65</f>
      </c>
      <c r="T65" s="4">
        <f>'中国汇率&amp;期货（change）'!T65/'中国汇率&amp;期货（vol）'!T65</f>
      </c>
      <c r="U65" s="4">
        <f>'中国汇率&amp;期货（change）'!U65/'中国汇率&amp;期货（vol）'!U65</f>
      </c>
      <c r="V65" s="4">
        <f>'中国汇率&amp;期货（change）'!V65/'中国汇率&amp;期货（vol）'!V65</f>
      </c>
      <c r="W65" s="4">
        <f>'中国汇率&amp;期货（change）'!W65/'中国汇率&amp;期货（vol）'!W65</f>
      </c>
      <c r="X65" s="4">
        <f>'中国汇率&amp;期货（change）'!X65/'中国汇率&amp;期货（vol）'!X65</f>
      </c>
      <c r="Y65" s="4">
        <f>'中国汇率&amp;期货（change）'!Y65/'中国汇率&amp;期货（vol）'!Y65</f>
      </c>
      <c r="Z65" s="4">
        <f>'中国汇率&amp;期货（change）'!Z65/'中国汇率&amp;期货（vol）'!Z65</f>
      </c>
      <c r="AA65" s="4">
        <f>'中国汇率&amp;期货（change）'!AA65/'中国汇率&amp;期货（vol）'!AA65</f>
      </c>
      <c r="AB65" s="4">
        <f>'中国汇率&amp;期货（change）'!AB65/'中国汇率&amp;期货（vol）'!AB65</f>
      </c>
      <c r="AC65" s="4">
        <f>'中国汇率&amp;期货（change）'!AC65/'中国汇率&amp;期货（vol）'!AC65</f>
      </c>
      <c r="AD65" s="4">
        <f>'中国汇率&amp;期货（change）'!AD65/'中国汇率&amp;期货（vol）'!AD65</f>
      </c>
      <c r="AE65" s="4">
        <f>'中国汇率&amp;期货（change）'!AE65/'中国汇率&amp;期货（vol）'!AE65</f>
      </c>
      <c r="AF65" s="4">
        <f>'中国汇率&amp;期货（change）'!AF65/'中国汇率&amp;期货（vol）'!AF65</f>
      </c>
      <c r="AG65" s="4">
        <f>'中国汇率&amp;期货（change）'!AG65/'中国汇率&amp;期货（vol）'!AG65</f>
      </c>
      <c r="AH65" s="4">
        <f>'中国汇率&amp;期货（change）'!AH65/'中国汇率&amp;期货（vol）'!AH65</f>
      </c>
      <c r="AI65" s="4">
        <f>'中国汇率&amp;期货（change）'!AI65/'中国汇率&amp;期货（vol）'!AI65</f>
      </c>
      <c r="AJ65" s="4">
        <f>'中国汇率&amp;期货（change）'!AJ65/'中国汇率&amp;期货（vol）'!AJ65</f>
      </c>
      <c r="AK65" s="4">
        <f>'中国汇率&amp;期货（change）'!AK65/'中国汇率&amp;期货（vol）'!AK65</f>
      </c>
      <c r="AL65" s="4">
        <f>'中国汇率&amp;期货（change）'!AL65/'中国汇率&amp;期货（vol）'!AL65</f>
      </c>
      <c r="AM65" s="4">
        <f>'中国汇率&amp;期货（change）'!AM65/'中国汇率&amp;期货（vol）'!AM65</f>
      </c>
      <c r="AN65" s="4">
        <f>'中国汇率&amp;期货（change）'!AN65/'中国汇率&amp;期货（vol）'!AN65</f>
      </c>
      <c r="AO65" s="4">
        <f>'中国汇率&amp;期货（change）'!AO65/'中国汇率&amp;期货（vol）'!AO65</f>
      </c>
      <c r="AP65" s="4">
        <f>'中国汇率&amp;期货（change）'!AP65/'中国汇率&amp;期货（vol）'!AP65</f>
      </c>
      <c r="AQ65" s="4">
        <f>'中国汇率&amp;期货（change）'!AQ65/'中国汇率&amp;期货（vol）'!AQ65</f>
      </c>
      <c r="AR65" s="4">
        <f>'中国汇率&amp;期货（change）'!AR65/'中国汇率&amp;期货（vol）'!AR65</f>
      </c>
      <c r="AS65" s="4">
        <f>'中国汇率&amp;期货（change）'!AS65/'中国汇率&amp;期货（vol）'!AS65</f>
      </c>
      <c r="AT65" s="4">
        <f>'中国汇率&amp;期货（change）'!AT65/'中国汇率&amp;期货（vol）'!AT65</f>
      </c>
      <c r="AU65" s="4">
        <f>'中国汇率&amp;期货（change）'!AU65/'中国汇率&amp;期货（vol）'!AU65</f>
      </c>
      <c r="AV65" s="4">
        <f>'中国汇率&amp;期货（change）'!AV65/'中国汇率&amp;期货（vol）'!AV65</f>
      </c>
      <c r="AW65" s="4">
        <f>'中国汇率&amp;期货（change）'!AW65/'中国汇率&amp;期货（vol）'!AW65</f>
      </c>
      <c r="AX65" s="4">
        <f>'中国汇率&amp;期货（change）'!AX65/'中国汇率&amp;期货（vol）'!AX65</f>
      </c>
      <c r="AY65" s="4">
        <f>'中国汇率&amp;期货（change）'!AY65/'中国汇率&amp;期货（vol）'!AY65</f>
      </c>
      <c r="AZ65" s="4">
        <f>'中国汇率&amp;期货（change）'!AZ65/'中国汇率&amp;期货（vol）'!AZ65</f>
      </c>
      <c r="BA65" s="4">
        <f>'中国汇率&amp;期货（change）'!BA65/'中国汇率&amp;期货（vol）'!BA65</f>
      </c>
      <c r="BB65" s="4">
        <f>'中国汇率&amp;期货（change）'!BB65/'中国汇率&amp;期货（vol）'!BB65</f>
      </c>
      <c r="BC65" s="4">
        <f>'中国汇率&amp;期货（change）'!BC65/'中国汇率&amp;期货（vol）'!BC65</f>
      </c>
      <c r="BD65" s="4">
        <f>'中国汇率&amp;期货（change）'!BD65/'中国汇率&amp;期货（vol）'!BD65</f>
      </c>
      <c r="BE65" s="4">
        <f>'中国汇率&amp;期货（change）'!BE65/'中国汇率&amp;期货（vol）'!BE65</f>
      </c>
    </row>
    <row x14ac:dyDescent="0.25" r="66" customHeight="1" ht="18.75">
      <c r="A66" s="1"/>
      <c r="B66" s="4">
        <f>'中国汇率&amp;期货（change）'!B66/'中国汇率&amp;期货（vol）'!B66</f>
      </c>
      <c r="C66" s="4">
        <f>'中国汇率&amp;期货（change）'!C66/'中国汇率&amp;期货（vol）'!C66</f>
      </c>
      <c r="D66" s="4">
        <f>'中国汇率&amp;期货（change）'!D66/'中国汇率&amp;期货（vol）'!D66</f>
      </c>
      <c r="E66" s="4">
        <f>'中国汇率&amp;期货（change）'!E66/'中国汇率&amp;期货（vol）'!E66</f>
      </c>
      <c r="F66" s="4">
        <f>'中国汇率&amp;期货（change）'!F66/'中国汇率&amp;期货（vol）'!F66</f>
      </c>
      <c r="G66" s="4">
        <f>'中国汇率&amp;期货（change）'!G66/'中国汇率&amp;期货（vol）'!G66</f>
      </c>
      <c r="H66" s="4">
        <f>'中国汇率&amp;期货（change）'!H66/'中国汇率&amp;期货（vol）'!H66</f>
      </c>
      <c r="I66" s="4">
        <f>'中国汇率&amp;期货（change）'!I66/'中国汇率&amp;期货（vol）'!I66</f>
      </c>
      <c r="J66" s="4">
        <f>'中国汇率&amp;期货（change）'!J66/'中国汇率&amp;期货（vol）'!J66</f>
      </c>
      <c r="K66" s="4">
        <f>'中国汇率&amp;期货（change）'!K66/'中国汇率&amp;期货（vol）'!K66</f>
      </c>
      <c r="L66" s="4">
        <f>'中国汇率&amp;期货（change）'!L66/'中国汇率&amp;期货（vol）'!L66</f>
      </c>
      <c r="M66" s="4">
        <f>'中国汇率&amp;期货（change）'!M66/'中国汇率&amp;期货（vol）'!M66</f>
      </c>
      <c r="N66" s="4">
        <f>'中国汇率&amp;期货（change）'!N66/'中国汇率&amp;期货（vol）'!N66</f>
      </c>
      <c r="O66" s="4">
        <f>'中国汇率&amp;期货（change）'!O66/'中国汇率&amp;期货（vol）'!O66</f>
      </c>
      <c r="P66" s="4">
        <f>'中国汇率&amp;期货（change）'!P66/'中国汇率&amp;期货（vol）'!P66</f>
      </c>
      <c r="Q66" s="4">
        <f>'中国汇率&amp;期货（change）'!Q66/'中国汇率&amp;期货（vol）'!Q66</f>
      </c>
      <c r="R66" s="4">
        <f>'中国汇率&amp;期货（change）'!R66/'中国汇率&amp;期货（vol）'!R66</f>
      </c>
      <c r="S66" s="4">
        <f>'中国汇率&amp;期货（change）'!S66/'中国汇率&amp;期货（vol）'!S66</f>
      </c>
      <c r="T66" s="4">
        <f>'中国汇率&amp;期货（change）'!T66/'中国汇率&amp;期货（vol）'!T66</f>
      </c>
      <c r="U66" s="4">
        <f>'中国汇率&amp;期货（change）'!U66/'中国汇率&amp;期货（vol）'!U66</f>
      </c>
      <c r="V66" s="4">
        <f>'中国汇率&amp;期货（change）'!V66/'中国汇率&amp;期货（vol）'!V66</f>
      </c>
      <c r="W66" s="4">
        <f>'中国汇率&amp;期货（change）'!W66/'中国汇率&amp;期货（vol）'!W66</f>
      </c>
      <c r="X66" s="4">
        <f>'中国汇率&amp;期货（change）'!X66/'中国汇率&amp;期货（vol）'!X66</f>
      </c>
      <c r="Y66" s="4">
        <f>'中国汇率&amp;期货（change）'!Y66/'中国汇率&amp;期货（vol）'!Y66</f>
      </c>
      <c r="Z66" s="4">
        <f>'中国汇率&amp;期货（change）'!Z66/'中国汇率&amp;期货（vol）'!Z66</f>
      </c>
      <c r="AA66" s="4">
        <f>'中国汇率&amp;期货（change）'!AA66/'中国汇率&amp;期货（vol）'!AA66</f>
      </c>
      <c r="AB66" s="4">
        <f>'中国汇率&amp;期货（change）'!AB66/'中国汇率&amp;期货（vol）'!AB66</f>
      </c>
      <c r="AC66" s="4">
        <f>'中国汇率&amp;期货（change）'!AC66/'中国汇率&amp;期货（vol）'!AC66</f>
      </c>
      <c r="AD66" s="4">
        <f>'中国汇率&amp;期货（change）'!AD66/'中国汇率&amp;期货（vol）'!AD66</f>
      </c>
      <c r="AE66" s="4">
        <f>'中国汇率&amp;期货（change）'!AE66/'中国汇率&amp;期货（vol）'!AE66</f>
      </c>
      <c r="AF66" s="4">
        <f>'中国汇率&amp;期货（change）'!AF66/'中国汇率&amp;期货（vol）'!AF66</f>
      </c>
      <c r="AG66" s="4">
        <f>'中国汇率&amp;期货（change）'!AG66/'中国汇率&amp;期货（vol）'!AG66</f>
      </c>
      <c r="AH66" s="4">
        <f>'中国汇率&amp;期货（change）'!AH66/'中国汇率&amp;期货（vol）'!AH66</f>
      </c>
      <c r="AI66" s="4">
        <f>'中国汇率&amp;期货（change）'!AI66/'中国汇率&amp;期货（vol）'!AI66</f>
      </c>
      <c r="AJ66" s="4">
        <f>'中国汇率&amp;期货（change）'!AJ66/'中国汇率&amp;期货（vol）'!AJ66</f>
      </c>
      <c r="AK66" s="4">
        <f>'中国汇率&amp;期货（change）'!AK66/'中国汇率&amp;期货（vol）'!AK66</f>
      </c>
      <c r="AL66" s="4">
        <f>'中国汇率&amp;期货（change）'!AL66/'中国汇率&amp;期货（vol）'!AL66</f>
      </c>
      <c r="AM66" s="4">
        <f>'中国汇率&amp;期货（change）'!AM66/'中国汇率&amp;期货（vol）'!AM66</f>
      </c>
      <c r="AN66" s="4">
        <f>'中国汇率&amp;期货（change）'!AN66/'中国汇率&amp;期货（vol）'!AN66</f>
      </c>
      <c r="AO66" s="4">
        <f>'中国汇率&amp;期货（change）'!AO66/'中国汇率&amp;期货（vol）'!AO66</f>
      </c>
      <c r="AP66" s="4">
        <f>'中国汇率&amp;期货（change）'!AP66/'中国汇率&amp;期货（vol）'!AP66</f>
      </c>
      <c r="AQ66" s="4">
        <f>'中国汇率&amp;期货（change）'!AQ66/'中国汇率&amp;期货（vol）'!AQ66</f>
      </c>
      <c r="AR66" s="4">
        <f>'中国汇率&amp;期货（change）'!AR66/'中国汇率&amp;期货（vol）'!AR66</f>
      </c>
      <c r="AS66" s="4">
        <f>'中国汇率&amp;期货（change）'!AS66/'中国汇率&amp;期货（vol）'!AS66</f>
      </c>
      <c r="AT66" s="4">
        <f>'中国汇率&amp;期货（change）'!AT66/'中国汇率&amp;期货（vol）'!AT66</f>
      </c>
      <c r="AU66" s="4">
        <f>'中国汇率&amp;期货（change）'!AU66/'中国汇率&amp;期货（vol）'!AU66</f>
      </c>
      <c r="AV66" s="4">
        <f>'中国汇率&amp;期货（change）'!AV66/'中国汇率&amp;期货（vol）'!AV66</f>
      </c>
      <c r="AW66" s="4">
        <f>'中国汇率&amp;期货（change）'!AW66/'中国汇率&amp;期货（vol）'!AW66</f>
      </c>
      <c r="AX66" s="4">
        <f>'中国汇率&amp;期货（change）'!AX66/'中国汇率&amp;期货（vol）'!AX66</f>
      </c>
      <c r="AY66" s="4">
        <f>'中国汇率&amp;期货（change）'!AY66/'中国汇率&amp;期货（vol）'!AY66</f>
      </c>
      <c r="AZ66" s="4">
        <f>'中国汇率&amp;期货（change）'!AZ66/'中国汇率&amp;期货（vol）'!AZ66</f>
      </c>
      <c r="BA66" s="4">
        <f>'中国汇率&amp;期货（change）'!BA66/'中国汇率&amp;期货（vol）'!BA66</f>
      </c>
      <c r="BB66" s="4">
        <f>'中国汇率&amp;期货（change）'!BB66/'中国汇率&amp;期货（vol）'!BB66</f>
      </c>
      <c r="BC66" s="4">
        <f>'中国汇率&amp;期货（change）'!BC66/'中国汇率&amp;期货（vol）'!BC66</f>
      </c>
      <c r="BD66" s="4">
        <f>'中国汇率&amp;期货（change）'!BD66/'中国汇率&amp;期货（vol）'!BD66</f>
      </c>
      <c r="BE66" s="4">
        <f>'中国汇率&amp;期货（change）'!BE66/'中国汇率&amp;期货（vol）'!BE66</f>
      </c>
    </row>
    <row x14ac:dyDescent="0.25" r="67" customHeight="1" ht="18.75">
      <c r="A67" s="1"/>
      <c r="B67" s="4">
        <f>'中国汇率&amp;期货（change）'!B67/'中国汇率&amp;期货（vol）'!B67</f>
      </c>
      <c r="C67" s="4">
        <f>'中国汇率&amp;期货（change）'!C67/'中国汇率&amp;期货（vol）'!C67</f>
      </c>
      <c r="D67" s="4">
        <f>'中国汇率&amp;期货（change）'!D67/'中国汇率&amp;期货（vol）'!D67</f>
      </c>
      <c r="E67" s="4">
        <f>'中国汇率&amp;期货（change）'!E67/'中国汇率&amp;期货（vol）'!E67</f>
      </c>
      <c r="F67" s="4">
        <f>'中国汇率&amp;期货（change）'!F67/'中国汇率&amp;期货（vol）'!F67</f>
      </c>
      <c r="G67" s="4">
        <f>'中国汇率&amp;期货（change）'!G67/'中国汇率&amp;期货（vol）'!G67</f>
      </c>
      <c r="H67" s="4">
        <f>'中国汇率&amp;期货（change）'!H67/'中国汇率&amp;期货（vol）'!H67</f>
      </c>
      <c r="I67" s="4">
        <f>'中国汇率&amp;期货（change）'!I67/'中国汇率&amp;期货（vol）'!I67</f>
      </c>
      <c r="J67" s="4">
        <f>'中国汇率&amp;期货（change）'!J67/'中国汇率&amp;期货（vol）'!J67</f>
      </c>
      <c r="K67" s="4">
        <f>'中国汇率&amp;期货（change）'!K67/'中国汇率&amp;期货（vol）'!K67</f>
      </c>
      <c r="L67" s="4">
        <f>'中国汇率&amp;期货（change）'!L67/'中国汇率&amp;期货（vol）'!L67</f>
      </c>
      <c r="M67" s="4">
        <f>'中国汇率&amp;期货（change）'!M67/'中国汇率&amp;期货（vol）'!M67</f>
      </c>
      <c r="N67" s="4">
        <f>'中国汇率&amp;期货（change）'!N67/'中国汇率&amp;期货（vol）'!N67</f>
      </c>
      <c r="O67" s="4">
        <f>'中国汇率&amp;期货（change）'!O67/'中国汇率&amp;期货（vol）'!O67</f>
      </c>
      <c r="P67" s="4">
        <f>'中国汇率&amp;期货（change）'!P67/'中国汇率&amp;期货（vol）'!P67</f>
      </c>
      <c r="Q67" s="4">
        <f>'中国汇率&amp;期货（change）'!Q67/'中国汇率&amp;期货（vol）'!Q67</f>
      </c>
      <c r="R67" s="4">
        <f>'中国汇率&amp;期货（change）'!R67/'中国汇率&amp;期货（vol）'!R67</f>
      </c>
      <c r="S67" s="4">
        <f>'中国汇率&amp;期货（change）'!S67/'中国汇率&amp;期货（vol）'!S67</f>
      </c>
      <c r="T67" s="4">
        <f>'中国汇率&amp;期货（change）'!T67/'中国汇率&amp;期货（vol）'!T67</f>
      </c>
      <c r="U67" s="4">
        <f>'中国汇率&amp;期货（change）'!U67/'中国汇率&amp;期货（vol）'!U67</f>
      </c>
      <c r="V67" s="4">
        <f>'中国汇率&amp;期货（change）'!V67/'中国汇率&amp;期货（vol）'!V67</f>
      </c>
      <c r="W67" s="4">
        <f>'中国汇率&amp;期货（change）'!W67/'中国汇率&amp;期货（vol）'!W67</f>
      </c>
      <c r="X67" s="4">
        <f>'中国汇率&amp;期货（change）'!X67/'中国汇率&amp;期货（vol）'!X67</f>
      </c>
      <c r="Y67" s="4">
        <f>'中国汇率&amp;期货（change）'!Y67/'中国汇率&amp;期货（vol）'!Y67</f>
      </c>
      <c r="Z67" s="4">
        <f>'中国汇率&amp;期货（change）'!Z67/'中国汇率&amp;期货（vol）'!Z67</f>
      </c>
      <c r="AA67" s="4">
        <f>'中国汇率&amp;期货（change）'!AA67/'中国汇率&amp;期货（vol）'!AA67</f>
      </c>
      <c r="AB67" s="4">
        <f>'中国汇率&amp;期货（change）'!AB67/'中国汇率&amp;期货（vol）'!AB67</f>
      </c>
      <c r="AC67" s="4">
        <f>'中国汇率&amp;期货（change）'!AC67/'中国汇率&amp;期货（vol）'!AC67</f>
      </c>
      <c r="AD67" s="4">
        <f>'中国汇率&amp;期货（change）'!AD67/'中国汇率&amp;期货（vol）'!AD67</f>
      </c>
      <c r="AE67" s="4">
        <f>'中国汇率&amp;期货（change）'!AE67/'中国汇率&amp;期货（vol）'!AE67</f>
      </c>
      <c r="AF67" s="4">
        <f>'中国汇率&amp;期货（change）'!AF67/'中国汇率&amp;期货（vol）'!AF67</f>
      </c>
      <c r="AG67" s="4">
        <f>'中国汇率&amp;期货（change）'!AG67/'中国汇率&amp;期货（vol）'!AG67</f>
      </c>
      <c r="AH67" s="4">
        <f>'中国汇率&amp;期货（change）'!AH67/'中国汇率&amp;期货（vol）'!AH67</f>
      </c>
      <c r="AI67" s="4">
        <f>'中国汇率&amp;期货（change）'!AI67/'中国汇率&amp;期货（vol）'!AI67</f>
      </c>
      <c r="AJ67" s="4">
        <f>'中国汇率&amp;期货（change）'!AJ67/'中国汇率&amp;期货（vol）'!AJ67</f>
      </c>
      <c r="AK67" s="4">
        <f>'中国汇率&amp;期货（change）'!AK67/'中国汇率&amp;期货（vol）'!AK67</f>
      </c>
      <c r="AL67" s="4">
        <f>'中国汇率&amp;期货（change）'!AL67/'中国汇率&amp;期货（vol）'!AL67</f>
      </c>
      <c r="AM67" s="4">
        <f>'中国汇率&amp;期货（change）'!AM67/'中国汇率&amp;期货（vol）'!AM67</f>
      </c>
      <c r="AN67" s="4">
        <f>'中国汇率&amp;期货（change）'!AN67/'中国汇率&amp;期货（vol）'!AN67</f>
      </c>
      <c r="AO67" s="4">
        <f>'中国汇率&amp;期货（change）'!AO67/'中国汇率&amp;期货（vol）'!AO67</f>
      </c>
      <c r="AP67" s="4">
        <f>'中国汇率&amp;期货（change）'!AP67/'中国汇率&amp;期货（vol）'!AP67</f>
      </c>
      <c r="AQ67" s="4">
        <f>'中国汇率&amp;期货（change）'!AQ67/'中国汇率&amp;期货（vol）'!AQ67</f>
      </c>
      <c r="AR67" s="4">
        <f>'中国汇率&amp;期货（change）'!AR67/'中国汇率&amp;期货（vol）'!AR67</f>
      </c>
      <c r="AS67" s="4">
        <f>'中国汇率&amp;期货（change）'!AS67/'中国汇率&amp;期货（vol）'!AS67</f>
      </c>
      <c r="AT67" s="4">
        <f>'中国汇率&amp;期货（change）'!AT67/'中国汇率&amp;期货（vol）'!AT67</f>
      </c>
      <c r="AU67" s="4">
        <f>'中国汇率&amp;期货（change）'!AU67/'中国汇率&amp;期货（vol）'!AU67</f>
      </c>
      <c r="AV67" s="4">
        <f>'中国汇率&amp;期货（change）'!AV67/'中国汇率&amp;期货（vol）'!AV67</f>
      </c>
      <c r="AW67" s="4">
        <f>'中国汇率&amp;期货（change）'!AW67/'中国汇率&amp;期货（vol）'!AW67</f>
      </c>
      <c r="AX67" s="4">
        <f>'中国汇率&amp;期货（change）'!AX67/'中国汇率&amp;期货（vol）'!AX67</f>
      </c>
      <c r="AY67" s="4">
        <f>'中国汇率&amp;期货（change）'!AY67/'中国汇率&amp;期货（vol）'!AY67</f>
      </c>
      <c r="AZ67" s="4">
        <f>'中国汇率&amp;期货（change）'!AZ67/'中国汇率&amp;期货（vol）'!AZ67</f>
      </c>
      <c r="BA67" s="4">
        <f>'中国汇率&amp;期货（change）'!BA67/'中国汇率&amp;期货（vol）'!BA67</f>
      </c>
      <c r="BB67" s="4">
        <f>'中国汇率&amp;期货（change）'!BB67/'中国汇率&amp;期货（vol）'!BB67</f>
      </c>
      <c r="BC67" s="4">
        <f>'中国汇率&amp;期货（change）'!BC67/'中国汇率&amp;期货（vol）'!BC67</f>
      </c>
      <c r="BD67" s="4">
        <f>'中国汇率&amp;期货（change）'!BD67/'中国汇率&amp;期货（vol）'!BD67</f>
      </c>
      <c r="BE67" s="4">
        <f>'中国汇率&amp;期货（change）'!BE67/'中国汇率&amp;期货（vol）'!BE67</f>
      </c>
    </row>
    <row x14ac:dyDescent="0.25" r="68" customHeight="1" ht="18.75">
      <c r="A68" s="1"/>
      <c r="B68" s="4">
        <f>'中国汇率&amp;期货（change）'!B68/'中国汇率&amp;期货（vol）'!B68</f>
      </c>
      <c r="C68" s="4">
        <f>'中国汇率&amp;期货（change）'!C68/'中国汇率&amp;期货（vol）'!C68</f>
      </c>
      <c r="D68" s="4">
        <f>'中国汇率&amp;期货（change）'!D68/'中国汇率&amp;期货（vol）'!D68</f>
      </c>
      <c r="E68" s="4">
        <f>'中国汇率&amp;期货（change）'!E68/'中国汇率&amp;期货（vol）'!E68</f>
      </c>
      <c r="F68" s="4">
        <f>'中国汇率&amp;期货（change）'!F68/'中国汇率&amp;期货（vol）'!F68</f>
      </c>
      <c r="G68" s="4">
        <f>'中国汇率&amp;期货（change）'!G68/'中国汇率&amp;期货（vol）'!G68</f>
      </c>
      <c r="H68" s="4">
        <f>'中国汇率&amp;期货（change）'!H68/'中国汇率&amp;期货（vol）'!H68</f>
      </c>
      <c r="I68" s="4">
        <f>'中国汇率&amp;期货（change）'!I68/'中国汇率&amp;期货（vol）'!I68</f>
      </c>
      <c r="J68" s="4">
        <f>'中国汇率&amp;期货（change）'!J68/'中国汇率&amp;期货（vol）'!J68</f>
      </c>
      <c r="K68" s="4">
        <f>'中国汇率&amp;期货（change）'!K68/'中国汇率&amp;期货（vol）'!K68</f>
      </c>
      <c r="L68" s="4">
        <f>'中国汇率&amp;期货（change）'!L68/'中国汇率&amp;期货（vol）'!L68</f>
      </c>
      <c r="M68" s="4">
        <f>'中国汇率&amp;期货（change）'!M68/'中国汇率&amp;期货（vol）'!M68</f>
      </c>
      <c r="N68" s="4">
        <f>'中国汇率&amp;期货（change）'!N68/'中国汇率&amp;期货（vol）'!N68</f>
      </c>
      <c r="O68" s="4">
        <f>'中国汇率&amp;期货（change）'!O68/'中国汇率&amp;期货（vol）'!O68</f>
      </c>
      <c r="P68" s="4">
        <f>'中国汇率&amp;期货（change）'!P68/'中国汇率&amp;期货（vol）'!P68</f>
      </c>
      <c r="Q68" s="4">
        <f>'中国汇率&amp;期货（change）'!Q68/'中国汇率&amp;期货（vol）'!Q68</f>
      </c>
      <c r="R68" s="4">
        <f>'中国汇率&amp;期货（change）'!R68/'中国汇率&amp;期货（vol）'!R68</f>
      </c>
      <c r="S68" s="4">
        <f>'中国汇率&amp;期货（change）'!S68/'中国汇率&amp;期货（vol）'!S68</f>
      </c>
      <c r="T68" s="4">
        <f>'中国汇率&amp;期货（change）'!T68/'中国汇率&amp;期货（vol）'!T68</f>
      </c>
      <c r="U68" s="4">
        <f>'中国汇率&amp;期货（change）'!U68/'中国汇率&amp;期货（vol）'!U68</f>
      </c>
      <c r="V68" s="4">
        <f>'中国汇率&amp;期货（change）'!V68/'中国汇率&amp;期货（vol）'!V68</f>
      </c>
      <c r="W68" s="4">
        <f>'中国汇率&amp;期货（change）'!W68/'中国汇率&amp;期货（vol）'!W68</f>
      </c>
      <c r="X68" s="4">
        <f>'中国汇率&amp;期货（change）'!X68/'中国汇率&amp;期货（vol）'!X68</f>
      </c>
      <c r="Y68" s="4">
        <f>'中国汇率&amp;期货（change）'!Y68/'中国汇率&amp;期货（vol）'!Y68</f>
      </c>
      <c r="Z68" s="4">
        <f>'中国汇率&amp;期货（change）'!Z68/'中国汇率&amp;期货（vol）'!Z68</f>
      </c>
      <c r="AA68" s="4">
        <f>'中国汇率&amp;期货（change）'!AA68/'中国汇率&amp;期货（vol）'!AA68</f>
      </c>
      <c r="AB68" s="4">
        <f>'中国汇率&amp;期货（change）'!AB68/'中国汇率&amp;期货（vol）'!AB68</f>
      </c>
      <c r="AC68" s="4">
        <f>'中国汇率&amp;期货（change）'!AC68/'中国汇率&amp;期货（vol）'!AC68</f>
      </c>
      <c r="AD68" s="4">
        <f>'中国汇率&amp;期货（change）'!AD68/'中国汇率&amp;期货（vol）'!AD68</f>
      </c>
      <c r="AE68" s="4">
        <f>'中国汇率&amp;期货（change）'!AE68/'中国汇率&amp;期货（vol）'!AE68</f>
      </c>
      <c r="AF68" s="4">
        <f>'中国汇率&amp;期货（change）'!AF68/'中国汇率&amp;期货（vol）'!AF68</f>
      </c>
      <c r="AG68" s="4">
        <f>'中国汇率&amp;期货（change）'!AG68/'中国汇率&amp;期货（vol）'!AG68</f>
      </c>
      <c r="AH68" s="4">
        <f>'中国汇率&amp;期货（change）'!AH68/'中国汇率&amp;期货（vol）'!AH68</f>
      </c>
      <c r="AI68" s="4">
        <f>'中国汇率&amp;期货（change）'!AI68/'中国汇率&amp;期货（vol）'!AI68</f>
      </c>
      <c r="AJ68" s="4">
        <f>'中国汇率&amp;期货（change）'!AJ68/'中国汇率&amp;期货（vol）'!AJ68</f>
      </c>
      <c r="AK68" s="4">
        <f>'中国汇率&amp;期货（change）'!AK68/'中国汇率&amp;期货（vol）'!AK68</f>
      </c>
      <c r="AL68" s="4">
        <f>'中国汇率&amp;期货（change）'!AL68/'中国汇率&amp;期货（vol）'!AL68</f>
      </c>
      <c r="AM68" s="4">
        <f>'中国汇率&amp;期货（change）'!AM68/'中国汇率&amp;期货（vol）'!AM68</f>
      </c>
      <c r="AN68" s="4">
        <f>'中国汇率&amp;期货（change）'!AN68/'中国汇率&amp;期货（vol）'!AN68</f>
      </c>
      <c r="AO68" s="4">
        <f>'中国汇率&amp;期货（change）'!AO68/'中国汇率&amp;期货（vol）'!AO68</f>
      </c>
      <c r="AP68" s="4">
        <f>'中国汇率&amp;期货（change）'!AP68/'中国汇率&amp;期货（vol）'!AP68</f>
      </c>
      <c r="AQ68" s="4">
        <f>'中国汇率&amp;期货（change）'!AQ68/'中国汇率&amp;期货（vol）'!AQ68</f>
      </c>
      <c r="AR68" s="4">
        <f>'中国汇率&amp;期货（change）'!AR68/'中国汇率&amp;期货（vol）'!AR68</f>
      </c>
      <c r="AS68" s="4">
        <f>'中国汇率&amp;期货（change）'!AS68/'中国汇率&amp;期货（vol）'!AS68</f>
      </c>
      <c r="AT68" s="4">
        <f>'中国汇率&amp;期货（change）'!AT68/'中国汇率&amp;期货（vol）'!AT68</f>
      </c>
      <c r="AU68" s="4">
        <f>'中国汇率&amp;期货（change）'!AU68/'中国汇率&amp;期货（vol）'!AU68</f>
      </c>
      <c r="AV68" s="4">
        <f>'中国汇率&amp;期货（change）'!AV68/'中国汇率&amp;期货（vol）'!AV68</f>
      </c>
      <c r="AW68" s="4">
        <f>'中国汇率&amp;期货（change）'!AW68/'中国汇率&amp;期货（vol）'!AW68</f>
      </c>
      <c r="AX68" s="4">
        <f>'中国汇率&amp;期货（change）'!AX68/'中国汇率&amp;期货（vol）'!AX68</f>
      </c>
      <c r="AY68" s="4">
        <f>'中国汇率&amp;期货（change）'!AY68/'中国汇率&amp;期货（vol）'!AY68</f>
      </c>
      <c r="AZ68" s="4">
        <f>'中国汇率&amp;期货（change）'!AZ68/'中国汇率&amp;期货（vol）'!AZ68</f>
      </c>
      <c r="BA68" s="4">
        <f>'中国汇率&amp;期货（change）'!BA68/'中国汇率&amp;期货（vol）'!BA68</f>
      </c>
      <c r="BB68" s="4">
        <f>'中国汇率&amp;期货（change）'!BB68/'中国汇率&amp;期货（vol）'!BB68</f>
      </c>
      <c r="BC68" s="4">
        <f>'中国汇率&amp;期货（change）'!BC68/'中国汇率&amp;期货（vol）'!BC68</f>
      </c>
      <c r="BD68" s="4">
        <f>'中国汇率&amp;期货（change）'!BD68/'中国汇率&amp;期货（vol）'!BD68</f>
      </c>
      <c r="BE68" s="4">
        <f>'中国汇率&amp;期货（change）'!BE68/'中国汇率&amp;期货（vol）'!BE68</f>
      </c>
    </row>
    <row x14ac:dyDescent="0.25" r="69" customHeight="1" ht="18.75">
      <c r="A69" s="1"/>
      <c r="B69" s="4">
        <f>'中国汇率&amp;期货（change）'!B69/'中国汇率&amp;期货（vol）'!B69</f>
      </c>
      <c r="C69" s="4">
        <f>'中国汇率&amp;期货（change）'!C69/'中国汇率&amp;期货（vol）'!C69</f>
      </c>
      <c r="D69" s="4">
        <f>'中国汇率&amp;期货（change）'!D69/'中国汇率&amp;期货（vol）'!D69</f>
      </c>
      <c r="E69" s="4">
        <f>'中国汇率&amp;期货（change）'!E69/'中国汇率&amp;期货（vol）'!E69</f>
      </c>
      <c r="F69" s="4">
        <f>'中国汇率&amp;期货（change）'!F69/'中国汇率&amp;期货（vol）'!F69</f>
      </c>
      <c r="G69" s="4">
        <f>'中国汇率&amp;期货（change）'!G69/'中国汇率&amp;期货（vol）'!G69</f>
      </c>
      <c r="H69" s="4">
        <f>'中国汇率&amp;期货（change）'!H69/'中国汇率&amp;期货（vol）'!H69</f>
      </c>
      <c r="I69" s="4">
        <f>'中国汇率&amp;期货（change）'!I69/'中国汇率&amp;期货（vol）'!I69</f>
      </c>
      <c r="J69" s="4">
        <f>'中国汇率&amp;期货（change）'!J69/'中国汇率&amp;期货（vol）'!J69</f>
      </c>
      <c r="K69" s="4">
        <f>'中国汇率&amp;期货（change）'!K69/'中国汇率&amp;期货（vol）'!K69</f>
      </c>
      <c r="L69" s="4">
        <f>'中国汇率&amp;期货（change）'!L69/'中国汇率&amp;期货（vol）'!L69</f>
      </c>
      <c r="M69" s="4">
        <f>'中国汇率&amp;期货（change）'!M69/'中国汇率&amp;期货（vol）'!M69</f>
      </c>
      <c r="N69" s="4">
        <f>'中国汇率&amp;期货（change）'!N69/'中国汇率&amp;期货（vol）'!N69</f>
      </c>
      <c r="O69" s="4">
        <f>'中国汇率&amp;期货（change）'!O69/'中国汇率&amp;期货（vol）'!O69</f>
      </c>
      <c r="P69" s="4">
        <f>'中国汇率&amp;期货（change）'!P69/'中国汇率&amp;期货（vol）'!P69</f>
      </c>
      <c r="Q69" s="4">
        <f>'中国汇率&amp;期货（change）'!Q69/'中国汇率&amp;期货（vol）'!Q69</f>
      </c>
      <c r="R69" s="4">
        <f>'中国汇率&amp;期货（change）'!R69/'中国汇率&amp;期货（vol）'!R69</f>
      </c>
      <c r="S69" s="4">
        <f>'中国汇率&amp;期货（change）'!S69/'中国汇率&amp;期货（vol）'!S69</f>
      </c>
      <c r="T69" s="4">
        <f>'中国汇率&amp;期货（change）'!T69/'中国汇率&amp;期货（vol）'!T69</f>
      </c>
      <c r="U69" s="4">
        <f>'中国汇率&amp;期货（change）'!U69/'中国汇率&amp;期货（vol）'!U69</f>
      </c>
      <c r="V69" s="4">
        <f>'中国汇率&amp;期货（change）'!V69/'中国汇率&amp;期货（vol）'!V69</f>
      </c>
      <c r="W69" s="4">
        <f>'中国汇率&amp;期货（change）'!W69/'中国汇率&amp;期货（vol）'!W69</f>
      </c>
      <c r="X69" s="4">
        <f>'中国汇率&amp;期货（change）'!X69/'中国汇率&amp;期货（vol）'!X69</f>
      </c>
      <c r="Y69" s="4">
        <f>'中国汇率&amp;期货（change）'!Y69/'中国汇率&amp;期货（vol）'!Y69</f>
      </c>
      <c r="Z69" s="4">
        <f>'中国汇率&amp;期货（change）'!Z69/'中国汇率&amp;期货（vol）'!Z69</f>
      </c>
      <c r="AA69" s="4">
        <f>'中国汇率&amp;期货（change）'!AA69/'中国汇率&amp;期货（vol）'!AA69</f>
      </c>
      <c r="AB69" s="4">
        <f>'中国汇率&amp;期货（change）'!AB69/'中国汇率&amp;期货（vol）'!AB69</f>
      </c>
      <c r="AC69" s="4">
        <f>'中国汇率&amp;期货（change）'!AC69/'中国汇率&amp;期货（vol）'!AC69</f>
      </c>
      <c r="AD69" s="4">
        <f>'中国汇率&amp;期货（change）'!AD69/'中国汇率&amp;期货（vol）'!AD69</f>
      </c>
      <c r="AE69" s="4">
        <f>'中国汇率&amp;期货（change）'!AE69/'中国汇率&amp;期货（vol）'!AE69</f>
      </c>
      <c r="AF69" s="4">
        <f>'中国汇率&amp;期货（change）'!AF69/'中国汇率&amp;期货（vol）'!AF69</f>
      </c>
      <c r="AG69" s="4">
        <f>'中国汇率&amp;期货（change）'!AG69/'中国汇率&amp;期货（vol）'!AG69</f>
      </c>
      <c r="AH69" s="4">
        <f>'中国汇率&amp;期货（change）'!AH69/'中国汇率&amp;期货（vol）'!AH69</f>
      </c>
      <c r="AI69" s="4">
        <f>'中国汇率&amp;期货（change）'!AI69/'中国汇率&amp;期货（vol）'!AI69</f>
      </c>
      <c r="AJ69" s="4">
        <f>'中国汇率&amp;期货（change）'!AJ69/'中国汇率&amp;期货（vol）'!AJ69</f>
      </c>
      <c r="AK69" s="4">
        <f>'中国汇率&amp;期货（change）'!AK69/'中国汇率&amp;期货（vol）'!AK69</f>
      </c>
      <c r="AL69" s="4">
        <f>'中国汇率&amp;期货（change）'!AL69/'中国汇率&amp;期货（vol）'!AL69</f>
      </c>
      <c r="AM69" s="4">
        <f>'中国汇率&amp;期货（change）'!AM69/'中国汇率&amp;期货（vol）'!AM69</f>
      </c>
      <c r="AN69" s="4">
        <f>'中国汇率&amp;期货（change）'!AN69/'中国汇率&amp;期货（vol）'!AN69</f>
      </c>
      <c r="AO69" s="4">
        <f>'中国汇率&amp;期货（change）'!AO69/'中国汇率&amp;期货（vol）'!AO69</f>
      </c>
      <c r="AP69" s="4">
        <f>'中国汇率&amp;期货（change）'!AP69/'中国汇率&amp;期货（vol）'!AP69</f>
      </c>
      <c r="AQ69" s="4">
        <f>'中国汇率&amp;期货（change）'!AQ69/'中国汇率&amp;期货（vol）'!AQ69</f>
      </c>
      <c r="AR69" s="4">
        <f>'中国汇率&amp;期货（change）'!AR69/'中国汇率&amp;期货（vol）'!AR69</f>
      </c>
      <c r="AS69" s="4">
        <f>'中国汇率&amp;期货（change）'!AS69/'中国汇率&amp;期货（vol）'!AS69</f>
      </c>
      <c r="AT69" s="4">
        <f>'中国汇率&amp;期货（change）'!AT69/'中国汇率&amp;期货（vol）'!AT69</f>
      </c>
      <c r="AU69" s="4">
        <f>'中国汇率&amp;期货（change）'!AU69/'中国汇率&amp;期货（vol）'!AU69</f>
      </c>
      <c r="AV69" s="4">
        <f>'中国汇率&amp;期货（change）'!AV69/'中国汇率&amp;期货（vol）'!AV69</f>
      </c>
      <c r="AW69" s="4">
        <f>'中国汇率&amp;期货（change）'!AW69/'中国汇率&amp;期货（vol）'!AW69</f>
      </c>
      <c r="AX69" s="4">
        <f>'中国汇率&amp;期货（change）'!AX69/'中国汇率&amp;期货（vol）'!AX69</f>
      </c>
      <c r="AY69" s="4">
        <f>'中国汇率&amp;期货（change）'!AY69/'中国汇率&amp;期货（vol）'!AY69</f>
      </c>
      <c r="AZ69" s="4">
        <f>'中国汇率&amp;期货（change）'!AZ69/'中国汇率&amp;期货（vol）'!AZ69</f>
      </c>
      <c r="BA69" s="4">
        <f>'中国汇率&amp;期货（change）'!BA69/'中国汇率&amp;期货（vol）'!BA69</f>
      </c>
      <c r="BB69" s="4">
        <f>'中国汇率&amp;期货（change）'!BB69/'中国汇率&amp;期货（vol）'!BB69</f>
      </c>
      <c r="BC69" s="4">
        <f>'中国汇率&amp;期货（change）'!BC69/'中国汇率&amp;期货（vol）'!BC69</f>
      </c>
      <c r="BD69" s="4">
        <f>'中国汇率&amp;期货（change）'!BD69/'中国汇率&amp;期货（vol）'!BD69</f>
      </c>
      <c r="BE69" s="4">
        <f>'中国汇率&amp;期货（change）'!BE69/'中国汇率&amp;期货（vol）'!BE69</f>
      </c>
    </row>
    <row x14ac:dyDescent="0.25" r="70" customHeight="1" ht="18.75">
      <c r="A70" s="1"/>
      <c r="B70" s="4">
        <f>'中国汇率&amp;期货（change）'!B70/'中国汇率&amp;期货（vol）'!B70</f>
      </c>
      <c r="C70" s="4">
        <f>'中国汇率&amp;期货（change）'!C70/'中国汇率&amp;期货（vol）'!C70</f>
      </c>
      <c r="D70" s="4">
        <f>'中国汇率&amp;期货（change）'!D70/'中国汇率&amp;期货（vol）'!D70</f>
      </c>
      <c r="E70" s="4">
        <f>'中国汇率&amp;期货（change）'!E70/'中国汇率&amp;期货（vol）'!E70</f>
      </c>
      <c r="F70" s="4">
        <f>'中国汇率&amp;期货（change）'!F70/'中国汇率&amp;期货（vol）'!F70</f>
      </c>
      <c r="G70" s="4">
        <f>'中国汇率&amp;期货（change）'!G70/'中国汇率&amp;期货（vol）'!G70</f>
      </c>
      <c r="H70" s="4">
        <f>'中国汇率&amp;期货（change）'!H70/'中国汇率&amp;期货（vol）'!H70</f>
      </c>
      <c r="I70" s="4">
        <f>'中国汇率&amp;期货（change）'!I70/'中国汇率&amp;期货（vol）'!I70</f>
      </c>
      <c r="J70" s="4">
        <f>'中国汇率&amp;期货（change）'!J70/'中国汇率&amp;期货（vol）'!J70</f>
      </c>
      <c r="K70" s="4">
        <f>'中国汇率&amp;期货（change）'!K70/'中国汇率&amp;期货（vol）'!K70</f>
      </c>
      <c r="L70" s="4">
        <f>'中国汇率&amp;期货（change）'!L70/'中国汇率&amp;期货（vol）'!L70</f>
      </c>
      <c r="M70" s="4">
        <f>'中国汇率&amp;期货（change）'!M70/'中国汇率&amp;期货（vol）'!M70</f>
      </c>
      <c r="N70" s="4">
        <f>'中国汇率&amp;期货（change）'!N70/'中国汇率&amp;期货（vol）'!N70</f>
      </c>
      <c r="O70" s="4">
        <f>'中国汇率&amp;期货（change）'!O70/'中国汇率&amp;期货（vol）'!O70</f>
      </c>
      <c r="P70" s="4">
        <f>'中国汇率&amp;期货（change）'!P70/'中国汇率&amp;期货（vol）'!P70</f>
      </c>
      <c r="Q70" s="4">
        <f>'中国汇率&amp;期货（change）'!Q70/'中国汇率&amp;期货（vol）'!Q70</f>
      </c>
      <c r="R70" s="4">
        <f>'中国汇率&amp;期货（change）'!R70/'中国汇率&amp;期货（vol）'!R70</f>
      </c>
      <c r="S70" s="4">
        <f>'中国汇率&amp;期货（change）'!S70/'中国汇率&amp;期货（vol）'!S70</f>
      </c>
      <c r="T70" s="4">
        <f>'中国汇率&amp;期货（change）'!T70/'中国汇率&amp;期货（vol）'!T70</f>
      </c>
      <c r="U70" s="4">
        <f>'中国汇率&amp;期货（change）'!U70/'中国汇率&amp;期货（vol）'!U70</f>
      </c>
      <c r="V70" s="4">
        <f>'中国汇率&amp;期货（change）'!V70/'中国汇率&amp;期货（vol）'!V70</f>
      </c>
      <c r="W70" s="4">
        <f>'中国汇率&amp;期货（change）'!W70/'中国汇率&amp;期货（vol）'!W70</f>
      </c>
      <c r="X70" s="4">
        <f>'中国汇率&amp;期货（change）'!X70/'中国汇率&amp;期货（vol）'!X70</f>
      </c>
      <c r="Y70" s="4">
        <f>'中国汇率&amp;期货（change）'!Y70/'中国汇率&amp;期货（vol）'!Y70</f>
      </c>
      <c r="Z70" s="4">
        <f>'中国汇率&amp;期货（change）'!Z70/'中国汇率&amp;期货（vol）'!Z70</f>
      </c>
      <c r="AA70" s="4">
        <f>'中国汇率&amp;期货（change）'!AA70/'中国汇率&amp;期货（vol）'!AA70</f>
      </c>
      <c r="AB70" s="4">
        <f>'中国汇率&amp;期货（change）'!AB70/'中国汇率&amp;期货（vol）'!AB70</f>
      </c>
      <c r="AC70" s="4">
        <f>'中国汇率&amp;期货（change）'!AC70/'中国汇率&amp;期货（vol）'!AC70</f>
      </c>
      <c r="AD70" s="4">
        <f>'中国汇率&amp;期货（change）'!AD70/'中国汇率&amp;期货（vol）'!AD70</f>
      </c>
      <c r="AE70" s="4">
        <f>'中国汇率&amp;期货（change）'!AE70/'中国汇率&amp;期货（vol）'!AE70</f>
      </c>
      <c r="AF70" s="4">
        <f>'中国汇率&amp;期货（change）'!AF70/'中国汇率&amp;期货（vol）'!AF70</f>
      </c>
      <c r="AG70" s="4">
        <f>'中国汇率&amp;期货（change）'!AG70/'中国汇率&amp;期货（vol）'!AG70</f>
      </c>
      <c r="AH70" s="4">
        <f>'中国汇率&amp;期货（change）'!AH70/'中国汇率&amp;期货（vol）'!AH70</f>
      </c>
      <c r="AI70" s="4">
        <f>'中国汇率&amp;期货（change）'!AI70/'中国汇率&amp;期货（vol）'!AI70</f>
      </c>
      <c r="AJ70" s="4">
        <f>'中国汇率&amp;期货（change）'!AJ70/'中国汇率&amp;期货（vol）'!AJ70</f>
      </c>
      <c r="AK70" s="4">
        <f>'中国汇率&amp;期货（change）'!AK70/'中国汇率&amp;期货（vol）'!AK70</f>
      </c>
      <c r="AL70" s="4">
        <f>'中国汇率&amp;期货（change）'!AL70/'中国汇率&amp;期货（vol）'!AL70</f>
      </c>
      <c r="AM70" s="4">
        <f>'中国汇率&amp;期货（change）'!AM70/'中国汇率&amp;期货（vol）'!AM70</f>
      </c>
      <c r="AN70" s="4">
        <f>'中国汇率&amp;期货（change）'!AN70/'中国汇率&amp;期货（vol）'!AN70</f>
      </c>
      <c r="AO70" s="4">
        <f>'中国汇率&amp;期货（change）'!AO70/'中国汇率&amp;期货（vol）'!AO70</f>
      </c>
      <c r="AP70" s="4">
        <f>'中国汇率&amp;期货（change）'!AP70/'中国汇率&amp;期货（vol）'!AP70</f>
      </c>
      <c r="AQ70" s="4">
        <f>'中国汇率&amp;期货（change）'!AQ70/'中国汇率&amp;期货（vol）'!AQ70</f>
      </c>
      <c r="AR70" s="4">
        <f>'中国汇率&amp;期货（change）'!AR70/'中国汇率&amp;期货（vol）'!AR70</f>
      </c>
      <c r="AS70" s="4">
        <f>'中国汇率&amp;期货（change）'!AS70/'中国汇率&amp;期货（vol）'!AS70</f>
      </c>
      <c r="AT70" s="4">
        <f>'中国汇率&amp;期货（change）'!AT70/'中国汇率&amp;期货（vol）'!AT70</f>
      </c>
      <c r="AU70" s="4">
        <f>'中国汇率&amp;期货（change）'!AU70/'中国汇率&amp;期货（vol）'!AU70</f>
      </c>
      <c r="AV70" s="4">
        <f>'中国汇率&amp;期货（change）'!AV70/'中国汇率&amp;期货（vol）'!AV70</f>
      </c>
      <c r="AW70" s="4">
        <f>'中国汇率&amp;期货（change）'!AW70/'中国汇率&amp;期货（vol）'!AW70</f>
      </c>
      <c r="AX70" s="4">
        <f>'中国汇率&amp;期货（change）'!AX70/'中国汇率&amp;期货（vol）'!AX70</f>
      </c>
      <c r="AY70" s="4">
        <f>'中国汇率&amp;期货（change）'!AY70/'中国汇率&amp;期货（vol）'!AY70</f>
      </c>
      <c r="AZ70" s="4">
        <f>'中国汇率&amp;期货（change）'!AZ70/'中国汇率&amp;期货（vol）'!AZ70</f>
      </c>
      <c r="BA70" s="4">
        <f>'中国汇率&amp;期货（change）'!BA70/'中国汇率&amp;期货（vol）'!BA70</f>
      </c>
      <c r="BB70" s="4">
        <f>'中国汇率&amp;期货（change）'!BB70/'中国汇率&amp;期货（vol）'!BB70</f>
      </c>
      <c r="BC70" s="4">
        <f>'中国汇率&amp;期货（change）'!BC70/'中国汇率&amp;期货（vol）'!BC70</f>
      </c>
      <c r="BD70" s="4">
        <f>'中国汇率&amp;期货（change）'!BD70/'中国汇率&amp;期货（vol）'!BD70</f>
      </c>
      <c r="BE70" s="4">
        <f>'中国汇率&amp;期货（change）'!BE70/'中国汇率&amp;期货（vol）'!BE70</f>
      </c>
    </row>
    <row x14ac:dyDescent="0.25" r="71" customHeight="1" ht="18.75">
      <c r="A71" s="1"/>
      <c r="B71" s="4">
        <f>'中国汇率&amp;期货（change）'!B71/'中国汇率&amp;期货（vol）'!B71</f>
      </c>
      <c r="C71" s="4">
        <f>'中国汇率&amp;期货（change）'!C71/'中国汇率&amp;期货（vol）'!C71</f>
      </c>
      <c r="D71" s="4">
        <f>'中国汇率&amp;期货（change）'!D71/'中国汇率&amp;期货（vol）'!D71</f>
      </c>
      <c r="E71" s="4">
        <f>'中国汇率&amp;期货（change）'!E71/'中国汇率&amp;期货（vol）'!E71</f>
      </c>
      <c r="F71" s="4">
        <f>'中国汇率&amp;期货（change）'!F71/'中国汇率&amp;期货（vol）'!F71</f>
      </c>
      <c r="G71" s="4">
        <f>'中国汇率&amp;期货（change）'!G71/'中国汇率&amp;期货（vol）'!G71</f>
      </c>
      <c r="H71" s="4">
        <f>'中国汇率&amp;期货（change）'!H71/'中国汇率&amp;期货（vol）'!H71</f>
      </c>
      <c r="I71" s="4">
        <f>'中国汇率&amp;期货（change）'!I71/'中国汇率&amp;期货（vol）'!I71</f>
      </c>
      <c r="J71" s="4">
        <f>'中国汇率&amp;期货（change）'!J71/'中国汇率&amp;期货（vol）'!J71</f>
      </c>
      <c r="K71" s="4">
        <f>'中国汇率&amp;期货（change）'!K71/'中国汇率&amp;期货（vol）'!K71</f>
      </c>
      <c r="L71" s="4">
        <f>'中国汇率&amp;期货（change）'!L71/'中国汇率&amp;期货（vol）'!L71</f>
      </c>
      <c r="M71" s="4">
        <f>'中国汇率&amp;期货（change）'!M71/'中国汇率&amp;期货（vol）'!M71</f>
      </c>
      <c r="N71" s="4">
        <f>'中国汇率&amp;期货（change）'!N71/'中国汇率&amp;期货（vol）'!N71</f>
      </c>
      <c r="O71" s="4">
        <f>'中国汇率&amp;期货（change）'!O71/'中国汇率&amp;期货（vol）'!O71</f>
      </c>
      <c r="P71" s="4">
        <f>'中国汇率&amp;期货（change）'!P71/'中国汇率&amp;期货（vol）'!P71</f>
      </c>
      <c r="Q71" s="4">
        <f>'中国汇率&amp;期货（change）'!Q71/'中国汇率&amp;期货（vol）'!Q71</f>
      </c>
      <c r="R71" s="4">
        <f>'中国汇率&amp;期货（change）'!R71/'中国汇率&amp;期货（vol）'!R71</f>
      </c>
      <c r="S71" s="4">
        <f>'中国汇率&amp;期货（change）'!S71/'中国汇率&amp;期货（vol）'!S71</f>
      </c>
      <c r="T71" s="4">
        <f>'中国汇率&amp;期货（change）'!T71/'中国汇率&amp;期货（vol）'!T71</f>
      </c>
      <c r="U71" s="4">
        <f>'中国汇率&amp;期货（change）'!U71/'中国汇率&amp;期货（vol）'!U71</f>
      </c>
      <c r="V71" s="4">
        <f>'中国汇率&amp;期货（change）'!V71/'中国汇率&amp;期货（vol）'!V71</f>
      </c>
      <c r="W71" s="4">
        <f>'中国汇率&amp;期货（change）'!W71/'中国汇率&amp;期货（vol）'!W71</f>
      </c>
      <c r="X71" s="4">
        <f>'中国汇率&amp;期货（change）'!X71/'中国汇率&amp;期货（vol）'!X71</f>
      </c>
      <c r="Y71" s="4">
        <f>'中国汇率&amp;期货（change）'!Y71/'中国汇率&amp;期货（vol）'!Y71</f>
      </c>
      <c r="Z71" s="4">
        <f>'中国汇率&amp;期货（change）'!Z71/'中国汇率&amp;期货（vol）'!Z71</f>
      </c>
      <c r="AA71" s="4">
        <f>'中国汇率&amp;期货（change）'!AA71/'中国汇率&amp;期货（vol）'!AA71</f>
      </c>
      <c r="AB71" s="4">
        <f>'中国汇率&amp;期货（change）'!AB71/'中国汇率&amp;期货（vol）'!AB71</f>
      </c>
      <c r="AC71" s="4">
        <f>'中国汇率&amp;期货（change）'!AC71/'中国汇率&amp;期货（vol）'!AC71</f>
      </c>
      <c r="AD71" s="4">
        <f>'中国汇率&amp;期货（change）'!AD71/'中国汇率&amp;期货（vol）'!AD71</f>
      </c>
      <c r="AE71" s="4">
        <f>'中国汇率&amp;期货（change）'!AE71/'中国汇率&amp;期货（vol）'!AE71</f>
      </c>
      <c r="AF71" s="4">
        <f>'中国汇率&amp;期货（change）'!AF71/'中国汇率&amp;期货（vol）'!AF71</f>
      </c>
      <c r="AG71" s="4">
        <f>'中国汇率&amp;期货（change）'!AG71/'中国汇率&amp;期货（vol）'!AG71</f>
      </c>
      <c r="AH71" s="4">
        <f>'中国汇率&amp;期货（change）'!AH71/'中国汇率&amp;期货（vol）'!AH71</f>
      </c>
      <c r="AI71" s="4">
        <f>'中国汇率&amp;期货（change）'!AI71/'中国汇率&amp;期货（vol）'!AI71</f>
      </c>
      <c r="AJ71" s="4">
        <f>'中国汇率&amp;期货（change）'!AJ71/'中国汇率&amp;期货（vol）'!AJ71</f>
      </c>
      <c r="AK71" s="4">
        <f>'中国汇率&amp;期货（change）'!AK71/'中国汇率&amp;期货（vol）'!AK71</f>
      </c>
      <c r="AL71" s="4">
        <f>'中国汇率&amp;期货（change）'!AL71/'中国汇率&amp;期货（vol）'!AL71</f>
      </c>
      <c r="AM71" s="4">
        <f>'中国汇率&amp;期货（change）'!AM71/'中国汇率&amp;期货（vol）'!AM71</f>
      </c>
      <c r="AN71" s="4">
        <f>'中国汇率&amp;期货（change）'!AN71/'中国汇率&amp;期货（vol）'!AN71</f>
      </c>
      <c r="AO71" s="4">
        <f>'中国汇率&amp;期货（change）'!AO71/'中国汇率&amp;期货（vol）'!AO71</f>
      </c>
      <c r="AP71" s="4">
        <f>'中国汇率&amp;期货（change）'!AP71/'中国汇率&amp;期货（vol）'!AP71</f>
      </c>
      <c r="AQ71" s="4">
        <f>'中国汇率&amp;期货（change）'!AQ71/'中国汇率&amp;期货（vol）'!AQ71</f>
      </c>
      <c r="AR71" s="4">
        <f>'中国汇率&amp;期货（change）'!AR71/'中国汇率&amp;期货（vol）'!AR71</f>
      </c>
      <c r="AS71" s="4">
        <f>'中国汇率&amp;期货（change）'!AS71/'中国汇率&amp;期货（vol）'!AS71</f>
      </c>
      <c r="AT71" s="4">
        <f>'中国汇率&amp;期货（change）'!AT71/'中国汇率&amp;期货（vol）'!AT71</f>
      </c>
      <c r="AU71" s="4">
        <f>'中国汇率&amp;期货（change）'!AU71/'中国汇率&amp;期货（vol）'!AU71</f>
      </c>
      <c r="AV71" s="4">
        <f>'中国汇率&amp;期货（change）'!AV71/'中国汇率&amp;期货（vol）'!AV71</f>
      </c>
      <c r="AW71" s="4">
        <f>'中国汇率&amp;期货（change）'!AW71/'中国汇率&amp;期货（vol）'!AW71</f>
      </c>
      <c r="AX71" s="4">
        <f>'中国汇率&amp;期货（change）'!AX71/'中国汇率&amp;期货（vol）'!AX71</f>
      </c>
      <c r="AY71" s="4">
        <f>'中国汇率&amp;期货（change）'!AY71/'中国汇率&amp;期货（vol）'!AY71</f>
      </c>
      <c r="AZ71" s="4">
        <f>'中国汇率&amp;期货（change）'!AZ71/'中国汇率&amp;期货（vol）'!AZ71</f>
      </c>
      <c r="BA71" s="4">
        <f>'中国汇率&amp;期货（change）'!BA71/'中国汇率&amp;期货（vol）'!BA71</f>
      </c>
      <c r="BB71" s="4">
        <f>'中国汇率&amp;期货（change）'!BB71/'中国汇率&amp;期货（vol）'!BB71</f>
      </c>
      <c r="BC71" s="4">
        <f>'中国汇率&amp;期货（change）'!BC71/'中国汇率&amp;期货（vol）'!BC71</f>
      </c>
      <c r="BD71" s="4">
        <f>'中国汇率&amp;期货（change）'!BD71/'中国汇率&amp;期货（vol）'!BD71</f>
      </c>
      <c r="BE71" s="4">
        <f>'中国汇率&amp;期货（change）'!BE71/'中国汇率&amp;期货（vol）'!BE71</f>
      </c>
    </row>
    <row x14ac:dyDescent="0.25" r="72" customHeight="1" ht="18.75">
      <c r="A72" s="1"/>
      <c r="B72" s="4">
        <f>'中国汇率&amp;期货（change）'!B72/'中国汇率&amp;期货（vol）'!B72</f>
      </c>
      <c r="C72" s="4">
        <f>'中国汇率&amp;期货（change）'!C72/'中国汇率&amp;期货（vol）'!C72</f>
      </c>
      <c r="D72" s="4">
        <f>'中国汇率&amp;期货（change）'!D72/'中国汇率&amp;期货（vol）'!D72</f>
      </c>
      <c r="E72" s="4">
        <f>'中国汇率&amp;期货（change）'!E72/'中国汇率&amp;期货（vol）'!E72</f>
      </c>
      <c r="F72" s="4">
        <f>'中国汇率&amp;期货（change）'!F72/'中国汇率&amp;期货（vol）'!F72</f>
      </c>
      <c r="G72" s="4">
        <f>'中国汇率&amp;期货（change）'!G72/'中国汇率&amp;期货（vol）'!G72</f>
      </c>
      <c r="H72" s="4">
        <f>'中国汇率&amp;期货（change）'!H72/'中国汇率&amp;期货（vol）'!H72</f>
      </c>
      <c r="I72" s="4">
        <f>'中国汇率&amp;期货（change）'!I72/'中国汇率&amp;期货（vol）'!I72</f>
      </c>
      <c r="J72" s="4">
        <f>'中国汇率&amp;期货（change）'!J72/'中国汇率&amp;期货（vol）'!J72</f>
      </c>
      <c r="K72" s="4">
        <f>'中国汇率&amp;期货（change）'!K72/'中国汇率&amp;期货（vol）'!K72</f>
      </c>
      <c r="L72" s="4">
        <f>'中国汇率&amp;期货（change）'!L72/'中国汇率&amp;期货（vol）'!L72</f>
      </c>
      <c r="M72" s="4">
        <f>'中国汇率&amp;期货（change）'!M72/'中国汇率&amp;期货（vol）'!M72</f>
      </c>
      <c r="N72" s="4">
        <f>'中国汇率&amp;期货（change）'!N72/'中国汇率&amp;期货（vol）'!N72</f>
      </c>
      <c r="O72" s="4">
        <f>'中国汇率&amp;期货（change）'!O72/'中国汇率&amp;期货（vol）'!O72</f>
      </c>
      <c r="P72" s="4">
        <f>'中国汇率&amp;期货（change）'!P72/'中国汇率&amp;期货（vol）'!P72</f>
      </c>
      <c r="Q72" s="4">
        <f>'中国汇率&amp;期货（change）'!Q72/'中国汇率&amp;期货（vol）'!Q72</f>
      </c>
      <c r="R72" s="4">
        <f>'中国汇率&amp;期货（change）'!R72/'中国汇率&amp;期货（vol）'!R72</f>
      </c>
      <c r="S72" s="4">
        <f>'中国汇率&amp;期货（change）'!S72/'中国汇率&amp;期货（vol）'!S72</f>
      </c>
      <c r="T72" s="4">
        <f>'中国汇率&amp;期货（change）'!T72/'中国汇率&amp;期货（vol）'!T72</f>
      </c>
      <c r="U72" s="4">
        <f>'中国汇率&amp;期货（change）'!U72/'中国汇率&amp;期货（vol）'!U72</f>
      </c>
      <c r="V72" s="4">
        <f>'中国汇率&amp;期货（change）'!V72/'中国汇率&amp;期货（vol）'!V72</f>
      </c>
      <c r="W72" s="4">
        <f>'中国汇率&amp;期货（change）'!W72/'中国汇率&amp;期货（vol）'!W72</f>
      </c>
      <c r="X72" s="4">
        <f>'中国汇率&amp;期货（change）'!X72/'中国汇率&amp;期货（vol）'!X72</f>
      </c>
      <c r="Y72" s="4">
        <f>'中国汇率&amp;期货（change）'!Y72/'中国汇率&amp;期货（vol）'!Y72</f>
      </c>
      <c r="Z72" s="4">
        <f>'中国汇率&amp;期货（change）'!Z72/'中国汇率&amp;期货（vol）'!Z72</f>
      </c>
      <c r="AA72" s="4">
        <f>'中国汇率&amp;期货（change）'!AA72/'中国汇率&amp;期货（vol）'!AA72</f>
      </c>
      <c r="AB72" s="4">
        <f>'中国汇率&amp;期货（change）'!AB72/'中国汇率&amp;期货（vol）'!AB72</f>
      </c>
      <c r="AC72" s="4">
        <f>'中国汇率&amp;期货（change）'!AC72/'中国汇率&amp;期货（vol）'!AC72</f>
      </c>
      <c r="AD72" s="4">
        <f>'中国汇率&amp;期货（change）'!AD72/'中国汇率&amp;期货（vol）'!AD72</f>
      </c>
      <c r="AE72" s="4">
        <f>'中国汇率&amp;期货（change）'!AE72/'中国汇率&amp;期货（vol）'!AE72</f>
      </c>
      <c r="AF72" s="4">
        <f>'中国汇率&amp;期货（change）'!AF72/'中国汇率&amp;期货（vol）'!AF72</f>
      </c>
      <c r="AG72" s="4">
        <f>'中国汇率&amp;期货（change）'!AG72/'中国汇率&amp;期货（vol）'!AG72</f>
      </c>
      <c r="AH72" s="4">
        <f>'中国汇率&amp;期货（change）'!AH72/'中国汇率&amp;期货（vol）'!AH72</f>
      </c>
      <c r="AI72" s="4">
        <f>'中国汇率&amp;期货（change）'!AI72/'中国汇率&amp;期货（vol）'!AI72</f>
      </c>
      <c r="AJ72" s="4">
        <f>'中国汇率&amp;期货（change）'!AJ72/'中国汇率&amp;期货（vol）'!AJ72</f>
      </c>
      <c r="AK72" s="4">
        <f>'中国汇率&amp;期货（change）'!AK72/'中国汇率&amp;期货（vol）'!AK72</f>
      </c>
      <c r="AL72" s="4">
        <f>'中国汇率&amp;期货（change）'!AL72/'中国汇率&amp;期货（vol）'!AL72</f>
      </c>
      <c r="AM72" s="4">
        <f>'中国汇率&amp;期货（change）'!AM72/'中国汇率&amp;期货（vol）'!AM72</f>
      </c>
      <c r="AN72" s="4">
        <f>'中国汇率&amp;期货（change）'!AN72/'中国汇率&amp;期货（vol）'!AN72</f>
      </c>
      <c r="AO72" s="4">
        <f>'中国汇率&amp;期货（change）'!AO72/'中国汇率&amp;期货（vol）'!AO72</f>
      </c>
      <c r="AP72" s="4">
        <f>'中国汇率&amp;期货（change）'!AP72/'中国汇率&amp;期货（vol）'!AP72</f>
      </c>
      <c r="AQ72" s="4">
        <f>'中国汇率&amp;期货（change）'!AQ72/'中国汇率&amp;期货（vol）'!AQ72</f>
      </c>
      <c r="AR72" s="4">
        <f>'中国汇率&amp;期货（change）'!AR72/'中国汇率&amp;期货（vol）'!AR72</f>
      </c>
      <c r="AS72" s="4">
        <f>'中国汇率&amp;期货（change）'!AS72/'中国汇率&amp;期货（vol）'!AS72</f>
      </c>
      <c r="AT72" s="4">
        <f>'中国汇率&amp;期货（change）'!AT72/'中国汇率&amp;期货（vol）'!AT72</f>
      </c>
      <c r="AU72" s="4">
        <f>'中国汇率&amp;期货（change）'!AU72/'中国汇率&amp;期货（vol）'!AU72</f>
      </c>
      <c r="AV72" s="4">
        <f>'中国汇率&amp;期货（change）'!AV72/'中国汇率&amp;期货（vol）'!AV72</f>
      </c>
      <c r="AW72" s="4">
        <f>'中国汇率&amp;期货（change）'!AW72/'中国汇率&amp;期货（vol）'!AW72</f>
      </c>
      <c r="AX72" s="4">
        <f>'中国汇率&amp;期货（change）'!AX72/'中国汇率&amp;期货（vol）'!AX72</f>
      </c>
      <c r="AY72" s="4">
        <f>'中国汇率&amp;期货（change）'!AY72/'中国汇率&amp;期货（vol）'!AY72</f>
      </c>
      <c r="AZ72" s="4">
        <f>'中国汇率&amp;期货（change）'!AZ72/'中国汇率&amp;期货（vol）'!AZ72</f>
      </c>
      <c r="BA72" s="4">
        <f>'中国汇率&amp;期货（change）'!BA72/'中国汇率&amp;期货（vol）'!BA72</f>
      </c>
      <c r="BB72" s="4">
        <f>'中国汇率&amp;期货（change）'!BB72/'中国汇率&amp;期货（vol）'!BB72</f>
      </c>
      <c r="BC72" s="4">
        <f>'中国汇率&amp;期货（change）'!BC72/'中国汇率&amp;期货（vol）'!BC72</f>
      </c>
      <c r="BD72" s="4">
        <f>'中国汇率&amp;期货（change）'!BD72/'中国汇率&amp;期货（vol）'!BD72</f>
      </c>
      <c r="BE72" s="4">
        <f>'中国汇率&amp;期货（change）'!BE72/'中国汇率&amp;期货（vol）'!BE72</f>
      </c>
    </row>
    <row x14ac:dyDescent="0.25" r="73" customHeight="1" ht="18.75">
      <c r="A73" s="1"/>
      <c r="B73" s="4">
        <f>'中国汇率&amp;期货（change）'!B73/'中国汇率&amp;期货（vol）'!B73</f>
      </c>
      <c r="C73" s="4">
        <f>'中国汇率&amp;期货（change）'!C73/'中国汇率&amp;期货（vol）'!C73</f>
      </c>
      <c r="D73" s="4">
        <f>'中国汇率&amp;期货（change）'!D73/'中国汇率&amp;期货（vol）'!D73</f>
      </c>
      <c r="E73" s="4">
        <f>'中国汇率&amp;期货（change）'!E73/'中国汇率&amp;期货（vol）'!E73</f>
      </c>
      <c r="F73" s="4">
        <f>'中国汇率&amp;期货（change）'!F73/'中国汇率&amp;期货（vol）'!F73</f>
      </c>
      <c r="G73" s="4">
        <f>'中国汇率&amp;期货（change）'!G73/'中国汇率&amp;期货（vol）'!G73</f>
      </c>
      <c r="H73" s="4">
        <f>'中国汇率&amp;期货（change）'!H73/'中国汇率&amp;期货（vol）'!H73</f>
      </c>
      <c r="I73" s="4">
        <f>'中国汇率&amp;期货（change）'!I73/'中国汇率&amp;期货（vol）'!I73</f>
      </c>
      <c r="J73" s="4">
        <f>'中国汇率&amp;期货（change）'!J73/'中国汇率&amp;期货（vol）'!J73</f>
      </c>
      <c r="K73" s="4">
        <f>'中国汇率&amp;期货（change）'!K73/'中国汇率&amp;期货（vol）'!K73</f>
      </c>
      <c r="L73" s="4">
        <f>'中国汇率&amp;期货（change）'!L73/'中国汇率&amp;期货（vol）'!L73</f>
      </c>
      <c r="M73" s="4">
        <f>'中国汇率&amp;期货（change）'!M73/'中国汇率&amp;期货（vol）'!M73</f>
      </c>
      <c r="N73" s="4">
        <f>'中国汇率&amp;期货（change）'!N73/'中国汇率&amp;期货（vol）'!N73</f>
      </c>
      <c r="O73" s="4">
        <f>'中国汇率&amp;期货（change）'!O73/'中国汇率&amp;期货（vol）'!O73</f>
      </c>
      <c r="P73" s="4">
        <f>'中国汇率&amp;期货（change）'!P73/'中国汇率&amp;期货（vol）'!P73</f>
      </c>
      <c r="Q73" s="4">
        <f>'中国汇率&amp;期货（change）'!Q73/'中国汇率&amp;期货（vol）'!Q73</f>
      </c>
      <c r="R73" s="4">
        <f>'中国汇率&amp;期货（change）'!R73/'中国汇率&amp;期货（vol）'!R73</f>
      </c>
      <c r="S73" s="4">
        <f>'中国汇率&amp;期货（change）'!S73/'中国汇率&amp;期货（vol）'!S73</f>
      </c>
      <c r="T73" s="4">
        <f>'中国汇率&amp;期货（change）'!T73/'中国汇率&amp;期货（vol）'!T73</f>
      </c>
      <c r="U73" s="4">
        <f>'中国汇率&amp;期货（change）'!U73/'中国汇率&amp;期货（vol）'!U73</f>
      </c>
      <c r="V73" s="4">
        <f>'中国汇率&amp;期货（change）'!V73/'中国汇率&amp;期货（vol）'!V73</f>
      </c>
      <c r="W73" s="4">
        <f>'中国汇率&amp;期货（change）'!W73/'中国汇率&amp;期货（vol）'!W73</f>
      </c>
      <c r="X73" s="4">
        <f>'中国汇率&amp;期货（change）'!X73/'中国汇率&amp;期货（vol）'!X73</f>
      </c>
      <c r="Y73" s="4">
        <f>'中国汇率&amp;期货（change）'!Y73/'中国汇率&amp;期货（vol）'!Y73</f>
      </c>
      <c r="Z73" s="4">
        <f>'中国汇率&amp;期货（change）'!Z73/'中国汇率&amp;期货（vol）'!Z73</f>
      </c>
      <c r="AA73" s="4">
        <f>'中国汇率&amp;期货（change）'!AA73/'中国汇率&amp;期货（vol）'!AA73</f>
      </c>
      <c r="AB73" s="4">
        <f>'中国汇率&amp;期货（change）'!AB73/'中国汇率&amp;期货（vol）'!AB73</f>
      </c>
      <c r="AC73" s="4">
        <f>'中国汇率&amp;期货（change）'!AC73/'中国汇率&amp;期货（vol）'!AC73</f>
      </c>
      <c r="AD73" s="4">
        <f>'中国汇率&amp;期货（change）'!AD73/'中国汇率&amp;期货（vol）'!AD73</f>
      </c>
      <c r="AE73" s="4">
        <f>'中国汇率&amp;期货（change）'!AE73/'中国汇率&amp;期货（vol）'!AE73</f>
      </c>
      <c r="AF73" s="4">
        <f>'中国汇率&amp;期货（change）'!AF73/'中国汇率&amp;期货（vol）'!AF73</f>
      </c>
      <c r="AG73" s="4">
        <f>'中国汇率&amp;期货（change）'!AG73/'中国汇率&amp;期货（vol）'!AG73</f>
      </c>
      <c r="AH73" s="4">
        <f>'中国汇率&amp;期货（change）'!AH73/'中国汇率&amp;期货（vol）'!AH73</f>
      </c>
      <c r="AI73" s="4">
        <f>'中国汇率&amp;期货（change）'!AI73/'中国汇率&amp;期货（vol）'!AI73</f>
      </c>
      <c r="AJ73" s="4">
        <f>'中国汇率&amp;期货（change）'!AJ73/'中国汇率&amp;期货（vol）'!AJ73</f>
      </c>
      <c r="AK73" s="4">
        <f>'中国汇率&amp;期货（change）'!AK73/'中国汇率&amp;期货（vol）'!AK73</f>
      </c>
      <c r="AL73" s="4">
        <f>'中国汇率&amp;期货（change）'!AL73/'中国汇率&amp;期货（vol）'!AL73</f>
      </c>
      <c r="AM73" s="4">
        <f>'中国汇率&amp;期货（change）'!AM73/'中国汇率&amp;期货（vol）'!AM73</f>
      </c>
      <c r="AN73" s="4">
        <f>'中国汇率&amp;期货（change）'!AN73/'中国汇率&amp;期货（vol）'!AN73</f>
      </c>
      <c r="AO73" s="4">
        <f>'中国汇率&amp;期货（change）'!AO73/'中国汇率&amp;期货（vol）'!AO73</f>
      </c>
      <c r="AP73" s="4">
        <f>'中国汇率&amp;期货（change）'!AP73/'中国汇率&amp;期货（vol）'!AP73</f>
      </c>
      <c r="AQ73" s="4">
        <f>'中国汇率&amp;期货（change）'!AQ73/'中国汇率&amp;期货（vol）'!AQ73</f>
      </c>
      <c r="AR73" s="4">
        <f>'中国汇率&amp;期货（change）'!AR73/'中国汇率&amp;期货（vol）'!AR73</f>
      </c>
      <c r="AS73" s="4">
        <f>'中国汇率&amp;期货（change）'!AS73/'中国汇率&amp;期货（vol）'!AS73</f>
      </c>
      <c r="AT73" s="4">
        <f>'中国汇率&amp;期货（change）'!AT73/'中国汇率&amp;期货（vol）'!AT73</f>
      </c>
      <c r="AU73" s="4">
        <f>'中国汇率&amp;期货（change）'!AU73/'中国汇率&amp;期货（vol）'!AU73</f>
      </c>
      <c r="AV73" s="4">
        <f>'中国汇率&amp;期货（change）'!AV73/'中国汇率&amp;期货（vol）'!AV73</f>
      </c>
      <c r="AW73" s="4">
        <f>'中国汇率&amp;期货（change）'!AW73/'中国汇率&amp;期货（vol）'!AW73</f>
      </c>
      <c r="AX73" s="4">
        <f>'中国汇率&amp;期货（change）'!AX73/'中国汇率&amp;期货（vol）'!AX73</f>
      </c>
      <c r="AY73" s="4">
        <f>'中国汇率&amp;期货（change）'!AY73/'中国汇率&amp;期货（vol）'!AY73</f>
      </c>
      <c r="AZ73" s="4">
        <f>'中国汇率&amp;期货（change）'!AZ73/'中国汇率&amp;期货（vol）'!AZ73</f>
      </c>
      <c r="BA73" s="4">
        <f>'中国汇率&amp;期货（change）'!BA73/'中国汇率&amp;期货（vol）'!BA73</f>
      </c>
      <c r="BB73" s="4">
        <f>'中国汇率&amp;期货（change）'!BB73/'中国汇率&amp;期货（vol）'!BB73</f>
      </c>
      <c r="BC73" s="4">
        <f>'中国汇率&amp;期货（change）'!BC73/'中国汇率&amp;期货（vol）'!BC73</f>
      </c>
      <c r="BD73" s="4">
        <f>'中国汇率&amp;期货（change）'!BD73/'中国汇率&amp;期货（vol）'!BD73</f>
      </c>
      <c r="BE73" s="4">
        <f>'中国汇率&amp;期货（change）'!BE73/'中国汇率&amp;期货（vol）'!BE73</f>
      </c>
    </row>
    <row x14ac:dyDescent="0.25" r="74" customHeight="1" ht="18.75">
      <c r="A74" s="1"/>
      <c r="B74" s="4">
        <f>'中国汇率&amp;期货（change）'!B74/'中国汇率&amp;期货（vol）'!B74</f>
      </c>
      <c r="C74" s="4">
        <f>'中国汇率&amp;期货（change）'!C74/'中国汇率&amp;期货（vol）'!C74</f>
      </c>
      <c r="D74" s="4">
        <f>'中国汇率&amp;期货（change）'!D74/'中国汇率&amp;期货（vol）'!D74</f>
      </c>
      <c r="E74" s="4">
        <f>'中国汇率&amp;期货（change）'!E74/'中国汇率&amp;期货（vol）'!E74</f>
      </c>
      <c r="F74" s="4">
        <f>'中国汇率&amp;期货（change）'!F74/'中国汇率&amp;期货（vol）'!F74</f>
      </c>
      <c r="G74" s="4">
        <f>'中国汇率&amp;期货（change）'!G74/'中国汇率&amp;期货（vol）'!G74</f>
      </c>
      <c r="H74" s="4">
        <f>'中国汇率&amp;期货（change）'!H74/'中国汇率&amp;期货（vol）'!H74</f>
      </c>
      <c r="I74" s="4">
        <f>'中国汇率&amp;期货（change）'!I74/'中国汇率&amp;期货（vol）'!I74</f>
      </c>
      <c r="J74" s="4">
        <f>'中国汇率&amp;期货（change）'!J74/'中国汇率&amp;期货（vol）'!J74</f>
      </c>
      <c r="K74" s="4">
        <f>'中国汇率&amp;期货（change）'!K74/'中国汇率&amp;期货（vol）'!K74</f>
      </c>
      <c r="L74" s="4">
        <f>'中国汇率&amp;期货（change）'!L74/'中国汇率&amp;期货（vol）'!L74</f>
      </c>
      <c r="M74" s="4">
        <f>'中国汇率&amp;期货（change）'!M74/'中国汇率&amp;期货（vol）'!M74</f>
      </c>
      <c r="N74" s="4">
        <f>'中国汇率&amp;期货（change）'!N74/'中国汇率&amp;期货（vol）'!N74</f>
      </c>
      <c r="O74" s="4">
        <f>'中国汇率&amp;期货（change）'!O74/'中国汇率&amp;期货（vol）'!O74</f>
      </c>
      <c r="P74" s="4">
        <f>'中国汇率&amp;期货（change）'!P74/'中国汇率&amp;期货（vol）'!P74</f>
      </c>
      <c r="Q74" s="4">
        <f>'中国汇率&amp;期货（change）'!Q74/'中国汇率&amp;期货（vol）'!Q74</f>
      </c>
      <c r="R74" s="4">
        <f>'中国汇率&amp;期货（change）'!R74/'中国汇率&amp;期货（vol）'!R74</f>
      </c>
      <c r="S74" s="4">
        <f>'中国汇率&amp;期货（change）'!S74/'中国汇率&amp;期货（vol）'!S74</f>
      </c>
      <c r="T74" s="4">
        <f>'中国汇率&amp;期货（change）'!T74/'中国汇率&amp;期货（vol）'!T74</f>
      </c>
      <c r="U74" s="4">
        <f>'中国汇率&amp;期货（change）'!U74/'中国汇率&amp;期货（vol）'!U74</f>
      </c>
      <c r="V74" s="4">
        <f>'中国汇率&amp;期货（change）'!V74/'中国汇率&amp;期货（vol）'!V74</f>
      </c>
      <c r="W74" s="4">
        <f>'中国汇率&amp;期货（change）'!W74/'中国汇率&amp;期货（vol）'!W74</f>
      </c>
      <c r="X74" s="4">
        <f>'中国汇率&amp;期货（change）'!X74/'中国汇率&amp;期货（vol）'!X74</f>
      </c>
      <c r="Y74" s="4">
        <f>'中国汇率&amp;期货（change）'!Y74/'中国汇率&amp;期货（vol）'!Y74</f>
      </c>
      <c r="Z74" s="4">
        <f>'中国汇率&amp;期货（change）'!Z74/'中国汇率&amp;期货（vol）'!Z74</f>
      </c>
      <c r="AA74" s="4">
        <f>'中国汇率&amp;期货（change）'!AA74/'中国汇率&amp;期货（vol）'!AA74</f>
      </c>
      <c r="AB74" s="4">
        <f>'中国汇率&amp;期货（change）'!AB74/'中国汇率&amp;期货（vol）'!AB74</f>
      </c>
      <c r="AC74" s="4">
        <f>'中国汇率&amp;期货（change）'!AC74/'中国汇率&amp;期货（vol）'!AC74</f>
      </c>
      <c r="AD74" s="4">
        <f>'中国汇率&amp;期货（change）'!AD74/'中国汇率&amp;期货（vol）'!AD74</f>
      </c>
      <c r="AE74" s="4">
        <f>'中国汇率&amp;期货（change）'!AE74/'中国汇率&amp;期货（vol）'!AE74</f>
      </c>
      <c r="AF74" s="4">
        <f>'中国汇率&amp;期货（change）'!AF74/'中国汇率&amp;期货（vol）'!AF74</f>
      </c>
      <c r="AG74" s="4">
        <f>'中国汇率&amp;期货（change）'!AG74/'中国汇率&amp;期货（vol）'!AG74</f>
      </c>
      <c r="AH74" s="4">
        <f>'中国汇率&amp;期货（change）'!AH74/'中国汇率&amp;期货（vol）'!AH74</f>
      </c>
      <c r="AI74" s="4">
        <f>'中国汇率&amp;期货（change）'!AI74/'中国汇率&amp;期货（vol）'!AI74</f>
      </c>
      <c r="AJ74" s="4">
        <f>'中国汇率&amp;期货（change）'!AJ74/'中国汇率&amp;期货（vol）'!AJ74</f>
      </c>
      <c r="AK74" s="4">
        <f>'中国汇率&amp;期货（change）'!AK74/'中国汇率&amp;期货（vol）'!AK74</f>
      </c>
      <c r="AL74" s="4">
        <f>'中国汇率&amp;期货（change）'!AL74/'中国汇率&amp;期货（vol）'!AL74</f>
      </c>
      <c r="AM74" s="4">
        <f>'中国汇率&amp;期货（change）'!AM74/'中国汇率&amp;期货（vol）'!AM74</f>
      </c>
      <c r="AN74" s="4">
        <f>'中国汇率&amp;期货（change）'!AN74/'中国汇率&amp;期货（vol）'!AN74</f>
      </c>
      <c r="AO74" s="4">
        <f>'中国汇率&amp;期货（change）'!AO74/'中国汇率&amp;期货（vol）'!AO74</f>
      </c>
      <c r="AP74" s="4">
        <f>'中国汇率&amp;期货（change）'!AP74/'中国汇率&amp;期货（vol）'!AP74</f>
      </c>
      <c r="AQ74" s="4">
        <f>'中国汇率&amp;期货（change）'!AQ74/'中国汇率&amp;期货（vol）'!AQ74</f>
      </c>
      <c r="AR74" s="4">
        <f>'中国汇率&amp;期货（change）'!AR74/'中国汇率&amp;期货（vol）'!AR74</f>
      </c>
      <c r="AS74" s="4">
        <f>'中国汇率&amp;期货（change）'!AS74/'中国汇率&amp;期货（vol）'!AS74</f>
      </c>
      <c r="AT74" s="4">
        <f>'中国汇率&amp;期货（change）'!AT74/'中国汇率&amp;期货（vol）'!AT74</f>
      </c>
      <c r="AU74" s="4">
        <f>'中国汇率&amp;期货（change）'!AU74/'中国汇率&amp;期货（vol）'!AU74</f>
      </c>
      <c r="AV74" s="4">
        <f>'中国汇率&amp;期货（change）'!AV74/'中国汇率&amp;期货（vol）'!AV74</f>
      </c>
      <c r="AW74" s="4">
        <f>'中国汇率&amp;期货（change）'!AW74/'中国汇率&amp;期货（vol）'!AW74</f>
      </c>
      <c r="AX74" s="4">
        <f>'中国汇率&amp;期货（change）'!AX74/'中国汇率&amp;期货（vol）'!AX74</f>
      </c>
      <c r="AY74" s="4">
        <f>'中国汇率&amp;期货（change）'!AY74/'中国汇率&amp;期货（vol）'!AY74</f>
      </c>
      <c r="AZ74" s="4">
        <f>'中国汇率&amp;期货（change）'!AZ74/'中国汇率&amp;期货（vol）'!AZ74</f>
      </c>
      <c r="BA74" s="4">
        <f>'中国汇率&amp;期货（change）'!BA74/'中国汇率&amp;期货（vol）'!BA74</f>
      </c>
      <c r="BB74" s="4">
        <f>'中国汇率&amp;期货（change）'!BB74/'中国汇率&amp;期货（vol）'!BB74</f>
      </c>
      <c r="BC74" s="4">
        <f>'中国汇率&amp;期货（change）'!BC74/'中国汇率&amp;期货（vol）'!BC74</f>
      </c>
      <c r="BD74" s="4">
        <f>'中国汇率&amp;期货（change）'!BD74/'中国汇率&amp;期货（vol）'!BD74</f>
      </c>
      <c r="BE74" s="4">
        <f>'中国汇率&amp;期货（change）'!BE74/'中国汇率&amp;期货（vol）'!BE74</f>
      </c>
    </row>
    <row x14ac:dyDescent="0.25" r="75" customHeight="1" ht="18.75">
      <c r="A75" s="1"/>
      <c r="B75" s="4">
        <f>'中国汇率&amp;期货（change）'!B75/'中国汇率&amp;期货（vol）'!B75</f>
      </c>
      <c r="C75" s="4">
        <f>'中国汇率&amp;期货（change）'!C75/'中国汇率&amp;期货（vol）'!C75</f>
      </c>
      <c r="D75" s="4">
        <f>'中国汇率&amp;期货（change）'!D75/'中国汇率&amp;期货（vol）'!D75</f>
      </c>
      <c r="E75" s="4">
        <f>'中国汇率&amp;期货（change）'!E75/'中国汇率&amp;期货（vol）'!E75</f>
      </c>
      <c r="F75" s="4">
        <f>'中国汇率&amp;期货（change）'!F75/'中国汇率&amp;期货（vol）'!F75</f>
      </c>
      <c r="G75" s="4">
        <f>'中国汇率&amp;期货（change）'!G75/'中国汇率&amp;期货（vol）'!G75</f>
      </c>
      <c r="H75" s="4">
        <f>'中国汇率&amp;期货（change）'!H75/'中国汇率&amp;期货（vol）'!H75</f>
      </c>
      <c r="I75" s="4">
        <f>'中国汇率&amp;期货（change）'!I75/'中国汇率&amp;期货（vol）'!I75</f>
      </c>
      <c r="J75" s="4">
        <f>'中国汇率&amp;期货（change）'!J75/'中国汇率&amp;期货（vol）'!J75</f>
      </c>
      <c r="K75" s="4">
        <f>'中国汇率&amp;期货（change）'!K75/'中国汇率&amp;期货（vol）'!K75</f>
      </c>
      <c r="L75" s="4">
        <f>'中国汇率&amp;期货（change）'!L75/'中国汇率&amp;期货（vol）'!L75</f>
      </c>
      <c r="M75" s="4">
        <f>'中国汇率&amp;期货（change）'!M75/'中国汇率&amp;期货（vol）'!M75</f>
      </c>
      <c r="N75" s="4">
        <f>'中国汇率&amp;期货（change）'!N75/'中国汇率&amp;期货（vol）'!N75</f>
      </c>
      <c r="O75" s="4">
        <f>'中国汇率&amp;期货（change）'!O75/'中国汇率&amp;期货（vol）'!O75</f>
      </c>
      <c r="P75" s="4">
        <f>'中国汇率&amp;期货（change）'!P75/'中国汇率&amp;期货（vol）'!P75</f>
      </c>
      <c r="Q75" s="4">
        <f>'中国汇率&amp;期货（change）'!Q75/'中国汇率&amp;期货（vol）'!Q75</f>
      </c>
      <c r="R75" s="4">
        <f>'中国汇率&amp;期货（change）'!R75/'中国汇率&amp;期货（vol）'!R75</f>
      </c>
      <c r="S75" s="4">
        <f>'中国汇率&amp;期货（change）'!S75/'中国汇率&amp;期货（vol）'!S75</f>
      </c>
      <c r="T75" s="4">
        <f>'中国汇率&amp;期货（change）'!T75/'中国汇率&amp;期货（vol）'!T75</f>
      </c>
      <c r="U75" s="4">
        <f>'中国汇率&amp;期货（change）'!U75/'中国汇率&amp;期货（vol）'!U75</f>
      </c>
      <c r="V75" s="4">
        <f>'中国汇率&amp;期货（change）'!V75/'中国汇率&amp;期货（vol）'!V75</f>
      </c>
      <c r="W75" s="4">
        <f>'中国汇率&amp;期货（change）'!W75/'中国汇率&amp;期货（vol）'!W75</f>
      </c>
      <c r="X75" s="4">
        <f>'中国汇率&amp;期货（change）'!X75/'中国汇率&amp;期货（vol）'!X75</f>
      </c>
      <c r="Y75" s="4">
        <f>'中国汇率&amp;期货（change）'!Y75/'中国汇率&amp;期货（vol）'!Y75</f>
      </c>
      <c r="Z75" s="4">
        <f>'中国汇率&amp;期货（change）'!Z75/'中国汇率&amp;期货（vol）'!Z75</f>
      </c>
      <c r="AA75" s="4">
        <f>'中国汇率&amp;期货（change）'!AA75/'中国汇率&amp;期货（vol）'!AA75</f>
      </c>
      <c r="AB75" s="4">
        <f>'中国汇率&amp;期货（change）'!AB75/'中国汇率&amp;期货（vol）'!AB75</f>
      </c>
      <c r="AC75" s="4">
        <f>'中国汇率&amp;期货（change）'!AC75/'中国汇率&amp;期货（vol）'!AC75</f>
      </c>
      <c r="AD75" s="4">
        <f>'中国汇率&amp;期货（change）'!AD75/'中国汇率&amp;期货（vol）'!AD75</f>
      </c>
      <c r="AE75" s="4">
        <f>'中国汇率&amp;期货（change）'!AE75/'中国汇率&amp;期货（vol）'!AE75</f>
      </c>
      <c r="AF75" s="4">
        <f>'中国汇率&amp;期货（change）'!AF75/'中国汇率&amp;期货（vol）'!AF75</f>
      </c>
      <c r="AG75" s="4">
        <f>'中国汇率&amp;期货（change）'!AG75/'中国汇率&amp;期货（vol）'!AG75</f>
      </c>
      <c r="AH75" s="4">
        <f>'中国汇率&amp;期货（change）'!AH75/'中国汇率&amp;期货（vol）'!AH75</f>
      </c>
      <c r="AI75" s="4">
        <f>'中国汇率&amp;期货（change）'!AI75/'中国汇率&amp;期货（vol）'!AI75</f>
      </c>
      <c r="AJ75" s="4">
        <f>'中国汇率&amp;期货（change）'!AJ75/'中国汇率&amp;期货（vol）'!AJ75</f>
      </c>
      <c r="AK75" s="4">
        <f>'中国汇率&amp;期货（change）'!AK75/'中国汇率&amp;期货（vol）'!AK75</f>
      </c>
      <c r="AL75" s="4">
        <f>'中国汇率&amp;期货（change）'!AL75/'中国汇率&amp;期货（vol）'!AL75</f>
      </c>
      <c r="AM75" s="4">
        <f>'中国汇率&amp;期货（change）'!AM75/'中国汇率&amp;期货（vol）'!AM75</f>
      </c>
      <c r="AN75" s="4">
        <f>'中国汇率&amp;期货（change）'!AN75/'中国汇率&amp;期货（vol）'!AN75</f>
      </c>
      <c r="AO75" s="4">
        <f>'中国汇率&amp;期货（change）'!AO75/'中国汇率&amp;期货（vol）'!AO75</f>
      </c>
      <c r="AP75" s="4">
        <f>'中国汇率&amp;期货（change）'!AP75/'中国汇率&amp;期货（vol）'!AP75</f>
      </c>
      <c r="AQ75" s="4">
        <f>'中国汇率&amp;期货（change）'!AQ75/'中国汇率&amp;期货（vol）'!AQ75</f>
      </c>
      <c r="AR75" s="4">
        <f>'中国汇率&amp;期货（change）'!AR75/'中国汇率&amp;期货（vol）'!AR75</f>
      </c>
      <c r="AS75" s="4">
        <f>'中国汇率&amp;期货（change）'!AS75/'中国汇率&amp;期货（vol）'!AS75</f>
      </c>
      <c r="AT75" s="4">
        <f>'中国汇率&amp;期货（change）'!AT75/'中国汇率&amp;期货（vol）'!AT75</f>
      </c>
      <c r="AU75" s="4">
        <f>'中国汇率&amp;期货（change）'!AU75/'中国汇率&amp;期货（vol）'!AU75</f>
      </c>
      <c r="AV75" s="4">
        <f>'中国汇率&amp;期货（change）'!AV75/'中国汇率&amp;期货（vol）'!AV75</f>
      </c>
      <c r="AW75" s="4">
        <f>'中国汇率&amp;期货（change）'!AW75/'中国汇率&amp;期货（vol）'!AW75</f>
      </c>
      <c r="AX75" s="4">
        <f>'中国汇率&amp;期货（change）'!AX75/'中国汇率&amp;期货（vol）'!AX75</f>
      </c>
      <c r="AY75" s="4">
        <f>'中国汇率&amp;期货（change）'!AY75/'中国汇率&amp;期货（vol）'!AY75</f>
      </c>
      <c r="AZ75" s="4">
        <f>'中国汇率&amp;期货（change）'!AZ75/'中国汇率&amp;期货（vol）'!AZ75</f>
      </c>
      <c r="BA75" s="4">
        <f>'中国汇率&amp;期货（change）'!BA75/'中国汇率&amp;期货（vol）'!BA75</f>
      </c>
      <c r="BB75" s="4">
        <f>'中国汇率&amp;期货（change）'!BB75/'中国汇率&amp;期货（vol）'!BB75</f>
      </c>
      <c r="BC75" s="4">
        <f>'中国汇率&amp;期货（change）'!BC75/'中国汇率&amp;期货（vol）'!BC75</f>
      </c>
      <c r="BD75" s="4">
        <f>'中国汇率&amp;期货（change）'!BD75/'中国汇率&amp;期货（vol）'!BD75</f>
      </c>
      <c r="BE75" s="4">
        <f>'中国汇率&amp;期货（change）'!BE75/'中国汇率&amp;期货（vol）'!BE75</f>
      </c>
    </row>
    <row x14ac:dyDescent="0.25" r="76" customHeight="1" ht="18.75">
      <c r="A76" s="1"/>
      <c r="B76" s="4">
        <f>'中国汇率&amp;期货（change）'!B76/'中国汇率&amp;期货（vol）'!B76</f>
      </c>
      <c r="C76" s="4">
        <f>'中国汇率&amp;期货（change）'!C76/'中国汇率&amp;期货（vol）'!C76</f>
      </c>
      <c r="D76" s="4">
        <f>'中国汇率&amp;期货（change）'!D76/'中国汇率&amp;期货（vol）'!D76</f>
      </c>
      <c r="E76" s="4">
        <f>'中国汇率&amp;期货（change）'!E76/'中国汇率&amp;期货（vol）'!E76</f>
      </c>
      <c r="F76" s="4">
        <f>'中国汇率&amp;期货（change）'!F76/'中国汇率&amp;期货（vol）'!F76</f>
      </c>
      <c r="G76" s="4">
        <f>'中国汇率&amp;期货（change）'!G76/'中国汇率&amp;期货（vol）'!G76</f>
      </c>
      <c r="H76" s="4">
        <f>'中国汇率&amp;期货（change）'!H76/'中国汇率&amp;期货（vol）'!H76</f>
      </c>
      <c r="I76" s="4">
        <f>'中国汇率&amp;期货（change）'!I76/'中国汇率&amp;期货（vol）'!I76</f>
      </c>
      <c r="J76" s="4">
        <f>'中国汇率&amp;期货（change）'!J76/'中国汇率&amp;期货（vol）'!J76</f>
      </c>
      <c r="K76" s="4">
        <f>'中国汇率&amp;期货（change）'!K76/'中国汇率&amp;期货（vol）'!K76</f>
      </c>
      <c r="L76" s="4">
        <f>'中国汇率&amp;期货（change）'!L76/'中国汇率&amp;期货（vol）'!L76</f>
      </c>
      <c r="M76" s="4">
        <f>'中国汇率&amp;期货（change）'!M76/'中国汇率&amp;期货（vol）'!M76</f>
      </c>
      <c r="N76" s="4">
        <f>'中国汇率&amp;期货（change）'!N76/'中国汇率&amp;期货（vol）'!N76</f>
      </c>
      <c r="O76" s="4">
        <f>'中国汇率&amp;期货（change）'!O76/'中国汇率&amp;期货（vol）'!O76</f>
      </c>
      <c r="P76" s="4">
        <f>'中国汇率&amp;期货（change）'!P76/'中国汇率&amp;期货（vol）'!P76</f>
      </c>
      <c r="Q76" s="4">
        <f>'中国汇率&amp;期货（change）'!Q76/'中国汇率&amp;期货（vol）'!Q76</f>
      </c>
      <c r="R76" s="4">
        <f>'中国汇率&amp;期货（change）'!R76/'中国汇率&amp;期货（vol）'!R76</f>
      </c>
      <c r="S76" s="4">
        <f>'中国汇率&amp;期货（change）'!S76/'中国汇率&amp;期货（vol）'!S76</f>
      </c>
      <c r="T76" s="4">
        <f>'中国汇率&amp;期货（change）'!T76/'中国汇率&amp;期货（vol）'!T76</f>
      </c>
      <c r="U76" s="4">
        <f>'中国汇率&amp;期货（change）'!U76/'中国汇率&amp;期货（vol）'!U76</f>
      </c>
      <c r="V76" s="4">
        <f>'中国汇率&amp;期货（change）'!V76/'中国汇率&amp;期货（vol）'!V76</f>
      </c>
      <c r="W76" s="4">
        <f>'中国汇率&amp;期货（change）'!W76/'中国汇率&amp;期货（vol）'!W76</f>
      </c>
      <c r="X76" s="4">
        <f>'中国汇率&amp;期货（change）'!X76/'中国汇率&amp;期货（vol）'!X76</f>
      </c>
      <c r="Y76" s="3">
        <f>'中国汇率&amp;期货（change）'!Y76/'中国汇率&amp;期货（vol）'!Y76</f>
      </c>
      <c r="Z76" s="4">
        <f>'中国汇率&amp;期货（change）'!Z76/'中国汇率&amp;期货（vol）'!Z76</f>
      </c>
      <c r="AA76" s="4">
        <f>'中国汇率&amp;期货（change）'!AA76/'中国汇率&amp;期货（vol）'!AA76</f>
      </c>
      <c r="AB76" s="4">
        <f>'中国汇率&amp;期货（change）'!AB76/'中国汇率&amp;期货（vol）'!AB76</f>
      </c>
      <c r="AC76" s="4">
        <f>'中国汇率&amp;期货（change）'!AC76/'中国汇率&amp;期货（vol）'!AC76</f>
      </c>
      <c r="AD76" s="4">
        <f>'中国汇率&amp;期货（change）'!AD76/'中国汇率&amp;期货（vol）'!AD76</f>
      </c>
      <c r="AE76" s="4">
        <f>'中国汇率&amp;期货（change）'!AE76/'中国汇率&amp;期货（vol）'!AE76</f>
      </c>
      <c r="AF76" s="4">
        <f>'中国汇率&amp;期货（change）'!AF76/'中国汇率&amp;期货（vol）'!AF76</f>
      </c>
      <c r="AG76" s="4">
        <f>'中国汇率&amp;期货（change）'!AG76/'中国汇率&amp;期货（vol）'!AG76</f>
      </c>
      <c r="AH76" s="4">
        <f>'中国汇率&amp;期货（change）'!AH76/'中国汇率&amp;期货（vol）'!AH76</f>
      </c>
      <c r="AI76" s="4">
        <f>'中国汇率&amp;期货（change）'!AI76/'中国汇率&amp;期货（vol）'!AI76</f>
      </c>
      <c r="AJ76" s="4">
        <f>'中国汇率&amp;期货（change）'!AJ76/'中国汇率&amp;期货（vol）'!AJ76</f>
      </c>
      <c r="AK76" s="4">
        <f>'中国汇率&amp;期货（change）'!AK76/'中国汇率&amp;期货（vol）'!AK76</f>
      </c>
      <c r="AL76" s="4">
        <f>'中国汇率&amp;期货（change）'!AL76/'中国汇率&amp;期货（vol）'!AL76</f>
      </c>
      <c r="AM76" s="4">
        <f>'中国汇率&amp;期货（change）'!AM76/'中国汇率&amp;期货（vol）'!AM76</f>
      </c>
      <c r="AN76" s="4">
        <f>'中国汇率&amp;期货（change）'!AN76/'中国汇率&amp;期货（vol）'!AN76</f>
      </c>
      <c r="AO76" s="4">
        <f>'中国汇率&amp;期货（change）'!AO76/'中国汇率&amp;期货（vol）'!AO76</f>
      </c>
      <c r="AP76" s="4">
        <f>'中国汇率&amp;期货（change）'!AP76/'中国汇率&amp;期货（vol）'!AP76</f>
      </c>
      <c r="AQ76" s="4">
        <f>'中国汇率&amp;期货（change）'!AQ76/'中国汇率&amp;期货（vol）'!AQ76</f>
      </c>
      <c r="AR76" s="4">
        <f>'中国汇率&amp;期货（change）'!AR76/'中国汇率&amp;期货（vol）'!AR76</f>
      </c>
      <c r="AS76" s="4">
        <f>'中国汇率&amp;期货（change）'!AS76/'中国汇率&amp;期货（vol）'!AS76</f>
      </c>
      <c r="AT76" s="4">
        <f>'中国汇率&amp;期货（change）'!AT76/'中国汇率&amp;期货（vol）'!AT76</f>
      </c>
      <c r="AU76" s="4">
        <f>'中国汇率&amp;期货（change）'!AU76/'中国汇率&amp;期货（vol）'!AU76</f>
      </c>
      <c r="AV76" s="4">
        <f>'中国汇率&amp;期货（change）'!AV76/'中国汇率&amp;期货（vol）'!AV76</f>
      </c>
      <c r="AW76" s="4">
        <f>'中国汇率&amp;期货（change）'!AW76/'中国汇率&amp;期货（vol）'!AW76</f>
      </c>
      <c r="AX76" s="4">
        <f>'中国汇率&amp;期货（change）'!AX76/'中国汇率&amp;期货（vol）'!AX76</f>
      </c>
      <c r="AY76" s="4">
        <f>'中国汇率&amp;期货（change）'!AY76/'中国汇率&amp;期货（vol）'!AY76</f>
      </c>
      <c r="AZ76" s="4">
        <f>'中国汇率&amp;期货（change）'!AZ76/'中国汇率&amp;期货（vol）'!AZ76</f>
      </c>
      <c r="BA76" s="4">
        <f>'中国汇率&amp;期货（change）'!BA76/'中国汇率&amp;期货（vol）'!BA76</f>
      </c>
      <c r="BB76" s="4">
        <f>'中国汇率&amp;期货（change）'!BB76/'中国汇率&amp;期货（vol）'!BB76</f>
      </c>
      <c r="BC76" s="4">
        <f>'中国汇率&amp;期货（change）'!BC76/'中国汇率&amp;期货（vol）'!BC76</f>
      </c>
      <c r="BD76" s="4">
        <f>'中国汇率&amp;期货（change）'!BD76/'中国汇率&amp;期货（vol）'!BD76</f>
      </c>
      <c r="BE76" s="4">
        <f>'中国汇率&amp;期货（change）'!BE76/'中国汇率&amp;期货（vol）'!BE76</f>
      </c>
    </row>
    <row x14ac:dyDescent="0.25" r="77" customHeight="1" ht="18.75">
      <c r="A77" s="1"/>
      <c r="B77" s="3">
        <f>'中国汇率&amp;期货（change）'!B77/'中国汇率&amp;期货（vol）'!B77</f>
      </c>
      <c r="C77" s="3">
        <f>'中国汇率&amp;期货（change）'!C77/'中国汇率&amp;期货（vol）'!C77</f>
      </c>
      <c r="D77" s="3">
        <f>'中国汇率&amp;期货（change）'!D77/'中国汇率&amp;期货（vol）'!D77</f>
      </c>
      <c r="E77" s="3">
        <f>'中国汇率&amp;期货（change）'!E77/'中国汇率&amp;期货（vol）'!E77</f>
      </c>
      <c r="F77" s="3">
        <f>'中国汇率&amp;期货（change）'!F77/'中国汇率&amp;期货（vol）'!F77</f>
      </c>
      <c r="G77" s="3">
        <f>'中国汇率&amp;期货（change）'!G77/'中国汇率&amp;期货（vol）'!G77</f>
      </c>
      <c r="H77" s="3">
        <f>'中国汇率&amp;期货（change）'!H77/'中国汇率&amp;期货（vol）'!H77</f>
      </c>
      <c r="I77" s="3">
        <f>'中国汇率&amp;期货（change）'!I77/'中国汇率&amp;期货（vol）'!I77</f>
      </c>
      <c r="J77" s="3">
        <f>'中国汇率&amp;期货（change）'!J77/'中国汇率&amp;期货（vol）'!J77</f>
      </c>
      <c r="K77" s="3">
        <f>'中国汇率&amp;期货（change）'!K77/'中国汇率&amp;期货（vol）'!K77</f>
      </c>
      <c r="L77" s="3">
        <f>'中国汇率&amp;期货（change）'!L77/'中国汇率&amp;期货（vol）'!L77</f>
      </c>
      <c r="M77" s="3">
        <f>'中国汇率&amp;期货（change）'!M77/'中国汇率&amp;期货（vol）'!M77</f>
      </c>
      <c r="N77" s="3">
        <f>'中国汇率&amp;期货（change）'!N77/'中国汇率&amp;期货（vol）'!N77</f>
      </c>
      <c r="O77" s="3">
        <f>'中国汇率&amp;期货（change）'!O77/'中国汇率&amp;期货（vol）'!O77</f>
      </c>
      <c r="P77" s="3">
        <f>'中国汇率&amp;期货（change）'!P77/'中国汇率&amp;期货（vol）'!P77</f>
      </c>
      <c r="Q77" s="3">
        <f>'中国汇率&amp;期货（change）'!Q77/'中国汇率&amp;期货（vol）'!Q77</f>
      </c>
      <c r="R77" s="3">
        <f>'中国汇率&amp;期货（change）'!R77/'中国汇率&amp;期货（vol）'!R77</f>
      </c>
      <c r="S77" s="3">
        <f>'中国汇率&amp;期货（change）'!S77/'中国汇率&amp;期货（vol）'!S77</f>
      </c>
      <c r="T77" s="3">
        <f>'中国汇率&amp;期货（change）'!T77/'中国汇率&amp;期货（vol）'!T77</f>
      </c>
      <c r="U77" s="3">
        <f>'中国汇率&amp;期货（change）'!U77/'中国汇率&amp;期货（vol）'!U77</f>
      </c>
      <c r="V77" s="3">
        <f>'中国汇率&amp;期货（change）'!V77/'中国汇率&amp;期货（vol）'!V77</f>
      </c>
      <c r="W77" s="3">
        <f>'中国汇率&amp;期货（change）'!W77/'中国汇率&amp;期货（vol）'!W77</f>
      </c>
      <c r="X77" s="3">
        <f>'中国汇率&amp;期货（change）'!X77/'中国汇率&amp;期货（vol）'!X77</f>
      </c>
      <c r="Y77" s="3">
        <f>'中国汇率&amp;期货（change）'!Y77/'中国汇率&amp;期货（vol）'!Y77</f>
      </c>
      <c r="Z77" s="3">
        <f>'中国汇率&amp;期货（change）'!Z77/'中国汇率&amp;期货（vol）'!Z77</f>
      </c>
      <c r="AA77" s="3">
        <f>'中国汇率&amp;期货（change）'!AA77/'中国汇率&amp;期货（vol）'!AA77</f>
      </c>
      <c r="AB77" s="3">
        <f>'中国汇率&amp;期货（change）'!AB77/'中国汇率&amp;期货（vol）'!AB77</f>
      </c>
      <c r="AC77" s="3">
        <f>'中国汇率&amp;期货（change）'!AC77/'中国汇率&amp;期货（vol）'!AC77</f>
      </c>
      <c r="AD77" s="3">
        <f>'中国汇率&amp;期货（change）'!AD77/'中国汇率&amp;期货（vol）'!AD77</f>
      </c>
      <c r="AE77" s="3">
        <f>'中国汇率&amp;期货（change）'!AE77/'中国汇率&amp;期货（vol）'!AE77</f>
      </c>
      <c r="AF77" s="3">
        <f>'中国汇率&amp;期货（change）'!AF77/'中国汇率&amp;期货（vol）'!AF77</f>
      </c>
      <c r="AG77" s="3">
        <f>'中国汇率&amp;期货（change）'!AG77/'中国汇率&amp;期货（vol）'!AG77</f>
      </c>
      <c r="AH77" s="3">
        <f>'中国汇率&amp;期货（change）'!AH77/'中国汇率&amp;期货（vol）'!AH77</f>
      </c>
      <c r="AI77" s="3">
        <f>'中国汇率&amp;期货（change）'!AI77/'中国汇率&amp;期货（vol）'!AI77</f>
      </c>
      <c r="AJ77" s="3">
        <f>'中国汇率&amp;期货（change）'!AJ77/'中国汇率&amp;期货（vol）'!AJ77</f>
      </c>
      <c r="AK77" s="3">
        <f>'中国汇率&amp;期货（change）'!AK77/'中国汇率&amp;期货（vol）'!AK77</f>
      </c>
      <c r="AL77" s="3">
        <f>'中国汇率&amp;期货（change）'!AL77/'中国汇率&amp;期货（vol）'!AL77</f>
      </c>
      <c r="AM77" s="3">
        <f>'中国汇率&amp;期货（change）'!AM77/'中国汇率&amp;期货（vol）'!AM77</f>
      </c>
      <c r="AN77" s="3">
        <f>'中国汇率&amp;期货（change）'!AN77/'中国汇率&amp;期货（vol）'!AN77</f>
      </c>
      <c r="AO77" s="3">
        <f>'中国汇率&amp;期货（change）'!AO77/'中国汇率&amp;期货（vol）'!AO77</f>
      </c>
      <c r="AP77" s="3">
        <f>'中国汇率&amp;期货（change）'!AP77/'中国汇率&amp;期货（vol）'!AP77</f>
      </c>
      <c r="AQ77" s="3">
        <f>'中国汇率&amp;期货（change）'!AQ77/'中国汇率&amp;期货（vol）'!AQ77</f>
      </c>
      <c r="AR77" s="3">
        <f>'中国汇率&amp;期货（change）'!AR77/'中国汇率&amp;期货（vol）'!AR77</f>
      </c>
      <c r="AS77" s="3">
        <f>'中国汇率&amp;期货（change）'!AS77/'中国汇率&amp;期货（vol）'!AS77</f>
      </c>
      <c r="AT77" s="3">
        <f>'中国汇率&amp;期货（change）'!AT77/'中国汇率&amp;期货（vol）'!AT77</f>
      </c>
      <c r="AU77" s="3">
        <f>'中国汇率&amp;期货（change）'!AU77/'中国汇率&amp;期货（vol）'!AU77</f>
      </c>
      <c r="AV77" s="3">
        <f>'中国汇率&amp;期货（change）'!AV77/'中国汇率&amp;期货（vol）'!AV77</f>
      </c>
      <c r="AW77" s="3">
        <f>'中国汇率&amp;期货（change）'!AW77/'中国汇率&amp;期货（vol）'!AW77</f>
      </c>
      <c r="AX77" s="3">
        <f>'中国汇率&amp;期货（change）'!AX77/'中国汇率&amp;期货（vol）'!AX77</f>
      </c>
      <c r="AY77" s="3">
        <f>'中国汇率&amp;期货（change）'!AY77/'中国汇率&amp;期货（vol）'!AY77</f>
      </c>
      <c r="AZ77" s="3">
        <f>'中国汇率&amp;期货（change）'!AZ77/'中国汇率&amp;期货（vol）'!AZ77</f>
      </c>
      <c r="BA77" s="3">
        <f>'中国汇率&amp;期货（change）'!BA77/'中国汇率&amp;期货（vol）'!BA77</f>
      </c>
      <c r="BB77" s="3">
        <f>'中国汇率&amp;期货（change）'!BB77/'中国汇率&amp;期货（vol）'!BB77</f>
      </c>
      <c r="BC77" s="3">
        <f>'中国汇率&amp;期货（change）'!BC77/'中国汇率&amp;期货（vol）'!BC77</f>
      </c>
      <c r="BD77" s="3">
        <f>'中国汇率&amp;期货（change）'!BD77/'中国汇率&amp;期货（vol）'!BD77</f>
      </c>
      <c r="BE77" s="3">
        <f>'中国汇率&amp;期货（change）'!BE77/'中国汇率&amp;期货（vol）'!BE77</f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中国</vt:lpstr>
      <vt:lpstr>美国</vt:lpstr>
      <vt:lpstr>欧洲</vt:lpstr>
      <vt:lpstr>日本</vt:lpstr>
      <vt:lpstr>中国汇率&amp;amp;amp;期货（数据表）</vt:lpstr>
      <vt:lpstr>中国汇率&amp;amp;amp;期货（ln）</vt:lpstr>
      <vt:lpstr>中国汇率&amp;amp;amp;期货（change）</vt:lpstr>
      <vt:lpstr>中国汇率&amp;amp;amp;期货（vol）</vt:lpstr>
      <vt:lpstr>中国汇率&amp;amp;amp;期货（成果标准）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2022-06-29T09:03:17.166Z</dcterms:created>
  <dcterms:modified xsi:type="dcterms:W3CDTF">2022-06-29T09:03:17.166Z</dcterms:modified>
</cp:coreProperties>
</file>